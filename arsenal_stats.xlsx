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854" documentId="13_ncr:1_{662DAA9A-C5C7-8346-85AE-B86E329139C8}" xr6:coauthVersionLast="47" xr6:coauthVersionMax="47" xr10:uidLastSave="{CE5F58DB-97E3-4469-BCD4-4E004C1E7000}"/>
  <bookViews>
    <workbookView xWindow="-120" yWindow="-120" windowWidth="29040" windowHeight="15720" tabRatio="799" firstSheet="1" activeTab="13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26-27'!$A$3:$S$21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(CS)'!$A$2:$D$20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U18" i="1" s="1"/>
  <c r="G18" i="1"/>
  <c r="H18" i="1"/>
  <c r="I18" i="1"/>
  <c r="J18" i="1"/>
  <c r="V18" i="1" s="1"/>
  <c r="K18" i="1"/>
  <c r="L18" i="1"/>
  <c r="M18" i="1"/>
  <c r="N18" i="1"/>
  <c r="O18" i="1"/>
  <c r="P18" i="1"/>
  <c r="Q18" i="1"/>
  <c r="R18" i="1"/>
  <c r="S18" i="1"/>
  <c r="F19" i="1"/>
  <c r="U19" i="1" s="1"/>
  <c r="G19" i="1"/>
  <c r="V19" i="1" s="1"/>
  <c r="H19" i="1"/>
  <c r="I19" i="1"/>
  <c r="J19" i="1"/>
  <c r="K19" i="1"/>
  <c r="L19" i="1"/>
  <c r="M19" i="1"/>
  <c r="N19" i="1"/>
  <c r="O19" i="1"/>
  <c r="P19" i="1"/>
  <c r="Q19" i="1"/>
  <c r="R19" i="1"/>
  <c r="S19" i="1"/>
  <c r="E20" i="1"/>
  <c r="T20" i="1" s="1"/>
  <c r="F20" i="1"/>
  <c r="U20" i="1" s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V20" i="1"/>
  <c r="E21" i="1"/>
  <c r="F21" i="1"/>
  <c r="G21" i="1"/>
  <c r="V21" i="1" s="1"/>
  <c r="H21" i="1"/>
  <c r="I21" i="1"/>
  <c r="U21" i="1" s="1"/>
  <c r="J21" i="1"/>
  <c r="K21" i="1"/>
  <c r="L21" i="1"/>
  <c r="M21" i="1"/>
  <c r="N21" i="1"/>
  <c r="O21" i="1"/>
  <c r="P21" i="1"/>
  <c r="Q21" i="1"/>
  <c r="R21" i="1"/>
  <c r="S21" i="1"/>
  <c r="T21" i="1"/>
  <c r="E22" i="1"/>
  <c r="T22" i="1" s="1"/>
  <c r="F22" i="1"/>
  <c r="U22" i="1" s="1"/>
  <c r="G22" i="1"/>
  <c r="V22" i="1" s="1"/>
  <c r="H22" i="1"/>
  <c r="I22" i="1"/>
  <c r="J22" i="1"/>
  <c r="K22" i="1"/>
  <c r="L22" i="1"/>
  <c r="M22" i="1"/>
  <c r="N22" i="1"/>
  <c r="O22" i="1"/>
  <c r="P22" i="1"/>
  <c r="Q22" i="1"/>
  <c r="R22" i="1"/>
  <c r="S22" i="1"/>
  <c r="F23" i="1"/>
  <c r="U23" i="1" s="1"/>
  <c r="G23" i="1"/>
  <c r="H23" i="1"/>
  <c r="I23" i="1"/>
  <c r="J23" i="1"/>
  <c r="K23" i="1"/>
  <c r="L23" i="1"/>
  <c r="M23" i="1"/>
  <c r="N23" i="1"/>
  <c r="O23" i="1"/>
  <c r="P23" i="1"/>
  <c r="V23" i="1" s="1"/>
  <c r="Q23" i="1"/>
  <c r="R23" i="1"/>
  <c r="S23" i="1"/>
  <c r="E24" i="1"/>
  <c r="F24" i="1"/>
  <c r="G24" i="1"/>
  <c r="V24" i="1" s="1"/>
  <c r="H24" i="1"/>
  <c r="I24" i="1"/>
  <c r="J24" i="1"/>
  <c r="K24" i="1"/>
  <c r="L24" i="1"/>
  <c r="U24" i="1" s="1"/>
  <c r="M24" i="1"/>
  <c r="N24" i="1"/>
  <c r="T24" i="1" s="1"/>
  <c r="O24" i="1"/>
  <c r="P24" i="1"/>
  <c r="Q24" i="1"/>
  <c r="R24" i="1"/>
  <c r="S24" i="1"/>
  <c r="F25" i="1"/>
  <c r="U25" i="1" s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V25" i="1"/>
  <c r="E26" i="1"/>
  <c r="F26" i="1"/>
  <c r="U26" i="1" s="1"/>
  <c r="G26" i="1"/>
  <c r="H26" i="1"/>
  <c r="I26" i="1"/>
  <c r="J26" i="1"/>
  <c r="V26" i="1" s="1"/>
  <c r="K26" i="1"/>
  <c r="L26" i="1"/>
  <c r="M26" i="1"/>
  <c r="N26" i="1"/>
  <c r="O26" i="1"/>
  <c r="P26" i="1"/>
  <c r="Q26" i="1"/>
  <c r="R26" i="1"/>
  <c r="S26" i="1"/>
  <c r="T26" i="1"/>
  <c r="H27" i="1"/>
  <c r="I27" i="1"/>
  <c r="J27" i="1"/>
  <c r="K27" i="1"/>
  <c r="L27" i="1"/>
  <c r="M27" i="1"/>
  <c r="N27" i="1"/>
  <c r="O27" i="1"/>
  <c r="P27" i="1"/>
  <c r="Q27" i="1"/>
  <c r="R27" i="1"/>
  <c r="S27" i="1"/>
  <c r="E28" i="1"/>
  <c r="T28" i="1" s="1"/>
  <c r="F28" i="1"/>
  <c r="U28" i="1" s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V28" i="1"/>
  <c r="F29" i="1"/>
  <c r="G29" i="1"/>
  <c r="V29" i="1" s="1"/>
  <c r="H29" i="1"/>
  <c r="I29" i="1"/>
  <c r="U29" i="1" s="1"/>
  <c r="J29" i="1"/>
  <c r="K29" i="1"/>
  <c r="L29" i="1"/>
  <c r="M29" i="1"/>
  <c r="N29" i="1"/>
  <c r="O29" i="1"/>
  <c r="P29" i="1"/>
  <c r="Q29" i="1"/>
  <c r="R29" i="1"/>
  <c r="S29" i="1"/>
  <c r="F30" i="1"/>
  <c r="U30" i="1" s="1"/>
  <c r="G30" i="1"/>
  <c r="V30" i="1" s="1"/>
  <c r="H30" i="1"/>
  <c r="I30" i="1"/>
  <c r="J30" i="1"/>
  <c r="K30" i="1"/>
  <c r="L30" i="1"/>
  <c r="M30" i="1"/>
  <c r="N30" i="1"/>
  <c r="O30" i="1"/>
  <c r="P30" i="1"/>
  <c r="Q30" i="1"/>
  <c r="R30" i="1"/>
  <c r="S30" i="1"/>
  <c r="F31" i="1"/>
  <c r="U31" i="1" s="1"/>
  <c r="G31" i="1"/>
  <c r="H31" i="1"/>
  <c r="I31" i="1"/>
  <c r="J31" i="1"/>
  <c r="K31" i="1"/>
  <c r="L31" i="1"/>
  <c r="M31" i="1"/>
  <c r="N31" i="1"/>
  <c r="O31" i="1"/>
  <c r="P31" i="1"/>
  <c r="V31" i="1" s="1"/>
  <c r="Q31" i="1"/>
  <c r="R31" i="1"/>
  <c r="S31" i="1"/>
  <c r="E32" i="1"/>
  <c r="F32" i="1"/>
  <c r="G32" i="1"/>
  <c r="V32" i="1" s="1"/>
  <c r="H32" i="1"/>
  <c r="I32" i="1"/>
  <c r="J32" i="1"/>
  <c r="K32" i="1"/>
  <c r="L32" i="1"/>
  <c r="U32" i="1" s="1"/>
  <c r="M32" i="1"/>
  <c r="N32" i="1"/>
  <c r="T32" i="1" s="1"/>
  <c r="O32" i="1"/>
  <c r="P32" i="1"/>
  <c r="Q32" i="1"/>
  <c r="R32" i="1"/>
  <c r="S32" i="1"/>
  <c r="F33" i="1"/>
  <c r="U33" i="1" s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V33" i="1"/>
  <c r="E34" i="1"/>
  <c r="F34" i="1"/>
  <c r="U34" i="1" s="1"/>
  <c r="G34" i="1"/>
  <c r="H34" i="1"/>
  <c r="I34" i="1"/>
  <c r="J34" i="1"/>
  <c r="V34" i="1" s="1"/>
  <c r="K34" i="1"/>
  <c r="L34" i="1"/>
  <c r="M34" i="1"/>
  <c r="N34" i="1"/>
  <c r="O34" i="1"/>
  <c r="P34" i="1"/>
  <c r="Q34" i="1"/>
  <c r="R34" i="1"/>
  <c r="S34" i="1"/>
  <c r="T34" i="1"/>
  <c r="E35" i="1"/>
  <c r="F35" i="1"/>
  <c r="U35" i="1" s="1"/>
  <c r="G35" i="1"/>
  <c r="V35" i="1" s="1"/>
  <c r="H35" i="1"/>
  <c r="T35" i="1" s="1"/>
  <c r="I35" i="1"/>
  <c r="J35" i="1"/>
  <c r="K35" i="1"/>
  <c r="L35" i="1"/>
  <c r="M35" i="1"/>
  <c r="N35" i="1"/>
  <c r="O35" i="1"/>
  <c r="P35" i="1"/>
  <c r="Q35" i="1"/>
  <c r="R35" i="1"/>
  <c r="S35" i="1"/>
  <c r="E36" i="1"/>
  <c r="T36" i="1" s="1"/>
  <c r="F36" i="1"/>
  <c r="U36" i="1" s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V36" i="1"/>
  <c r="E37" i="1"/>
  <c r="F37" i="1"/>
  <c r="G37" i="1"/>
  <c r="V37" i="1" s="1"/>
  <c r="H37" i="1"/>
  <c r="I37" i="1"/>
  <c r="U37" i="1" s="1"/>
  <c r="J37" i="1"/>
  <c r="K37" i="1"/>
  <c r="L37" i="1"/>
  <c r="M37" i="1"/>
  <c r="N37" i="1"/>
  <c r="O37" i="1"/>
  <c r="P37" i="1"/>
  <c r="Q37" i="1"/>
  <c r="R37" i="1"/>
  <c r="S37" i="1"/>
  <c r="T37" i="1"/>
  <c r="E38" i="1"/>
  <c r="T38" i="1" s="1"/>
  <c r="F38" i="1"/>
  <c r="U38" i="1" s="1"/>
  <c r="G38" i="1"/>
  <c r="V38" i="1" s="1"/>
  <c r="H38" i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K39" i="1"/>
  <c r="L39" i="1"/>
  <c r="M39" i="1"/>
  <c r="N39" i="1"/>
  <c r="O39" i="1"/>
  <c r="P39" i="1"/>
  <c r="V39" i="1" s="1"/>
  <c r="Q39" i="1"/>
  <c r="R39" i="1"/>
  <c r="S39" i="1"/>
  <c r="E40" i="1"/>
  <c r="F40" i="1"/>
  <c r="G40" i="1"/>
  <c r="V40" i="1" s="1"/>
  <c r="H40" i="1"/>
  <c r="I40" i="1"/>
  <c r="J40" i="1"/>
  <c r="K40" i="1"/>
  <c r="L40" i="1"/>
  <c r="U40" i="1" s="1"/>
  <c r="M40" i="1"/>
  <c r="N40" i="1"/>
  <c r="T40" i="1" s="1"/>
  <c r="O40" i="1"/>
  <c r="P40" i="1"/>
  <c r="Q40" i="1"/>
  <c r="R40" i="1"/>
  <c r="S40" i="1"/>
  <c r="E41" i="1"/>
  <c r="T41" i="1" s="1"/>
  <c r="F41" i="1"/>
  <c r="U41" i="1" s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V41" i="1"/>
  <c r="BC20" i="10"/>
  <c r="BF20" i="10" s="1"/>
  <c r="BD20" i="10"/>
  <c r="BE20" i="10"/>
  <c r="BG20" i="10"/>
  <c r="BH20" i="10"/>
  <c r="BC21" i="10"/>
  <c r="BD21" i="10"/>
  <c r="BE21" i="10"/>
  <c r="BF21" i="10"/>
  <c r="BG21" i="10"/>
  <c r="BH21" i="10"/>
  <c r="BC22" i="10"/>
  <c r="BD22" i="10"/>
  <c r="BG22" i="10" s="1"/>
  <c r="BE22" i="10"/>
  <c r="BF22" i="10"/>
  <c r="BH22" i="10"/>
  <c r="BC23" i="10"/>
  <c r="BD23" i="10"/>
  <c r="BE23" i="10"/>
  <c r="BH23" i="10" s="1"/>
  <c r="BF23" i="10"/>
  <c r="BG23" i="10"/>
  <c r="BC24" i="10"/>
  <c r="BD24" i="10"/>
  <c r="BG24" i="10" s="1"/>
  <c r="BE24" i="10"/>
  <c r="BF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F27" i="10"/>
  <c r="BH27" i="10"/>
  <c r="BC28" i="10"/>
  <c r="BF28" i="10" s="1"/>
  <c r="BD28" i="10"/>
  <c r="BE28" i="10"/>
  <c r="BG28" i="10"/>
  <c r="BH28" i="10"/>
  <c r="BC29" i="10"/>
  <c r="BD29" i="10"/>
  <c r="BE29" i="10"/>
  <c r="BF29" i="10"/>
  <c r="BG29" i="10"/>
  <c r="BH29" i="10"/>
  <c r="BC30" i="10"/>
  <c r="BD30" i="10"/>
  <c r="BG30" i="10" s="1"/>
  <c r="BE30" i="10"/>
  <c r="BF30" i="10"/>
  <c r="BH30" i="10"/>
  <c r="BC31" i="10"/>
  <c r="BD31" i="10"/>
  <c r="BE31" i="10"/>
  <c r="BH31" i="10" s="1"/>
  <c r="BF31" i="10"/>
  <c r="BG31" i="10"/>
  <c r="BC32" i="10"/>
  <c r="BD32" i="10"/>
  <c r="BG32" i="10" s="1"/>
  <c r="BE32" i="10"/>
  <c r="BF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F35" i="10"/>
  <c r="BH35" i="10"/>
  <c r="BC36" i="10"/>
  <c r="BF36" i="10" s="1"/>
  <c r="BD36" i="10"/>
  <c r="BE36" i="10"/>
  <c r="BG36" i="10"/>
  <c r="BH36" i="10"/>
  <c r="BC37" i="10"/>
  <c r="BD37" i="10"/>
  <c r="BE37" i="10"/>
  <c r="BF37" i="10"/>
  <c r="BG37" i="10"/>
  <c r="BH37" i="10"/>
  <c r="BC38" i="10"/>
  <c r="BD38" i="10"/>
  <c r="BG38" i="10" s="1"/>
  <c r="BE38" i="10"/>
  <c r="BF38" i="10"/>
  <c r="BH38" i="10"/>
  <c r="BC39" i="10"/>
  <c r="BD39" i="10"/>
  <c r="BE39" i="10"/>
  <c r="BH39" i="10" s="1"/>
  <c r="BF39" i="10"/>
  <c r="BG39" i="10"/>
  <c r="BC40" i="10"/>
  <c r="BD40" i="10"/>
  <c r="BG40" i="10" s="1"/>
  <c r="BE40" i="10"/>
  <c r="BF40" i="10"/>
  <c r="BH40" i="10"/>
  <c r="BC41" i="10"/>
  <c r="BD41" i="10"/>
  <c r="BG41" i="10" s="1"/>
  <c r="BE41" i="10"/>
  <c r="BH41" i="10" s="1"/>
  <c r="BF41" i="10"/>
  <c r="BC42" i="10"/>
  <c r="BF42" i="10" s="1"/>
  <c r="BD42" i="10"/>
  <c r="BG42" i="10" s="1"/>
  <c r="BE42" i="10"/>
  <c r="BH42" i="10"/>
  <c r="BC43" i="10"/>
  <c r="BD43" i="10"/>
  <c r="BG43" i="10" s="1"/>
  <c r="BE43" i="10"/>
  <c r="BF43" i="10"/>
  <c r="BH43" i="10"/>
  <c r="AQ20" i="10"/>
  <c r="AR20" i="10"/>
  <c r="AS20" i="10"/>
  <c r="AV20" i="10" s="1"/>
  <c r="AT20" i="10"/>
  <c r="AU20" i="10"/>
  <c r="AQ21" i="10"/>
  <c r="AR21" i="10"/>
  <c r="AS21" i="10"/>
  <c r="AV21" i="10" s="1"/>
  <c r="AT21" i="10"/>
  <c r="AU21" i="10"/>
  <c r="AQ22" i="10"/>
  <c r="AR22" i="10"/>
  <c r="AU22" i="10" s="1"/>
  <c r="AS22" i="10"/>
  <c r="AV22" i="10" s="1"/>
  <c r="AT22" i="10"/>
  <c r="AQ23" i="10"/>
  <c r="AT23" i="10" s="1"/>
  <c r="AR23" i="10"/>
  <c r="AU23" i="10" s="1"/>
  <c r="AS23" i="10"/>
  <c r="AV23" i="10" s="1"/>
  <c r="AQ24" i="10"/>
  <c r="AT24" i="10" s="1"/>
  <c r="AR24" i="10"/>
  <c r="AU24" i="10" s="1"/>
  <c r="AS24" i="10"/>
  <c r="AV24" i="10"/>
  <c r="AQ25" i="10"/>
  <c r="AT25" i="10" s="1"/>
  <c r="AR25" i="10"/>
  <c r="AU25" i="10" s="1"/>
  <c r="AS25" i="10"/>
  <c r="AV25" i="10"/>
  <c r="AQ26" i="10"/>
  <c r="AT26" i="10" s="1"/>
  <c r="AR26" i="10"/>
  <c r="AS26" i="10"/>
  <c r="AU26" i="10"/>
  <c r="AV26" i="10"/>
  <c r="AQ27" i="10"/>
  <c r="AR27" i="10"/>
  <c r="AS27" i="10"/>
  <c r="AT27" i="10"/>
  <c r="AU27" i="10"/>
  <c r="AV27" i="10"/>
  <c r="AQ28" i="10"/>
  <c r="AR28" i="10"/>
  <c r="AS28" i="10"/>
  <c r="AV28" i="10" s="1"/>
  <c r="AT28" i="10"/>
  <c r="AU28" i="10"/>
  <c r="AQ29" i="10"/>
  <c r="AR29" i="10"/>
  <c r="AS29" i="10"/>
  <c r="AV29" i="10" s="1"/>
  <c r="AT29" i="10"/>
  <c r="AU29" i="10"/>
  <c r="AQ30" i="10"/>
  <c r="AR30" i="10"/>
  <c r="AU30" i="10" s="1"/>
  <c r="AS30" i="10"/>
  <c r="AV30" i="10" s="1"/>
  <c r="AT30" i="10"/>
  <c r="AQ31" i="10"/>
  <c r="AT31" i="10" s="1"/>
  <c r="AR31" i="10"/>
  <c r="AU31" i="10" s="1"/>
  <c r="AS31" i="10"/>
  <c r="AV31" i="10" s="1"/>
  <c r="AQ32" i="10"/>
  <c r="AT32" i="10" s="1"/>
  <c r="AR32" i="10"/>
  <c r="AU32" i="10" s="1"/>
  <c r="AS32" i="10"/>
  <c r="AV32" i="10" s="1"/>
  <c r="AQ33" i="10"/>
  <c r="AT33" i="10" s="1"/>
  <c r="AR33" i="10"/>
  <c r="AU33" i="10" s="1"/>
  <c r="AS33" i="10"/>
  <c r="AV33" i="10"/>
  <c r="AQ34" i="10"/>
  <c r="AT34" i="10" s="1"/>
  <c r="AR34" i="10"/>
  <c r="AS34" i="10"/>
  <c r="AU34" i="10"/>
  <c r="AV34" i="10"/>
  <c r="AQ35" i="10"/>
  <c r="AR35" i="10"/>
  <c r="AS35" i="10"/>
  <c r="AT35" i="10"/>
  <c r="AU35" i="10"/>
  <c r="AV35" i="10"/>
  <c r="AQ36" i="10"/>
  <c r="AR36" i="10"/>
  <c r="AS36" i="10"/>
  <c r="AV36" i="10" s="1"/>
  <c r="AT36" i="10"/>
  <c r="AU36" i="10"/>
  <c r="AQ37" i="10"/>
  <c r="AR37" i="10"/>
  <c r="AS37" i="10"/>
  <c r="AV37" i="10" s="1"/>
  <c r="AT37" i="10"/>
  <c r="AU37" i="10"/>
  <c r="AQ38" i="10"/>
  <c r="AR38" i="10"/>
  <c r="AU38" i="10" s="1"/>
  <c r="AS38" i="10"/>
  <c r="AV38" i="10" s="1"/>
  <c r="AT38" i="10"/>
  <c r="AQ39" i="10"/>
  <c r="AT39" i="10" s="1"/>
  <c r="AR39" i="10"/>
  <c r="AU39" i="10" s="1"/>
  <c r="AS39" i="10"/>
  <c r="AV39" i="10" s="1"/>
  <c r="AQ40" i="10"/>
  <c r="AT40" i="10" s="1"/>
  <c r="AR40" i="10"/>
  <c r="AU40" i="10" s="1"/>
  <c r="AS40" i="10"/>
  <c r="AV40" i="10"/>
  <c r="AQ41" i="10"/>
  <c r="AT41" i="10" s="1"/>
  <c r="AR41" i="10"/>
  <c r="AU41" i="10" s="1"/>
  <c r="AS41" i="10"/>
  <c r="AV41" i="10"/>
  <c r="AQ42" i="10"/>
  <c r="AT42" i="10" s="1"/>
  <c r="AR42" i="10"/>
  <c r="AS42" i="10"/>
  <c r="AU42" i="10"/>
  <c r="AV42" i="10"/>
  <c r="AQ43" i="10"/>
  <c r="AR43" i="10"/>
  <c r="AS43" i="10"/>
  <c r="AT43" i="10"/>
  <c r="AU43" i="10"/>
  <c r="AV43" i="10"/>
  <c r="AE20" i="10"/>
  <c r="AF20" i="10"/>
  <c r="AI20" i="10" s="1"/>
  <c r="AG20" i="10"/>
  <c r="AJ20" i="10" s="1"/>
  <c r="AH20" i="10"/>
  <c r="AE21" i="10"/>
  <c r="AH21" i="10" s="1"/>
  <c r="AF21" i="10"/>
  <c r="AG21" i="10"/>
  <c r="AI21" i="10"/>
  <c r="AJ21" i="10"/>
  <c r="AE22" i="10"/>
  <c r="AF22" i="10"/>
  <c r="AI22" i="10" s="1"/>
  <c r="AG22" i="10"/>
  <c r="AH22" i="10"/>
  <c r="AJ22" i="10"/>
  <c r="AE23" i="10"/>
  <c r="AH23" i="10" s="1"/>
  <c r="AF23" i="10"/>
  <c r="AI23" i="10" s="1"/>
  <c r="AG23" i="10"/>
  <c r="AJ23" i="10" s="1"/>
  <c r="AE24" i="10"/>
  <c r="AF24" i="10"/>
  <c r="AI24" i="10" s="1"/>
  <c r="AG24" i="10"/>
  <c r="AJ24" i="10" s="1"/>
  <c r="AH24" i="10"/>
  <c r="AE25" i="10"/>
  <c r="AH25" i="10" s="1"/>
  <c r="AF25" i="10"/>
  <c r="AG25" i="10"/>
  <c r="AI25" i="10"/>
  <c r="AJ25" i="10"/>
  <c r="AE26" i="10"/>
  <c r="AH26" i="10" s="1"/>
  <c r="AF26" i="10"/>
  <c r="AI26" i="10" s="1"/>
  <c r="AG26" i="10"/>
  <c r="AJ26" i="10" s="1"/>
  <c r="AE27" i="10"/>
  <c r="AH27" i="10" s="1"/>
  <c r="AF27" i="10"/>
  <c r="AG27" i="10"/>
  <c r="AI27" i="10"/>
  <c r="AJ27" i="10"/>
  <c r="AE28" i="10"/>
  <c r="AF28" i="10"/>
  <c r="AI28" i="10" s="1"/>
  <c r="AG28" i="10"/>
  <c r="AJ28" i="10" s="1"/>
  <c r="AH28" i="10"/>
  <c r="AE29" i="10"/>
  <c r="AH29" i="10" s="1"/>
  <c r="AF29" i="10"/>
  <c r="AG29" i="10"/>
  <c r="AI29" i="10"/>
  <c r="AJ29" i="10"/>
  <c r="AE30" i="10"/>
  <c r="AF30" i="10"/>
  <c r="AI30" i="10" s="1"/>
  <c r="AG30" i="10"/>
  <c r="AH30" i="10"/>
  <c r="AJ30" i="10"/>
  <c r="AE31" i="10"/>
  <c r="AH31" i="10" s="1"/>
  <c r="AF31" i="10"/>
  <c r="AI31" i="10" s="1"/>
  <c r="AG31" i="10"/>
  <c r="AJ31" i="10" s="1"/>
  <c r="AE32" i="10"/>
  <c r="AF32" i="10"/>
  <c r="AI32" i="10" s="1"/>
  <c r="AG32" i="10"/>
  <c r="AJ32" i="10" s="1"/>
  <c r="AH32" i="10"/>
  <c r="AE33" i="10"/>
  <c r="AF33" i="10"/>
  <c r="AG33" i="10"/>
  <c r="AH33" i="10"/>
  <c r="AI33" i="10"/>
  <c r="AJ33" i="10"/>
  <c r="AE34" i="10"/>
  <c r="AH34" i="10" s="1"/>
  <c r="AF34" i="10"/>
  <c r="AI34" i="10" s="1"/>
  <c r="AG34" i="10"/>
  <c r="AJ34" i="10" s="1"/>
  <c r="AE35" i="10"/>
  <c r="AH35" i="10" s="1"/>
  <c r="AF35" i="10"/>
  <c r="AG35" i="10"/>
  <c r="AI35" i="10"/>
  <c r="AJ35" i="10"/>
  <c r="AE36" i="10"/>
  <c r="AF36" i="10"/>
  <c r="AI36" i="10" s="1"/>
  <c r="AG36" i="10"/>
  <c r="AJ36" i="10" s="1"/>
  <c r="AH36" i="10"/>
  <c r="AE37" i="10"/>
  <c r="AH37" i="10" s="1"/>
  <c r="AF37" i="10"/>
  <c r="AG37" i="10"/>
  <c r="AI37" i="10"/>
  <c r="AJ37" i="10"/>
  <c r="AE38" i="10"/>
  <c r="AF38" i="10"/>
  <c r="AI38" i="10" s="1"/>
  <c r="AG38" i="10"/>
  <c r="AH38" i="10"/>
  <c r="AJ38" i="10"/>
  <c r="AE39" i="10"/>
  <c r="AH39" i="10" s="1"/>
  <c r="AF39" i="10"/>
  <c r="AI39" i="10" s="1"/>
  <c r="AG39" i="10"/>
  <c r="AJ39" i="10" s="1"/>
  <c r="AE40" i="10"/>
  <c r="AF40" i="10"/>
  <c r="AI40" i="10" s="1"/>
  <c r="AG40" i="10"/>
  <c r="AJ40" i="10" s="1"/>
  <c r="AH40" i="10"/>
  <c r="AE41" i="10"/>
  <c r="AF41" i="10"/>
  <c r="AG41" i="10"/>
  <c r="AH41" i="10"/>
  <c r="AI41" i="10"/>
  <c r="AJ41" i="10"/>
  <c r="AE42" i="10"/>
  <c r="AH42" i="10" s="1"/>
  <c r="AF42" i="10"/>
  <c r="AI42" i="10" s="1"/>
  <c r="AG42" i="10"/>
  <c r="AJ42" i="10" s="1"/>
  <c r="AE43" i="10"/>
  <c r="AH43" i="10" s="1"/>
  <c r="AF43" i="10"/>
  <c r="AG43" i="10"/>
  <c r="AI43" i="10"/>
  <c r="AJ43" i="10"/>
  <c r="S20" i="10"/>
  <c r="T20" i="10"/>
  <c r="U20" i="10"/>
  <c r="V20" i="10"/>
  <c r="W20" i="10"/>
  <c r="X20" i="10"/>
  <c r="S21" i="10"/>
  <c r="T21" i="10"/>
  <c r="U21" i="10"/>
  <c r="V21" i="10"/>
  <c r="W21" i="10"/>
  <c r="X21" i="10"/>
  <c r="S22" i="10"/>
  <c r="V22" i="10" s="1"/>
  <c r="T22" i="10"/>
  <c r="W22" i="10" s="1"/>
  <c r="U22" i="10"/>
  <c r="X22" i="10" s="1"/>
  <c r="S23" i="10"/>
  <c r="T23" i="10"/>
  <c r="W23" i="10" s="1"/>
  <c r="U23" i="10"/>
  <c r="X23" i="10" s="1"/>
  <c r="V23" i="10"/>
  <c r="S24" i="10"/>
  <c r="T24" i="10"/>
  <c r="U24" i="10"/>
  <c r="V24" i="10"/>
  <c r="W24" i="10"/>
  <c r="X24" i="10"/>
  <c r="S25" i="10"/>
  <c r="V25" i="10" s="1"/>
  <c r="T25" i="10"/>
  <c r="W25" i="10" s="1"/>
  <c r="U25" i="10"/>
  <c r="X25" i="10"/>
  <c r="S26" i="10"/>
  <c r="V26" i="10" s="1"/>
  <c r="T26" i="10"/>
  <c r="W26" i="10" s="1"/>
  <c r="U26" i="10"/>
  <c r="X26" i="10"/>
  <c r="S27" i="10"/>
  <c r="T27" i="10"/>
  <c r="W27" i="10" s="1"/>
  <c r="U27" i="10"/>
  <c r="X27" i="10" s="1"/>
  <c r="V27" i="10"/>
  <c r="S28" i="10"/>
  <c r="T28" i="10"/>
  <c r="U28" i="10"/>
  <c r="V28" i="10"/>
  <c r="W28" i="10"/>
  <c r="X28" i="10"/>
  <c r="S29" i="10"/>
  <c r="T29" i="10"/>
  <c r="U29" i="10"/>
  <c r="V29" i="10"/>
  <c r="W29" i="10"/>
  <c r="X29" i="10"/>
  <c r="S30" i="10"/>
  <c r="V30" i="10" s="1"/>
  <c r="T30" i="10"/>
  <c r="W30" i="10" s="1"/>
  <c r="U30" i="10"/>
  <c r="X30" i="10" s="1"/>
  <c r="S31" i="10"/>
  <c r="T31" i="10"/>
  <c r="W31" i="10" s="1"/>
  <c r="U31" i="10"/>
  <c r="X31" i="10" s="1"/>
  <c r="V31" i="10"/>
  <c r="S32" i="10"/>
  <c r="T32" i="10"/>
  <c r="U32" i="10"/>
  <c r="V32" i="10"/>
  <c r="W32" i="10"/>
  <c r="X32" i="10"/>
  <c r="S33" i="10"/>
  <c r="V33" i="10" s="1"/>
  <c r="T33" i="10"/>
  <c r="W33" i="10" s="1"/>
  <c r="U33" i="10"/>
  <c r="X33" i="10"/>
  <c r="S34" i="10"/>
  <c r="V34" i="10" s="1"/>
  <c r="T34" i="10"/>
  <c r="W34" i="10" s="1"/>
  <c r="U34" i="10"/>
  <c r="X34" i="10"/>
  <c r="S35" i="10"/>
  <c r="T35" i="10"/>
  <c r="W35" i="10" s="1"/>
  <c r="U35" i="10"/>
  <c r="X35" i="10" s="1"/>
  <c r="V35" i="10"/>
  <c r="S36" i="10"/>
  <c r="T36" i="10"/>
  <c r="U36" i="10"/>
  <c r="X36" i="10" s="1"/>
  <c r="V36" i="10"/>
  <c r="W36" i="10"/>
  <c r="S37" i="10"/>
  <c r="T37" i="10"/>
  <c r="U37" i="10"/>
  <c r="V37" i="10"/>
  <c r="W37" i="10"/>
  <c r="X37" i="10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T40" i="10"/>
  <c r="U40" i="10"/>
  <c r="V40" i="10"/>
  <c r="W40" i="10"/>
  <c r="X40" i="10"/>
  <c r="S41" i="10"/>
  <c r="V41" i="10" s="1"/>
  <c r="T41" i="10"/>
  <c r="W41" i="10" s="1"/>
  <c r="U41" i="10"/>
  <c r="X41" i="10"/>
  <c r="S42" i="10"/>
  <c r="V42" i="10" s="1"/>
  <c r="T42" i="10"/>
  <c r="U42" i="10"/>
  <c r="W42" i="10"/>
  <c r="X42" i="10"/>
  <c r="S43" i="10"/>
  <c r="T43" i="10"/>
  <c r="W43" i="10" s="1"/>
  <c r="U43" i="10"/>
  <c r="X43" i="10" s="1"/>
  <c r="V43" i="10"/>
  <c r="H20" i="10"/>
  <c r="K20" i="10" s="1"/>
  <c r="I20" i="10"/>
  <c r="L20" i="10" s="1"/>
  <c r="H21" i="10"/>
  <c r="K21" i="10" s="1"/>
  <c r="I21" i="10"/>
  <c r="L21" i="10" s="1"/>
  <c r="G22" i="10"/>
  <c r="H22" i="10"/>
  <c r="I22" i="10"/>
  <c r="J22" i="10"/>
  <c r="K22" i="10"/>
  <c r="L22" i="10"/>
  <c r="G23" i="10"/>
  <c r="J23" i="10" s="1"/>
  <c r="H23" i="10"/>
  <c r="K23" i="10" s="1"/>
  <c r="I23" i="10"/>
  <c r="L23" i="10" s="1"/>
  <c r="G24" i="10"/>
  <c r="J24" i="10" s="1"/>
  <c r="H24" i="10"/>
  <c r="K24" i="10" s="1"/>
  <c r="I24" i="10"/>
  <c r="L24" i="10" s="1"/>
  <c r="H25" i="10"/>
  <c r="I25" i="10"/>
  <c r="L25" i="10" s="1"/>
  <c r="K25" i="10"/>
  <c r="G26" i="10"/>
  <c r="J26" i="10" s="1"/>
  <c r="H26" i="10"/>
  <c r="K26" i="10" s="1"/>
  <c r="I26" i="10"/>
  <c r="L26" i="10"/>
  <c r="G27" i="10"/>
  <c r="J27" i="10" s="1"/>
  <c r="E25" i="1" s="1"/>
  <c r="T25" i="1" s="1"/>
  <c r="H27" i="10"/>
  <c r="I27" i="10"/>
  <c r="K27" i="10"/>
  <c r="L27" i="10"/>
  <c r="G28" i="10"/>
  <c r="J28" i="10" s="1"/>
  <c r="H28" i="10"/>
  <c r="K28" i="10" s="1"/>
  <c r="I28" i="10"/>
  <c r="L28" i="10" s="1"/>
  <c r="G30" i="10"/>
  <c r="H30" i="10"/>
  <c r="I30" i="10"/>
  <c r="J30" i="10"/>
  <c r="K30" i="10"/>
  <c r="L30" i="10"/>
  <c r="H31" i="10"/>
  <c r="K31" i="10" s="1"/>
  <c r="I31" i="10"/>
  <c r="L31" i="10" s="1"/>
  <c r="H32" i="10"/>
  <c r="K32" i="10" s="1"/>
  <c r="I32" i="10"/>
  <c r="L32" i="10" s="1"/>
  <c r="H33" i="10"/>
  <c r="I33" i="10"/>
  <c r="L33" i="10" s="1"/>
  <c r="K33" i="10"/>
  <c r="G34" i="10"/>
  <c r="J34" i="10" s="1"/>
  <c r="H34" i="10"/>
  <c r="K34" i="10" s="1"/>
  <c r="I34" i="10"/>
  <c r="L34" i="10"/>
  <c r="H35" i="10"/>
  <c r="I35" i="10"/>
  <c r="K35" i="10"/>
  <c r="L35" i="10"/>
  <c r="G36" i="10"/>
  <c r="J36" i="10" s="1"/>
  <c r="H36" i="10"/>
  <c r="K36" i="10" s="1"/>
  <c r="I36" i="10"/>
  <c r="L36" i="10" s="1"/>
  <c r="G37" i="10"/>
  <c r="H37" i="10"/>
  <c r="K37" i="10" s="1"/>
  <c r="I37" i="10"/>
  <c r="L37" i="10" s="1"/>
  <c r="J37" i="10"/>
  <c r="G38" i="10"/>
  <c r="H38" i="10"/>
  <c r="I38" i="10"/>
  <c r="J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H41" i="10"/>
  <c r="I41" i="10"/>
  <c r="L41" i="10" s="1"/>
  <c r="J41" i="10"/>
  <c r="K41" i="10"/>
  <c r="G42" i="10"/>
  <c r="J42" i="10" s="1"/>
  <c r="H42" i="10"/>
  <c r="K42" i="10" s="1"/>
  <c r="I42" i="10"/>
  <c r="L42" i="10"/>
  <c r="G43" i="10"/>
  <c r="J43" i="10" s="1"/>
  <c r="H43" i="10"/>
  <c r="I43" i="10"/>
  <c r="K43" i="10"/>
  <c r="L43" i="10"/>
  <c r="O18" i="30"/>
  <c r="P18" i="30"/>
  <c r="Q18" i="30"/>
  <c r="T18" i="30" s="1"/>
  <c r="S18" i="30"/>
  <c r="O19" i="30"/>
  <c r="P19" i="30"/>
  <c r="Q19" i="30"/>
  <c r="S19" i="30"/>
  <c r="O20" i="30"/>
  <c r="P20" i="30"/>
  <c r="Q20" i="30"/>
  <c r="R20" i="30"/>
  <c r="S20" i="30"/>
  <c r="T20" i="30"/>
  <c r="O21" i="30"/>
  <c r="R21" i="30" s="1"/>
  <c r="P21" i="30"/>
  <c r="S21" i="30" s="1"/>
  <c r="Q21" i="30"/>
  <c r="T21" i="30" s="1"/>
  <c r="O22" i="30"/>
  <c r="P22" i="30"/>
  <c r="S22" i="30" s="1"/>
  <c r="Q22" i="30"/>
  <c r="T22" i="30" s="1"/>
  <c r="O23" i="30"/>
  <c r="P23" i="30"/>
  <c r="Q23" i="30"/>
  <c r="S23" i="30"/>
  <c r="T23" i="30"/>
  <c r="O24" i="30"/>
  <c r="R24" i="30" s="1"/>
  <c r="P24" i="30"/>
  <c r="Q24" i="30"/>
  <c r="S24" i="30"/>
  <c r="T24" i="30"/>
  <c r="O25" i="30"/>
  <c r="P25" i="30"/>
  <c r="Q25" i="30"/>
  <c r="S25" i="30"/>
  <c r="T25" i="30"/>
  <c r="O26" i="30"/>
  <c r="P26" i="30"/>
  <c r="Q26" i="30"/>
  <c r="T26" i="30" s="1"/>
  <c r="R26" i="30"/>
  <c r="S26" i="30"/>
  <c r="O27" i="30"/>
  <c r="P27" i="30"/>
  <c r="Q27" i="30"/>
  <c r="O28" i="30"/>
  <c r="P28" i="30"/>
  <c r="Q28" i="30"/>
  <c r="R28" i="30"/>
  <c r="S28" i="30"/>
  <c r="T28" i="30"/>
  <c r="O29" i="30"/>
  <c r="P29" i="30"/>
  <c r="S29" i="30" s="1"/>
  <c r="Q29" i="30"/>
  <c r="T29" i="30" s="1"/>
  <c r="O30" i="30"/>
  <c r="P30" i="30"/>
  <c r="S30" i="30" s="1"/>
  <c r="Q30" i="30"/>
  <c r="T30" i="30" s="1"/>
  <c r="O31" i="30"/>
  <c r="P31" i="30"/>
  <c r="Q31" i="30"/>
  <c r="S31" i="30"/>
  <c r="T31" i="30"/>
  <c r="O32" i="30"/>
  <c r="P32" i="30"/>
  <c r="Q32" i="30"/>
  <c r="S32" i="30"/>
  <c r="T32" i="30"/>
  <c r="O33" i="30"/>
  <c r="P33" i="30"/>
  <c r="Q33" i="30"/>
  <c r="S33" i="30"/>
  <c r="T33" i="30"/>
  <c r="O34" i="30"/>
  <c r="P34" i="30"/>
  <c r="Q34" i="30"/>
  <c r="T34" i="30" s="1"/>
  <c r="R34" i="30"/>
  <c r="S34" i="30"/>
  <c r="O35" i="30"/>
  <c r="P35" i="30"/>
  <c r="Q35" i="30"/>
  <c r="T35" i="30" s="1"/>
  <c r="R35" i="30"/>
  <c r="S35" i="30"/>
  <c r="O36" i="30"/>
  <c r="P36" i="30"/>
  <c r="Q36" i="30"/>
  <c r="R36" i="30"/>
  <c r="S36" i="30"/>
  <c r="T36" i="30"/>
  <c r="O37" i="30"/>
  <c r="R37" i="30" s="1"/>
  <c r="P37" i="30"/>
  <c r="Q37" i="30"/>
  <c r="T37" i="30" s="1"/>
  <c r="O38" i="30"/>
  <c r="R38" i="30" s="1"/>
  <c r="P38" i="30"/>
  <c r="S38" i="30" s="1"/>
  <c r="Q38" i="30"/>
  <c r="O39" i="30"/>
  <c r="P39" i="30"/>
  <c r="Q39" i="30"/>
  <c r="R39" i="30"/>
  <c r="S39" i="30"/>
  <c r="T39" i="30"/>
  <c r="O40" i="30"/>
  <c r="R40" i="30" s="1"/>
  <c r="P40" i="30"/>
  <c r="Q40" i="30"/>
  <c r="S40" i="30"/>
  <c r="T40" i="30"/>
  <c r="O41" i="30"/>
  <c r="R41" i="30" s="1"/>
  <c r="P41" i="30"/>
  <c r="Q41" i="30"/>
  <c r="S41" i="30"/>
  <c r="T41" i="30"/>
  <c r="F18" i="30"/>
  <c r="G18" i="30"/>
  <c r="H18" i="30"/>
  <c r="I18" i="30"/>
  <c r="J18" i="30"/>
  <c r="K18" i="30"/>
  <c r="L18" i="30"/>
  <c r="M18" i="30"/>
  <c r="N18" i="30"/>
  <c r="F19" i="30"/>
  <c r="G19" i="30"/>
  <c r="H19" i="30"/>
  <c r="I19" i="30"/>
  <c r="J19" i="30"/>
  <c r="K19" i="30"/>
  <c r="L19" i="30"/>
  <c r="M19" i="30"/>
  <c r="N19" i="30"/>
  <c r="F20" i="30"/>
  <c r="G20" i="30"/>
  <c r="H20" i="30"/>
  <c r="I20" i="30"/>
  <c r="J20" i="30"/>
  <c r="K20" i="30"/>
  <c r="L20" i="30"/>
  <c r="M20" i="30"/>
  <c r="N20" i="30"/>
  <c r="F21" i="30"/>
  <c r="G21" i="30"/>
  <c r="H21" i="30"/>
  <c r="I21" i="30"/>
  <c r="J21" i="30"/>
  <c r="K21" i="30"/>
  <c r="L21" i="30"/>
  <c r="M21" i="30"/>
  <c r="N21" i="30"/>
  <c r="F22" i="30"/>
  <c r="G22" i="30"/>
  <c r="H22" i="30"/>
  <c r="I22" i="30"/>
  <c r="J22" i="30"/>
  <c r="K22" i="30"/>
  <c r="L22" i="30"/>
  <c r="M22" i="30"/>
  <c r="N22" i="30"/>
  <c r="F23" i="30"/>
  <c r="G23" i="30"/>
  <c r="H23" i="30"/>
  <c r="I23" i="30"/>
  <c r="J23" i="30"/>
  <c r="K23" i="30"/>
  <c r="L23" i="30"/>
  <c r="M23" i="30"/>
  <c r="N23" i="30"/>
  <c r="F24" i="30"/>
  <c r="G24" i="30"/>
  <c r="H24" i="30"/>
  <c r="I24" i="30"/>
  <c r="J24" i="30"/>
  <c r="K24" i="30"/>
  <c r="L24" i="30"/>
  <c r="M24" i="30"/>
  <c r="N24" i="30"/>
  <c r="F25" i="30"/>
  <c r="G25" i="30"/>
  <c r="H25" i="30"/>
  <c r="I25" i="30"/>
  <c r="J25" i="30"/>
  <c r="K25" i="30"/>
  <c r="L25" i="30"/>
  <c r="M25" i="30"/>
  <c r="N25" i="30"/>
  <c r="F26" i="30"/>
  <c r="G26" i="30"/>
  <c r="H26" i="30"/>
  <c r="I26" i="30"/>
  <c r="J26" i="30"/>
  <c r="K26" i="30"/>
  <c r="L26" i="30"/>
  <c r="M26" i="30"/>
  <c r="N26" i="30"/>
  <c r="F27" i="30"/>
  <c r="G27" i="30"/>
  <c r="H27" i="30"/>
  <c r="I27" i="30"/>
  <c r="J27" i="30"/>
  <c r="K27" i="30"/>
  <c r="L27" i="30"/>
  <c r="M27" i="30"/>
  <c r="N27" i="30"/>
  <c r="F28" i="30"/>
  <c r="G28" i="30"/>
  <c r="H28" i="30"/>
  <c r="I28" i="30"/>
  <c r="J28" i="30"/>
  <c r="K28" i="30"/>
  <c r="L28" i="30"/>
  <c r="M28" i="30"/>
  <c r="N28" i="30"/>
  <c r="F29" i="30"/>
  <c r="G29" i="30"/>
  <c r="H29" i="30"/>
  <c r="I29" i="30"/>
  <c r="J29" i="30"/>
  <c r="K29" i="30"/>
  <c r="L29" i="30"/>
  <c r="M29" i="30"/>
  <c r="N29" i="30"/>
  <c r="F30" i="30"/>
  <c r="G30" i="30"/>
  <c r="H30" i="30"/>
  <c r="I30" i="30"/>
  <c r="J30" i="30"/>
  <c r="K30" i="30"/>
  <c r="L30" i="30"/>
  <c r="M30" i="30"/>
  <c r="N30" i="30"/>
  <c r="F31" i="30"/>
  <c r="G31" i="30"/>
  <c r="H31" i="30"/>
  <c r="I31" i="30"/>
  <c r="J31" i="30"/>
  <c r="K31" i="30"/>
  <c r="L31" i="30"/>
  <c r="M31" i="30"/>
  <c r="N31" i="30"/>
  <c r="F32" i="30"/>
  <c r="G32" i="30"/>
  <c r="H32" i="30"/>
  <c r="I32" i="30"/>
  <c r="J32" i="30"/>
  <c r="K32" i="30"/>
  <c r="L32" i="30"/>
  <c r="M32" i="30"/>
  <c r="N32" i="30"/>
  <c r="F33" i="30"/>
  <c r="G33" i="30"/>
  <c r="H33" i="30"/>
  <c r="I33" i="30"/>
  <c r="J33" i="30"/>
  <c r="K33" i="30"/>
  <c r="L33" i="30"/>
  <c r="M33" i="30"/>
  <c r="N33" i="30"/>
  <c r="F34" i="30"/>
  <c r="G34" i="30"/>
  <c r="H34" i="30"/>
  <c r="I34" i="30"/>
  <c r="J34" i="30"/>
  <c r="K34" i="30"/>
  <c r="L34" i="30"/>
  <c r="M34" i="30"/>
  <c r="N34" i="30"/>
  <c r="F35" i="30"/>
  <c r="G35" i="30"/>
  <c r="H35" i="30"/>
  <c r="I35" i="30"/>
  <c r="J35" i="30"/>
  <c r="K35" i="30"/>
  <c r="L35" i="30"/>
  <c r="M35" i="30"/>
  <c r="N35" i="30"/>
  <c r="F36" i="30"/>
  <c r="G36" i="30"/>
  <c r="H36" i="30"/>
  <c r="I36" i="30"/>
  <c r="J36" i="30"/>
  <c r="K36" i="30"/>
  <c r="L36" i="30"/>
  <c r="M36" i="30"/>
  <c r="N36" i="30"/>
  <c r="F37" i="30"/>
  <c r="G37" i="30"/>
  <c r="H37" i="30"/>
  <c r="I37" i="30"/>
  <c r="J37" i="30"/>
  <c r="K37" i="30"/>
  <c r="L37" i="30"/>
  <c r="M37" i="30"/>
  <c r="N37" i="30"/>
  <c r="F38" i="30"/>
  <c r="G38" i="30"/>
  <c r="H38" i="30"/>
  <c r="I38" i="30"/>
  <c r="J38" i="30"/>
  <c r="K38" i="30"/>
  <c r="L38" i="30"/>
  <c r="M38" i="30"/>
  <c r="N38" i="30"/>
  <c r="F39" i="30"/>
  <c r="G39" i="30"/>
  <c r="H39" i="30"/>
  <c r="I39" i="30"/>
  <c r="J39" i="30"/>
  <c r="K39" i="30"/>
  <c r="L39" i="30"/>
  <c r="M39" i="30"/>
  <c r="N39" i="30"/>
  <c r="F40" i="30"/>
  <c r="G40" i="30"/>
  <c r="H40" i="30"/>
  <c r="I40" i="30"/>
  <c r="J40" i="30"/>
  <c r="K40" i="30"/>
  <c r="L40" i="30"/>
  <c r="M40" i="30"/>
  <c r="N40" i="30"/>
  <c r="F41" i="30"/>
  <c r="G41" i="30"/>
  <c r="H41" i="30"/>
  <c r="I41" i="30"/>
  <c r="J41" i="30"/>
  <c r="K41" i="30"/>
  <c r="L41" i="30"/>
  <c r="M41" i="30"/>
  <c r="N41" i="30"/>
  <c r="C18" i="30"/>
  <c r="R18" i="30" s="1"/>
  <c r="D18" i="30"/>
  <c r="E18" i="30"/>
  <c r="C19" i="30"/>
  <c r="G21" i="10" s="1"/>
  <c r="J21" i="10" s="1"/>
  <c r="E19" i="1" s="1"/>
  <c r="D19" i="30"/>
  <c r="E19" i="30"/>
  <c r="C20" i="30"/>
  <c r="D20" i="30"/>
  <c r="E20" i="30"/>
  <c r="C21" i="30"/>
  <c r="D21" i="30"/>
  <c r="E21" i="30"/>
  <c r="C22" i="30"/>
  <c r="D22" i="30"/>
  <c r="E22" i="30"/>
  <c r="D23" i="30"/>
  <c r="E23" i="30"/>
  <c r="C24" i="30"/>
  <c r="D24" i="30"/>
  <c r="E24" i="30"/>
  <c r="C25" i="30"/>
  <c r="D25" i="30"/>
  <c r="E25" i="30"/>
  <c r="C26" i="30"/>
  <c r="D26" i="30"/>
  <c r="E26" i="30"/>
  <c r="C28" i="30"/>
  <c r="D28" i="30"/>
  <c r="E28" i="30"/>
  <c r="D29" i="30"/>
  <c r="E29" i="30"/>
  <c r="D30" i="30"/>
  <c r="E30" i="30"/>
  <c r="D31" i="30"/>
  <c r="E31" i="30"/>
  <c r="C32" i="30"/>
  <c r="D32" i="30"/>
  <c r="E32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C40" i="30"/>
  <c r="D40" i="30"/>
  <c r="E40" i="30"/>
  <c r="C41" i="30"/>
  <c r="D41" i="30"/>
  <c r="E41" i="30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E11" i="7"/>
  <c r="N11" i="30" s="1"/>
  <c r="AS13" i="10" s="1"/>
  <c r="AV13" i="10" s="1"/>
  <c r="P11" i="1" s="1"/>
  <c r="E12" i="7"/>
  <c r="E13" i="7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E17" i="7"/>
  <c r="N17" i="30" s="1"/>
  <c r="AS19" i="10" s="1"/>
  <c r="AV19" i="10" s="1"/>
  <c r="P17" i="1" s="1"/>
  <c r="D5" i="7"/>
  <c r="M5" i="30" s="1"/>
  <c r="AR7" i="10" s="1"/>
  <c r="AU7" i="10" s="1"/>
  <c r="O5" i="1" s="1"/>
  <c r="D4" i="7"/>
  <c r="N4" i="30"/>
  <c r="AS6" i="10" s="1"/>
  <c r="AV6" i="10" s="1"/>
  <c r="P4" i="1" s="1"/>
  <c r="E41" i="8"/>
  <c r="C6" i="8"/>
  <c r="D6" i="8"/>
  <c r="E6" i="8"/>
  <c r="K6" i="30" s="1"/>
  <c r="AG8" i="10" s="1"/>
  <c r="AJ8" i="10" s="1"/>
  <c r="M6" i="1" s="1"/>
  <c r="C7" i="8"/>
  <c r="D7" i="8"/>
  <c r="E7" i="8"/>
  <c r="C8" i="8"/>
  <c r="D8" i="8"/>
  <c r="E8" i="8"/>
  <c r="C9" i="8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D12" i="8"/>
  <c r="E12" i="8"/>
  <c r="K12" i="30" s="1"/>
  <c r="AG14" i="10" s="1"/>
  <c r="AJ14" i="10" s="1"/>
  <c r="M12" i="1" s="1"/>
  <c r="C13" i="8"/>
  <c r="D13" i="8"/>
  <c r="E13" i="8"/>
  <c r="C14" i="8"/>
  <c r="D14" i="8"/>
  <c r="E14" i="8"/>
  <c r="K14" i="30" s="1"/>
  <c r="AG16" i="10" s="1"/>
  <c r="AJ16" i="10" s="1"/>
  <c r="M14" i="1" s="1"/>
  <c r="C15" i="8"/>
  <c r="D15" i="8"/>
  <c r="J15" i="30" s="1"/>
  <c r="AF17" i="10" s="1"/>
  <c r="AI17" i="10" s="1"/>
  <c r="L15" i="1" s="1"/>
  <c r="E15" i="8"/>
  <c r="C16" i="8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E17" i="8"/>
  <c r="K17" i="30" s="1"/>
  <c r="AG19" i="10" s="1"/>
  <c r="AJ19" i="10" s="1"/>
  <c r="M17" i="1" s="1"/>
  <c r="C18" i="8"/>
  <c r="D18" i="8"/>
  <c r="E18" i="8"/>
  <c r="C19" i="8"/>
  <c r="D19" i="8"/>
  <c r="E19" i="8"/>
  <c r="C20" i="8"/>
  <c r="D20" i="8"/>
  <c r="E20" i="8"/>
  <c r="C21" i="8"/>
  <c r="D21" i="8"/>
  <c r="E21" i="8"/>
  <c r="C22" i="8"/>
  <c r="D22" i="8"/>
  <c r="E22" i="8"/>
  <c r="C23" i="8"/>
  <c r="D23" i="8"/>
  <c r="E23" i="8"/>
  <c r="C24" i="8"/>
  <c r="D24" i="8"/>
  <c r="E24" i="8"/>
  <c r="C25" i="8"/>
  <c r="D25" i="8"/>
  <c r="E25" i="8"/>
  <c r="C26" i="8"/>
  <c r="D26" i="8"/>
  <c r="E26" i="8"/>
  <c r="C27" i="8"/>
  <c r="D27" i="8"/>
  <c r="E27" i="8"/>
  <c r="C28" i="8"/>
  <c r="D28" i="8"/>
  <c r="E28" i="8"/>
  <c r="C29" i="8"/>
  <c r="D29" i="8"/>
  <c r="E29" i="8"/>
  <c r="C30" i="8"/>
  <c r="D30" i="8"/>
  <c r="E30" i="8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9" i="8"/>
  <c r="D39" i="8"/>
  <c r="E39" i="8"/>
  <c r="C40" i="8"/>
  <c r="D40" i="8"/>
  <c r="E40" i="8"/>
  <c r="D5" i="8"/>
  <c r="E5" i="8"/>
  <c r="K5" i="30" s="1"/>
  <c r="AG7" i="10" s="1"/>
  <c r="AJ7" i="10" s="1"/>
  <c r="M5" i="1" s="1"/>
  <c r="C5" i="8"/>
  <c r="J5" i="30"/>
  <c r="AF7" i="10" s="1"/>
  <c r="AI7" i="10" s="1"/>
  <c r="L5" i="1" s="1"/>
  <c r="I11" i="30"/>
  <c r="AE13" i="10" s="1"/>
  <c r="AH13" i="10" s="1"/>
  <c r="K11" i="1" s="1"/>
  <c r="J12" i="30"/>
  <c r="AF14" i="10" s="1"/>
  <c r="AI14" i="10" s="1"/>
  <c r="L12" i="1" s="1"/>
  <c r="J13" i="30"/>
  <c r="AF15" i="10" s="1"/>
  <c r="AI15" i="10" s="1"/>
  <c r="L13" i="1" s="1"/>
  <c r="C41" i="8"/>
  <c r="D41" i="8"/>
  <c r="J6" i="30"/>
  <c r="AF8" i="10" s="1"/>
  <c r="AI8" i="10" s="1"/>
  <c r="L6" i="1" s="1"/>
  <c r="K7" i="30"/>
  <c r="AG9" i="10" s="1"/>
  <c r="AJ9" i="10" s="1"/>
  <c r="M7" i="1" s="1"/>
  <c r="K10" i="30"/>
  <c r="AG12" i="10" s="1"/>
  <c r="AJ12" i="10" s="1"/>
  <c r="M10" i="1" s="1"/>
  <c r="I12" i="30"/>
  <c r="AE14" i="10" s="1"/>
  <c r="AH14" i="10" s="1"/>
  <c r="K12" i="1" s="1"/>
  <c r="D4" i="8"/>
  <c r="E4" i="8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C23" i="30" s="1"/>
  <c r="D23" i="5"/>
  <c r="E23" i="5"/>
  <c r="C24" i="5"/>
  <c r="D24" i="5"/>
  <c r="E24" i="5"/>
  <c r="C25" i="5"/>
  <c r="D25" i="5"/>
  <c r="E25" i="5"/>
  <c r="C26" i="5"/>
  <c r="D26" i="5"/>
  <c r="E26" i="5"/>
  <c r="C27" i="5"/>
  <c r="C27" i="30" s="1"/>
  <c r="D27" i="5"/>
  <c r="D27" i="30" s="1"/>
  <c r="E27" i="5"/>
  <c r="E27" i="30" s="1"/>
  <c r="I29" i="10" s="1"/>
  <c r="L29" i="10" s="1"/>
  <c r="G27" i="1" s="1"/>
  <c r="V27" i="1" s="1"/>
  <c r="C28" i="5"/>
  <c r="D28" i="5"/>
  <c r="E28" i="5"/>
  <c r="C29" i="5"/>
  <c r="C29" i="30" s="1"/>
  <c r="G31" i="10" s="1"/>
  <c r="J31" i="10" s="1"/>
  <c r="E29" i="1" s="1"/>
  <c r="T29" i="1" s="1"/>
  <c r="D29" i="5"/>
  <c r="E29" i="5"/>
  <c r="C30" i="5"/>
  <c r="C30" i="30" s="1"/>
  <c r="G32" i="10" s="1"/>
  <c r="J32" i="10" s="1"/>
  <c r="E30" i="1" s="1"/>
  <c r="T30" i="1" s="1"/>
  <c r="D30" i="5"/>
  <c r="E30" i="5"/>
  <c r="C31" i="5"/>
  <c r="C31" i="30" s="1"/>
  <c r="D31" i="5"/>
  <c r="E31" i="5"/>
  <c r="C32" i="5"/>
  <c r="D32" i="5"/>
  <c r="E32" i="5"/>
  <c r="C33" i="5"/>
  <c r="C33" i="30" s="1"/>
  <c r="G35" i="10" s="1"/>
  <c r="J35" i="10" s="1"/>
  <c r="E33" i="1" s="1"/>
  <c r="T33" i="1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C41" i="5"/>
  <c r="D41" i="5"/>
  <c r="E41" i="5"/>
  <c r="BE11" i="10"/>
  <c r="BH11" i="10" s="1"/>
  <c r="S9" i="1" s="1"/>
  <c r="BE15" i="10"/>
  <c r="BH15" i="10" s="1"/>
  <c r="S13" i="1" s="1"/>
  <c r="BD16" i="10"/>
  <c r="BG16" i="10" s="1"/>
  <c r="R14" i="1" s="1"/>
  <c r="I5" i="30"/>
  <c r="AE7" i="10" s="1"/>
  <c r="AH7" i="10" s="1"/>
  <c r="K5" i="1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L6" i="30"/>
  <c r="AQ8" i="10" s="1"/>
  <c r="AT8" i="10" s="1"/>
  <c r="N6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I7" i="30"/>
  <c r="AE9" i="10" s="1"/>
  <c r="AH9" i="10" s="1"/>
  <c r="K7" i="1" s="1"/>
  <c r="J7" i="30"/>
  <c r="AF9" i="10" s="1"/>
  <c r="AI9" i="10" s="1"/>
  <c r="L7" i="1" s="1"/>
  <c r="L7" i="30"/>
  <c r="AQ9" i="10" s="1"/>
  <c r="AT9" i="10" s="1"/>
  <c r="N7" i="1" s="1"/>
  <c r="M7" i="30"/>
  <c r="AR9" i="10" s="1"/>
  <c r="AU9" i="10" s="1"/>
  <c r="O7" i="1" s="1"/>
  <c r="N7" i="30"/>
  <c r="AS9" i="10" s="1"/>
  <c r="AV9" i="10" s="1"/>
  <c r="P7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J8" i="30"/>
  <c r="AF10" i="10" s="1"/>
  <c r="AI10" i="10" s="1"/>
  <c r="L8" i="1" s="1"/>
  <c r="K8" i="30"/>
  <c r="AG10" i="10" s="1"/>
  <c r="AJ10" i="10" s="1"/>
  <c r="M8" i="1" s="1"/>
  <c r="M8" i="30"/>
  <c r="AR10" i="10" s="1"/>
  <c r="AU10" i="10" s="1"/>
  <c r="O8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M9" i="30"/>
  <c r="AR11" i="10" s="1"/>
  <c r="AU11" i="10" s="1"/>
  <c r="O9" i="1" s="1"/>
  <c r="O9" i="30"/>
  <c r="BC11" i="10" s="1"/>
  <c r="BF11" i="10" s="1"/>
  <c r="Q9" i="1" s="1"/>
  <c r="P9" i="30"/>
  <c r="BD11" i="10" s="1"/>
  <c r="BG11" i="10" s="1"/>
  <c r="R9" i="1" s="1"/>
  <c r="Q9" i="30"/>
  <c r="N10" i="30"/>
  <c r="AS12" i="10" s="1"/>
  <c r="AV12" i="10" s="1"/>
  <c r="P10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M12" i="30"/>
  <c r="AR14" i="10" s="1"/>
  <c r="AU14" i="10" s="1"/>
  <c r="O12" i="1" s="1"/>
  <c r="N12" i="30"/>
  <c r="AS14" i="10" s="1"/>
  <c r="AV14" i="10" s="1"/>
  <c r="P12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L13" i="30"/>
  <c r="AQ15" i="10" s="1"/>
  <c r="AT15" i="10" s="1"/>
  <c r="N13" i="1" s="1"/>
  <c r="N13" i="30"/>
  <c r="AS15" i="10" s="1"/>
  <c r="AV15" i="10" s="1"/>
  <c r="P13" i="1" s="1"/>
  <c r="O13" i="30"/>
  <c r="BC15" i="10" s="1"/>
  <c r="BF15" i="10" s="1"/>
  <c r="Q13" i="1" s="1"/>
  <c r="P13" i="30"/>
  <c r="BD15" i="10" s="1"/>
  <c r="BG15" i="10" s="1"/>
  <c r="R13" i="1" s="1"/>
  <c r="Q13" i="30"/>
  <c r="J14" i="30"/>
  <c r="AF16" i="10" s="1"/>
  <c r="AI16" i="10" s="1"/>
  <c r="L14" i="1" s="1"/>
  <c r="L14" i="30"/>
  <c r="AQ16" i="10" s="1"/>
  <c r="AT16" i="10" s="1"/>
  <c r="N14" i="1" s="1"/>
  <c r="O14" i="30"/>
  <c r="BC16" i="10" s="1"/>
  <c r="BF16" i="10" s="1"/>
  <c r="Q14" i="1" s="1"/>
  <c r="P14" i="30"/>
  <c r="Q14" i="30"/>
  <c r="BE16" i="10" s="1"/>
  <c r="BH16" i="10" s="1"/>
  <c r="S14" i="1" s="1"/>
  <c r="K15" i="30"/>
  <c r="AG17" i="10" s="1"/>
  <c r="AJ17" i="10" s="1"/>
  <c r="M15" i="1" s="1"/>
  <c r="L15" i="30"/>
  <c r="AQ17" i="10" s="1"/>
  <c r="AT17" i="10" s="1"/>
  <c r="N15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N16" i="30"/>
  <c r="AS18" i="10" s="1"/>
  <c r="AV18" i="10" s="1"/>
  <c r="P16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M17" i="30"/>
  <c r="AR19" i="10" s="1"/>
  <c r="AU19" i="10" s="1"/>
  <c r="O17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P4" i="30"/>
  <c r="BD6" i="10" s="1"/>
  <c r="Q4" i="30"/>
  <c r="BE6" i="10" s="1"/>
  <c r="BH6" i="10" s="1"/>
  <c r="S4" i="1" s="1"/>
  <c r="K4" i="30"/>
  <c r="AG6" i="10" s="1"/>
  <c r="AJ6" i="10" s="1"/>
  <c r="M4" i="1" s="1"/>
  <c r="H5" i="30"/>
  <c r="U7" i="10" s="1"/>
  <c r="X7" i="10" s="1"/>
  <c r="J5" i="1" s="1"/>
  <c r="F6" i="30"/>
  <c r="S8" i="10" s="1"/>
  <c r="V8" i="10" s="1"/>
  <c r="H6" i="1" s="1"/>
  <c r="F7" i="30"/>
  <c r="S9" i="10" s="1"/>
  <c r="V9" i="10" s="1"/>
  <c r="H7" i="1" s="1"/>
  <c r="F8" i="30"/>
  <c r="S10" i="10" s="1"/>
  <c r="V10" i="10" s="1"/>
  <c r="H8" i="1" s="1"/>
  <c r="H8" i="30"/>
  <c r="U10" i="10" s="1"/>
  <c r="X10" i="10" s="1"/>
  <c r="J8" i="1" s="1"/>
  <c r="H9" i="30"/>
  <c r="U11" i="10" s="1"/>
  <c r="X11" i="10" s="1"/>
  <c r="J9" i="1" s="1"/>
  <c r="F11" i="30"/>
  <c r="S13" i="10" s="1"/>
  <c r="V13" i="10" s="1"/>
  <c r="H11" i="1" s="1"/>
  <c r="G11" i="30"/>
  <c r="T13" i="10" s="1"/>
  <c r="W13" i="10" s="1"/>
  <c r="I11" i="1" s="1"/>
  <c r="G12" i="30"/>
  <c r="T14" i="10" s="1"/>
  <c r="W14" i="10" s="1"/>
  <c r="I12" i="1" s="1"/>
  <c r="G13" i="30"/>
  <c r="T15" i="10" s="1"/>
  <c r="W15" i="10" s="1"/>
  <c r="I13" i="1" s="1"/>
  <c r="F14" i="30"/>
  <c r="S16" i="10" s="1"/>
  <c r="V16" i="10" s="1"/>
  <c r="H14" i="1" s="1"/>
  <c r="F15" i="30"/>
  <c r="S17" i="10" s="1"/>
  <c r="V17" i="10" s="1"/>
  <c r="H15" i="1" s="1"/>
  <c r="G16" i="30"/>
  <c r="T18" i="10" s="1"/>
  <c r="W18" i="10" s="1"/>
  <c r="I16" i="1" s="1"/>
  <c r="H16" i="30"/>
  <c r="U18" i="10" s="1"/>
  <c r="X18" i="10" s="1"/>
  <c r="J16" i="1" s="1"/>
  <c r="H17" i="30"/>
  <c r="U19" i="10" s="1"/>
  <c r="X19" i="10" s="1"/>
  <c r="J17" i="1" s="1"/>
  <c r="C5" i="30"/>
  <c r="G7" i="10" s="1"/>
  <c r="J7" i="10" s="1"/>
  <c r="E5" i="1" s="1"/>
  <c r="D5" i="30"/>
  <c r="H7" i="10" s="1"/>
  <c r="K7" i="10" s="1"/>
  <c r="F5" i="1" s="1"/>
  <c r="E8" i="30"/>
  <c r="I10" i="10" s="1"/>
  <c r="L10" i="10" s="1"/>
  <c r="G8" i="1" s="1"/>
  <c r="E9" i="30"/>
  <c r="D11" i="30"/>
  <c r="H13" i="10" s="1"/>
  <c r="K13" i="10" s="1"/>
  <c r="F11" i="1" s="1"/>
  <c r="E12" i="30"/>
  <c r="I14" i="10" s="1"/>
  <c r="L14" i="10" s="1"/>
  <c r="G12" i="1" s="1"/>
  <c r="D15" i="30"/>
  <c r="H17" i="10" s="1"/>
  <c r="K17" i="10" s="1"/>
  <c r="F15" i="1" s="1"/>
  <c r="E15" i="30"/>
  <c r="I17" i="10" s="1"/>
  <c r="L17" i="10" s="1"/>
  <c r="G15" i="1" s="1"/>
  <c r="C16" i="30"/>
  <c r="G18" i="10" s="1"/>
  <c r="J18" i="10" s="1"/>
  <c r="E16" i="1" s="1"/>
  <c r="D16" i="30"/>
  <c r="E16" i="30"/>
  <c r="I18" i="10" s="1"/>
  <c r="L18" i="10" s="1"/>
  <c r="G16" i="1" s="1"/>
  <c r="C17" i="30"/>
  <c r="G19" i="10" s="1"/>
  <c r="J19" i="10" s="1"/>
  <c r="E17" i="1" s="1"/>
  <c r="E4" i="30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D17" i="7"/>
  <c r="C17" i="7"/>
  <c r="L17" i="30" s="1"/>
  <c r="AQ19" i="10" s="1"/>
  <c r="AT19" i="10" s="1"/>
  <c r="N17" i="1" s="1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D14" i="7"/>
  <c r="M14" i="30" s="1"/>
  <c r="AR16" i="10" s="1"/>
  <c r="AU16" i="10" s="1"/>
  <c r="O14" i="1" s="1"/>
  <c r="C14" i="7"/>
  <c r="D13" i="7"/>
  <c r="M13" i="30" s="1"/>
  <c r="AR15" i="10" s="1"/>
  <c r="AU15" i="10" s="1"/>
  <c r="O13" i="1" s="1"/>
  <c r="C13" i="7"/>
  <c r="D12" i="7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C9" i="7"/>
  <c r="L9" i="30" s="1"/>
  <c r="AQ11" i="10" s="1"/>
  <c r="AT11" i="10" s="1"/>
  <c r="N9" i="1" s="1"/>
  <c r="D8" i="7"/>
  <c r="C8" i="7"/>
  <c r="L8" i="30" s="1"/>
  <c r="AQ10" i="10" s="1"/>
  <c r="AT10" i="10" s="1"/>
  <c r="N8" i="1" s="1"/>
  <c r="D7" i="7"/>
  <c r="C7" i="7"/>
  <c r="D6" i="7"/>
  <c r="M6" i="30" s="1"/>
  <c r="AR8" i="10" s="1"/>
  <c r="AU8" i="10" s="1"/>
  <c r="O6" i="1" s="1"/>
  <c r="C6" i="7"/>
  <c r="C5" i="7"/>
  <c r="L5" i="30" s="1"/>
  <c r="AQ7" i="10" s="1"/>
  <c r="AT7" i="10" s="1"/>
  <c r="N5" i="1" s="1"/>
  <c r="C4" i="7"/>
  <c r="W42" i="8"/>
  <c r="T42" i="8"/>
  <c r="Q42" i="8"/>
  <c r="N42" i="8"/>
  <c r="K42" i="8"/>
  <c r="H42" i="8"/>
  <c r="G42" i="8"/>
  <c r="I42" i="8"/>
  <c r="J42" i="8"/>
  <c r="L42" i="8"/>
  <c r="M42" i="8"/>
  <c r="O42" i="8"/>
  <c r="P42" i="8"/>
  <c r="R42" i="8"/>
  <c r="S42" i="8"/>
  <c r="U42" i="8"/>
  <c r="V42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C6" i="9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D8" i="9"/>
  <c r="G8" i="30" s="1"/>
  <c r="T10" i="10" s="1"/>
  <c r="W10" i="10" s="1"/>
  <c r="I8" i="1" s="1"/>
  <c r="E8" i="9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D11" i="9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E13" i="9"/>
  <c r="H13" i="30" s="1"/>
  <c r="U15" i="10" s="1"/>
  <c r="X15" i="10" s="1"/>
  <c r="J13" i="1" s="1"/>
  <c r="C14" i="9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D16" i="9"/>
  <c r="E16" i="9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D4" i="9"/>
  <c r="G4" i="30" s="1"/>
  <c r="T6" i="10" s="1"/>
  <c r="E4" i="9"/>
  <c r="H4" i="30" s="1"/>
  <c r="U6" i="10" s="1"/>
  <c r="X6" i="10" s="1"/>
  <c r="J4" i="1" s="1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C5" i="5"/>
  <c r="D5" i="5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E11" i="5"/>
  <c r="E11" i="30" s="1"/>
  <c r="I13" i="10" s="1"/>
  <c r="L13" i="10" s="1"/>
  <c r="G11" i="1" s="1"/>
  <c r="C12" i="5"/>
  <c r="C12" i="30" s="1"/>
  <c r="D12" i="5"/>
  <c r="D12" i="30" s="1"/>
  <c r="E12" i="5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E15" i="5"/>
  <c r="C16" i="5"/>
  <c r="D16" i="5"/>
  <c r="E16" i="5"/>
  <c r="C17" i="5"/>
  <c r="D17" i="5"/>
  <c r="D17" i="30" s="1"/>
  <c r="H19" i="10" s="1"/>
  <c r="K19" i="10" s="1"/>
  <c r="F17" i="1" s="1"/>
  <c r="E17" i="5"/>
  <c r="E17" i="30" s="1"/>
  <c r="D4" i="5"/>
  <c r="D4" i="30" s="1"/>
  <c r="E4" i="5"/>
  <c r="C4" i="5"/>
  <c r="DO42" i="5"/>
  <c r="DN42" i="5"/>
  <c r="DM42" i="5"/>
  <c r="DL42" i="5"/>
  <c r="DK42" i="5"/>
  <c r="DJ42" i="5"/>
  <c r="DI42" i="5"/>
  <c r="DH42" i="5"/>
  <c r="DG42" i="5"/>
  <c r="DF42" i="5"/>
  <c r="DE42" i="5"/>
  <c r="DD42" i="5"/>
  <c r="DC42" i="5"/>
  <c r="DB42" i="5"/>
  <c r="DA42" i="5"/>
  <c r="CZ42" i="5"/>
  <c r="CY42" i="5"/>
  <c r="CX42" i="5"/>
  <c r="CW42" i="5"/>
  <c r="CV42" i="5"/>
  <c r="CU42" i="5"/>
  <c r="CT42" i="5"/>
  <c r="CS42" i="5"/>
  <c r="CR42" i="5"/>
  <c r="CQ42" i="5"/>
  <c r="CP42" i="5"/>
  <c r="CO42" i="5"/>
  <c r="CN42" i="5"/>
  <c r="CM42" i="5"/>
  <c r="CL42" i="5"/>
  <c r="CK42" i="5"/>
  <c r="CJ42" i="5"/>
  <c r="CI42" i="5"/>
  <c r="CH42" i="5"/>
  <c r="CG42" i="5"/>
  <c r="CF42" i="5"/>
  <c r="CE42" i="5"/>
  <c r="CD42" i="5"/>
  <c r="CC42" i="5"/>
  <c r="CB42" i="5"/>
  <c r="CA42" i="5"/>
  <c r="BZ42" i="5"/>
  <c r="BY42" i="5"/>
  <c r="BX42" i="5"/>
  <c r="BW42" i="5"/>
  <c r="BV42" i="5"/>
  <c r="BU42" i="5"/>
  <c r="BT42" i="5"/>
  <c r="BS42" i="5"/>
  <c r="BR42" i="5"/>
  <c r="BQ42" i="5"/>
  <c r="BP42" i="5"/>
  <c r="BO42" i="5"/>
  <c r="BN42" i="5"/>
  <c r="BM42" i="5"/>
  <c r="BL42" i="5"/>
  <c r="BK42" i="5"/>
  <c r="BJ42" i="5"/>
  <c r="BI42" i="5"/>
  <c r="BH42" i="5"/>
  <c r="BG42" i="5"/>
  <c r="BF42" i="5"/>
  <c r="BE42" i="5"/>
  <c r="BD42" i="5"/>
  <c r="BC42" i="5"/>
  <c r="BB42" i="5"/>
  <c r="BA42" i="5"/>
  <c r="AZ42" i="5"/>
  <c r="AY42" i="5"/>
  <c r="AX42" i="5"/>
  <c r="AW42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O4" i="30"/>
  <c r="BC6" i="10" s="1"/>
  <c r="E3" i="4"/>
  <c r="F42" i="8"/>
  <c r="C4" i="9"/>
  <c r="F4" i="30" s="1"/>
  <c r="S6" i="10" s="1"/>
  <c r="F42" i="9"/>
  <c r="G42" i="5"/>
  <c r="F42" i="5"/>
  <c r="I6" i="30"/>
  <c r="AE8" i="10" s="1"/>
  <c r="AH8" i="10" s="1"/>
  <c r="K6" i="1" s="1"/>
  <c r="I8" i="30"/>
  <c r="AE10" i="10" s="1"/>
  <c r="AH10" i="10" s="1"/>
  <c r="K8" i="1" s="1"/>
  <c r="I9" i="30"/>
  <c r="AE11" i="10" s="1"/>
  <c r="AH11" i="10" s="1"/>
  <c r="K9" i="1" s="1"/>
  <c r="J10" i="30"/>
  <c r="AF12" i="10" s="1"/>
  <c r="AI12" i="10" s="1"/>
  <c r="L10" i="1" s="1"/>
  <c r="I13" i="30"/>
  <c r="AE15" i="10" s="1"/>
  <c r="AH15" i="10" s="1"/>
  <c r="K13" i="1" s="1"/>
  <c r="I14" i="30"/>
  <c r="AE16" i="10" s="1"/>
  <c r="AH16" i="10" s="1"/>
  <c r="K14" i="1" s="1"/>
  <c r="I15" i="30"/>
  <c r="AE17" i="10" s="1"/>
  <c r="AH17" i="10" s="1"/>
  <c r="K15" i="1" s="1"/>
  <c r="I16" i="30"/>
  <c r="AE18" i="10" s="1"/>
  <c r="AH18" i="10" s="1"/>
  <c r="K16" i="1" s="1"/>
  <c r="J16" i="30"/>
  <c r="AF18" i="10" s="1"/>
  <c r="AI18" i="10" s="1"/>
  <c r="L16" i="1" s="1"/>
  <c r="J17" i="30"/>
  <c r="AF19" i="10" s="1"/>
  <c r="AI19" i="10" s="1"/>
  <c r="L17" i="1" s="1"/>
  <c r="R30" i="30" l="1"/>
  <c r="R29" i="30"/>
  <c r="G25" i="10"/>
  <c r="J25" i="10" s="1"/>
  <c r="E23" i="1" s="1"/>
  <c r="T23" i="1" s="1"/>
  <c r="R23" i="30"/>
  <c r="G20" i="10"/>
  <c r="J20" i="10" s="1"/>
  <c r="E18" i="1" s="1"/>
  <c r="T18" i="1" s="1"/>
  <c r="T27" i="30"/>
  <c r="H29" i="10"/>
  <c r="K29" i="10" s="1"/>
  <c r="F27" i="1" s="1"/>
  <c r="U27" i="1" s="1"/>
  <c r="S27" i="30"/>
  <c r="R19" i="30"/>
  <c r="T19" i="1"/>
  <c r="R31" i="30"/>
  <c r="G33" i="10"/>
  <c r="J33" i="10" s="1"/>
  <c r="E31" i="1" s="1"/>
  <c r="T31" i="1" s="1"/>
  <c r="R27" i="30"/>
  <c r="G29" i="10"/>
  <c r="J29" i="10" s="1"/>
  <c r="E27" i="1" s="1"/>
  <c r="T27" i="1"/>
  <c r="T38" i="30"/>
  <c r="R33" i="30"/>
  <c r="R25" i="30"/>
  <c r="R22" i="30"/>
  <c r="T19" i="30"/>
  <c r="R32" i="30"/>
  <c r="S37" i="30"/>
  <c r="S18" i="10"/>
  <c r="V18" i="10" s="1"/>
  <c r="H16" i="1" s="1"/>
  <c r="T16" i="1" s="1"/>
  <c r="R16" i="30"/>
  <c r="U9" i="1"/>
  <c r="V16" i="1"/>
  <c r="U14" i="1"/>
  <c r="T9" i="1"/>
  <c r="S16" i="30"/>
  <c r="T17" i="1"/>
  <c r="T8" i="30"/>
  <c r="T14" i="1"/>
  <c r="U13" i="1"/>
  <c r="U15" i="1"/>
  <c r="T5" i="1"/>
  <c r="T13" i="1"/>
  <c r="T4" i="30"/>
  <c r="T16" i="30"/>
  <c r="T15" i="1"/>
  <c r="U17" i="1"/>
  <c r="V6" i="1"/>
  <c r="T9" i="30"/>
  <c r="U7" i="1"/>
  <c r="U11" i="1"/>
  <c r="T15" i="30"/>
  <c r="T7" i="1"/>
  <c r="U6" i="1"/>
  <c r="V8" i="1"/>
  <c r="U10" i="1"/>
  <c r="U5" i="1"/>
  <c r="T6" i="1"/>
  <c r="T11" i="1"/>
  <c r="T10" i="1"/>
  <c r="I19" i="10"/>
  <c r="L19" i="10" s="1"/>
  <c r="G17" i="1" s="1"/>
  <c r="V17" i="1" s="1"/>
  <c r="T17" i="30"/>
  <c r="T5" i="30"/>
  <c r="I7" i="10"/>
  <c r="L7" i="10" s="1"/>
  <c r="G5" i="1" s="1"/>
  <c r="V5" i="1" s="1"/>
  <c r="S8" i="30"/>
  <c r="H10" i="10"/>
  <c r="K10" i="10" s="1"/>
  <c r="F8" i="1" s="1"/>
  <c r="U8" i="1" s="1"/>
  <c r="H14" i="10"/>
  <c r="K14" i="10" s="1"/>
  <c r="F12" i="1" s="1"/>
  <c r="U12" i="1" s="1"/>
  <c r="S12" i="30"/>
  <c r="G14" i="10"/>
  <c r="J14" i="10" s="1"/>
  <c r="E12" i="1" s="1"/>
  <c r="T12" i="1" s="1"/>
  <c r="R12" i="30"/>
  <c r="I15" i="10"/>
  <c r="L15" i="10" s="1"/>
  <c r="G13" i="1" s="1"/>
  <c r="V13" i="1" s="1"/>
  <c r="T13" i="30"/>
  <c r="R5" i="30"/>
  <c r="I11" i="10"/>
  <c r="L11" i="10" s="1"/>
  <c r="G9" i="1" s="1"/>
  <c r="V9" i="1" s="1"/>
  <c r="S5" i="30"/>
  <c r="S13" i="30"/>
  <c r="I6" i="10"/>
  <c r="L6" i="10" s="1"/>
  <c r="G4" i="1" s="1"/>
  <c r="V4" i="1" s="1"/>
  <c r="H18" i="10"/>
  <c r="K18" i="10" s="1"/>
  <c r="F16" i="1" s="1"/>
  <c r="U16" i="1" s="1"/>
  <c r="T12" i="30"/>
  <c r="R15" i="30"/>
  <c r="T11" i="30"/>
  <c r="T6" i="30"/>
  <c r="T14" i="30"/>
  <c r="S11" i="30"/>
  <c r="S6" i="30"/>
  <c r="R14" i="30"/>
  <c r="S17" i="30"/>
  <c r="S9" i="30"/>
  <c r="S14" i="30"/>
  <c r="R17" i="30"/>
  <c r="S7" i="30"/>
  <c r="S15" i="30"/>
  <c r="T10" i="30"/>
  <c r="T7" i="30"/>
  <c r="R13" i="30"/>
  <c r="S10" i="30"/>
  <c r="R11" i="30"/>
  <c r="R10" i="30"/>
  <c r="R9" i="30"/>
  <c r="R8" i="30"/>
  <c r="G10" i="10"/>
  <c r="J10" i="10" s="1"/>
  <c r="E8" i="1" s="1"/>
  <c r="T8" i="1" s="1"/>
  <c r="R7" i="30"/>
  <c r="R6" i="30"/>
  <c r="V15" i="1"/>
  <c r="V14" i="1"/>
  <c r="V12" i="1"/>
  <c r="V11" i="1"/>
  <c r="V10" i="1"/>
  <c r="V7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<sst xmlns="http://schemas.openxmlformats.org/spreadsheetml/2006/main" count="2245" uniqueCount="443">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</sst>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3</c:v>
                </c:pt>
                <c:pt idx="26">
                  <c:v>2</c:v>
                </c:pt>
                <c:pt idx="27">
                  <c:v>3</c:v>
                </c:pt>
                <c:pt idx="28">
                  <c:v>0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20583F1-4B90-43C9-92A8-C1BCD79D94B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E2D2D8B-EF93-4EE4-80AE-D4606704F9A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4B70AFB-0881-4C21-B76A-03AB98027FE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BA0C708-22A5-45D4-945B-9A1D6B7F342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60A908D-E915-423E-9F98-AA08A6EF97E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0DFB433-DCAC-4975-9354-90EBBDBFFAD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DA10A38-0EF4-4F42-BF9A-596172C2C5C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E22F183-FCA1-4A4B-B0BD-4EACECB2A81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0A773DC-D34F-4628-B454-92F9B640488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9AB420E-242F-4A23-8928-02E0B0EE5C8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DA1CFD6-4CC4-4D5C-AD14-13A324C6C3D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8D4A9D5-55A6-4A52-BBC1-D1532BF245C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55CB4D6-198F-4E11-906C-6712B51CA71E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1578B6A-CFBC-4117-AF54-54B66CEA990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9D1B129-2AC5-4F77-8911-F713264E238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DDFD5B7-3156-4FCE-B644-F54E339245D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0E7483C-D5C1-4AE9-B10E-CEEA656EA6F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AA33ED6-9372-4743-A78B-C2FD992CF73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24CAF4A-3FAC-4DFA-8CB9-61F7020DE8E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69E756A-8DA2-4328-A683-E6DBDB74971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8D3BF6B-7874-44F7-ABB4-D83941EDAA3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Goals'!$T$7:$T$28</c:f>
              <c:numCache>
                <c:formatCode>General</c:formatCode>
                <c:ptCount val="22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123</c:v>
                </c:pt>
                <c:pt idx="6">
                  <c:v>55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1</c:v>
                </c:pt>
                <c:pt idx="12">
                  <c:v>3</c:v>
                </c:pt>
                <c:pt idx="13">
                  <c:v>44</c:v>
                </c:pt>
                <c:pt idx="14">
                  <c:v>49</c:v>
                </c:pt>
                <c:pt idx="15">
                  <c:v>51</c:v>
                </c:pt>
                <c:pt idx="16">
                  <c:v>80</c:v>
                </c:pt>
                <c:pt idx="17">
                  <c:v>90</c:v>
                </c:pt>
                <c:pt idx="18">
                  <c:v>114</c:v>
                </c:pt>
                <c:pt idx="19">
                  <c:v>0</c:v>
                </c:pt>
                <c:pt idx="20">
                  <c:v>68</c:v>
                </c:pt>
                <c:pt idx="21">
                  <c:v>2</c:v>
                </c:pt>
              </c:numCache>
            </c:numRef>
          </c:xVal>
          <c:yVal>
            <c:numRef>
              <c:f>'Apps &amp; Goals'!$U$7:$U$28</c:f>
              <c:numCache>
                <c:formatCode>General</c:formatCode>
                <c:ptCount val="22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  <c:pt idx="14">
                  <c:v>3</c:v>
                </c:pt>
                <c:pt idx="15">
                  <c:v>10</c:v>
                </c:pt>
                <c:pt idx="16">
                  <c:v>15</c:v>
                </c:pt>
                <c:pt idx="17">
                  <c:v>8</c:v>
                </c:pt>
                <c:pt idx="18">
                  <c:v>38</c:v>
                </c:pt>
                <c:pt idx="19">
                  <c:v>0</c:v>
                </c:pt>
                <c:pt idx="20">
                  <c:v>5</c:v>
                </c:pt>
                <c:pt idx="2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Goals'!$D$7:$D$28</c15:f>
                <c15:dlblRangeCache>
                  <c:ptCount val="22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KONSA Ezri</c:v>
                  </c:pt>
                  <c:pt idx="12">
                    <c:v>TZOLIS Christos</c:v>
                  </c:pt>
                  <c:pt idx="13">
                    <c:v>MADUEKE Nuno</c:v>
                  </c:pt>
                  <c:pt idx="14">
                    <c:v>VIEIRA Fabio</c:v>
                  </c:pt>
                  <c:pt idx="15">
                    <c:v>NWANERI Ethan</c:v>
                  </c:pt>
                  <c:pt idx="16">
                    <c:v>MERINO Mikel</c:v>
                  </c:pt>
                  <c:pt idx="17">
                    <c:v>NELSON Reiss</c:v>
                  </c:pt>
                  <c:pt idx="18">
                    <c:v>HAVERTZ Kai</c:v>
                  </c:pt>
                  <c:pt idx="19">
                    <c:v>MESLIER Illan</c:v>
                  </c:pt>
                  <c:pt idx="20">
                    <c:v>CALAFIORI Riccardo</c:v>
                  </c:pt>
                  <c:pt idx="21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Goals'!$D$7:$D$28</c15:sqref>
                        </c15:formulaRef>
                      </c:ext>
                    </c:extLst>
                    <c:strCache>
                      <c:ptCount val="22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KONSA Ezri</c:v>
                      </c:pt>
                      <c:pt idx="12">
                        <c:v>TZOLIS Christos</c:v>
                      </c:pt>
                      <c:pt idx="13">
                        <c:v>MADUEKE Nuno</c:v>
                      </c:pt>
                      <c:pt idx="14">
                        <c:v>VIEIRA Fabio</c:v>
                      </c:pt>
                      <c:pt idx="15">
                        <c:v>NWANERI Ethan</c:v>
                      </c:pt>
                      <c:pt idx="16">
                        <c:v>MERINO Mikel</c:v>
                      </c:pt>
                      <c:pt idx="17">
                        <c:v>NELSON Reiss</c:v>
                      </c:pt>
                      <c:pt idx="18">
                        <c:v>HAVERTZ Kai</c:v>
                      </c:pt>
                      <c:pt idx="19">
                        <c:v>MESLIER Illan</c:v>
                      </c:pt>
                      <c:pt idx="20">
                        <c:v>CALAFIORI Riccardo</c:v>
                      </c:pt>
                      <c:pt idx="21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Goals'!$U$7:$U$28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8</c:v>
                      </c:pt>
                      <c:pt idx="14">
                        <c:v>3</c:v>
                      </c:pt>
                      <c:pt idx="15">
                        <c:v>10</c:v>
                      </c:pt>
                      <c:pt idx="16">
                        <c:v>15</c:v>
                      </c:pt>
                      <c:pt idx="17">
                        <c:v>8</c:v>
                      </c:pt>
                      <c:pt idx="18">
                        <c:v>38</c:v>
                      </c:pt>
                      <c:pt idx="19">
                        <c:v>0</c:v>
                      </c:pt>
                      <c:pt idx="20">
                        <c:v>5</c:v>
                      </c:pt>
                      <c:pt idx="2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199" t="s">
        <v>4</v>
      </c>
      <c r="D1" s="199"/>
      <c r="E1" s="200" t="s">
        <v>120</v>
      </c>
      <c r="F1" s="200"/>
      <c r="G1" s="199" t="s">
        <v>108</v>
      </c>
      <c r="H1" s="199"/>
      <c r="I1" s="200" t="s">
        <v>110</v>
      </c>
      <c r="J1" s="200"/>
      <c r="K1" s="199" t="s">
        <v>39</v>
      </c>
      <c r="L1" s="199"/>
      <c r="M1" s="197" t="s">
        <v>7</v>
      </c>
      <c r="N1" s="198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3"/>
  <sheetViews>
    <sheetView topLeftCell="M1" zoomScale="70" zoomScaleNormal="70" zoomScalePageLayoutView="140" workbookViewId="0">
      <selection activeCell="AH49" sqref="AH49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9" si="0">G7+C7</f>
        <v>131</v>
      </c>
      <c r="K7" s="25">
        <f t="shared" ref="K7:K19" si="1">H7+D7</f>
        <v>7</v>
      </c>
      <c r="L7" s="25">
        <f t="shared" ref="L7:L19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9" si="3">S7+O7</f>
        <v>37</v>
      </c>
      <c r="W7" s="26">
        <f t="shared" ref="W7:W19" si="4">T7+P7</f>
        <v>1</v>
      </c>
      <c r="X7" s="26">
        <f t="shared" ref="X7:X19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9" si="6">AE7+AA7</f>
        <v>5</v>
      </c>
      <c r="AI7" s="24">
        <f t="shared" ref="AI7:AI19" si="7">AF7+AB7</f>
        <v>0</v>
      </c>
      <c r="AJ7" s="24">
        <f t="shared" ref="AJ7:AJ19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9" si="9">AQ7+AM7</f>
        <v>10</v>
      </c>
      <c r="AU7" s="18">
        <f t="shared" ref="AU7:AU19" si="10">AR7+AN7</f>
        <v>0</v>
      </c>
      <c r="AV7" s="18">
        <f t="shared" ref="AV7:AV19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9" si="12">BC7+AY7</f>
        <v>1</v>
      </c>
      <c r="BG7" s="33">
        <f t="shared" ref="BG7:BG19" si="13">BD7+AZ7</f>
        <v>0</v>
      </c>
      <c r="BH7" s="33">
        <f t="shared" ref="BH7:BH19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2</v>
      </c>
      <c r="H15" s="21">
        <f>'Apps &amp; Goals 26-27'!D13</f>
        <v>0</v>
      </c>
      <c r="I15" s="21">
        <f>'Apps &amp; Goals 26-27'!E13</f>
        <v>0</v>
      </c>
      <c r="J15" s="25">
        <f t="shared" si="0"/>
        <v>34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15</v>
      </c>
      <c r="B20" s="22" t="s">
        <v>438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1</v>
      </c>
      <c r="H20" s="21">
        <f>'Apps &amp; Goals 26-27'!D18</f>
        <v>0</v>
      </c>
      <c r="I20" s="21">
        <f>'Apps &amp; Goals 26-27'!E18</f>
        <v>0</v>
      </c>
      <c r="J20" s="25">
        <f t="shared" ref="J20:J43" si="15">G20+C20</f>
        <v>1</v>
      </c>
      <c r="K20" s="25">
        <f t="shared" ref="K20:K43" si="16">H20+D20</f>
        <v>0</v>
      </c>
      <c r="L20" s="25">
        <f t="shared" ref="L20:L43" si="17">I20+E20</f>
        <v>0</v>
      </c>
      <c r="N20" s="45" t="s">
        <v>438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ref="V20:V43" si="18">S20+O20</f>
        <v>0</v>
      </c>
      <c r="W20" s="26">
        <f t="shared" ref="W20:W43" si="19">T20+P20</f>
        <v>0</v>
      </c>
      <c r="X20" s="26">
        <f t="shared" ref="X20:X43" si="20">U20+Q20</f>
        <v>0</v>
      </c>
      <c r="Z20" s="57" t="s">
        <v>438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ref="AH20:AH43" si="21">AE20+AA20</f>
        <v>0</v>
      </c>
      <c r="AI20" s="24">
        <f t="shared" ref="AI20:AI43" si="22">AF20+AB20</f>
        <v>0</v>
      </c>
      <c r="AJ20" s="24">
        <f t="shared" ref="AJ20:AJ43" si="23">AG20+AC20</f>
        <v>0</v>
      </c>
      <c r="AL20" s="63" t="s">
        <v>438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ref="AT20:AT43" si="24">AQ20+AM20</f>
        <v>0</v>
      </c>
      <c r="AU20" s="18">
        <f t="shared" ref="AU20:AU43" si="25">AR20+AN20</f>
        <v>0</v>
      </c>
      <c r="AV20" s="18">
        <f t="shared" ref="AV20:AV43" si="26">AS20+AO20</f>
        <v>0</v>
      </c>
      <c r="AX20" s="32" t="s">
        <v>438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0</v>
      </c>
      <c r="BD20" s="64">
        <f>'Apps &amp; Goals 26-27'!P18</f>
        <v>0</v>
      </c>
      <c r="BE20" s="64">
        <f>'Apps &amp; Goals 26-27'!Q18</f>
        <v>0</v>
      </c>
      <c r="BF20" s="33">
        <f t="shared" ref="BF20:BF43" si="27">BC20+AY20</f>
        <v>0</v>
      </c>
      <c r="BG20" s="33">
        <f t="shared" ref="BG20:BG43" si="28">BD20+AZ20</f>
        <v>0</v>
      </c>
      <c r="BH20" s="33">
        <f t="shared" ref="BH20:BH43" si="29">BE20+BA20</f>
        <v>0</v>
      </c>
    </row>
    <row r="21" spans="1:60" x14ac:dyDescent="0.25">
      <c r="A21" s="4">
        <v>17</v>
      </c>
      <c r="B21" s="21" t="s">
        <v>344</v>
      </c>
      <c r="C21" s="25">
        <v>0</v>
      </c>
      <c r="D21" s="25">
        <v>0</v>
      </c>
      <c r="E21" s="25">
        <v>0</v>
      </c>
      <c r="F21" s="25"/>
      <c r="G21" s="21">
        <f>'Apps &amp; Goals 26-27'!C19</f>
        <v>2</v>
      </c>
      <c r="H21" s="21">
        <f>'Apps &amp; Goals 26-27'!D19</f>
        <v>0</v>
      </c>
      <c r="I21" s="21">
        <f>'Apps &amp; Goals 26-27'!E19</f>
        <v>0</v>
      </c>
      <c r="J21" s="25">
        <f t="shared" si="15"/>
        <v>2</v>
      </c>
      <c r="K21" s="25">
        <f t="shared" si="16"/>
        <v>0</v>
      </c>
      <c r="L21" s="25">
        <f t="shared" si="17"/>
        <v>0</v>
      </c>
      <c r="N21" s="45" t="s">
        <v>344</v>
      </c>
      <c r="O21" s="26">
        <v>0</v>
      </c>
      <c r="P21" s="26">
        <v>0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0</v>
      </c>
      <c r="W21" s="26">
        <f t="shared" si="19"/>
        <v>0</v>
      </c>
      <c r="X21" s="26">
        <f t="shared" si="20"/>
        <v>0</v>
      </c>
      <c r="Z21" s="23" t="s">
        <v>344</v>
      </c>
      <c r="AA21" s="24">
        <v>0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0</v>
      </c>
      <c r="AI21" s="24">
        <f t="shared" si="22"/>
        <v>0</v>
      </c>
      <c r="AJ21" s="24">
        <f t="shared" si="23"/>
        <v>0</v>
      </c>
      <c r="AL21" s="63" t="s">
        <v>344</v>
      </c>
      <c r="AM21" s="18">
        <v>0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0</v>
      </c>
      <c r="AU21" s="18">
        <f t="shared" si="25"/>
        <v>0</v>
      </c>
      <c r="AV21" s="18">
        <f t="shared" si="26"/>
        <v>0</v>
      </c>
      <c r="AX21" s="32" t="s">
        <v>344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2</v>
      </c>
      <c r="BF21" s="33">
        <f t="shared" si="27"/>
        <v>1</v>
      </c>
      <c r="BG21" s="33">
        <f t="shared" si="28"/>
        <v>0</v>
      </c>
      <c r="BH21" s="33">
        <f t="shared" si="29"/>
        <v>2</v>
      </c>
    </row>
    <row r="22" spans="1:60" x14ac:dyDescent="0.25">
      <c r="A22" s="4">
        <v>20</v>
      </c>
      <c r="B22" s="21" t="s">
        <v>316</v>
      </c>
      <c r="C22" s="25">
        <v>26</v>
      </c>
      <c r="D22" s="25">
        <v>3</v>
      </c>
      <c r="E22" s="25">
        <v>1</v>
      </c>
      <c r="F22" s="25"/>
      <c r="G22" s="21">
        <f>'Apps &amp; Goals 26-27'!C20</f>
        <v>1</v>
      </c>
      <c r="H22" s="21">
        <f>'Apps &amp; Goals 26-27'!D20</f>
        <v>0</v>
      </c>
      <c r="I22" s="21">
        <f>'Apps &amp; Goals 26-27'!E20</f>
        <v>0</v>
      </c>
      <c r="J22" s="25">
        <f t="shared" si="15"/>
        <v>27</v>
      </c>
      <c r="K22" s="25">
        <f t="shared" si="16"/>
        <v>3</v>
      </c>
      <c r="L22" s="25">
        <f t="shared" si="17"/>
        <v>1</v>
      </c>
      <c r="N22" s="20" t="s">
        <v>316</v>
      </c>
      <c r="O22" s="26">
        <v>9</v>
      </c>
      <c r="P22" s="26">
        <v>3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9</v>
      </c>
      <c r="W22" s="26">
        <f t="shared" si="19"/>
        <v>3</v>
      </c>
      <c r="X22" s="26">
        <f t="shared" si="20"/>
        <v>0</v>
      </c>
      <c r="Z22" s="23" t="s">
        <v>316</v>
      </c>
      <c r="AA22" s="24">
        <v>4</v>
      </c>
      <c r="AB22" s="24">
        <v>2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4</v>
      </c>
      <c r="AI22" s="24">
        <f t="shared" si="22"/>
        <v>2</v>
      </c>
      <c r="AJ22" s="24">
        <f t="shared" si="23"/>
        <v>2</v>
      </c>
      <c r="AL22" s="19" t="s">
        <v>316</v>
      </c>
      <c r="AM22" s="18">
        <v>3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3</v>
      </c>
      <c r="AU22" s="18">
        <f t="shared" si="25"/>
        <v>0</v>
      </c>
      <c r="AV22" s="18">
        <f t="shared" si="26"/>
        <v>0</v>
      </c>
      <c r="AX22" s="64" t="s">
        <v>316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1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1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21</v>
      </c>
      <c r="B23" s="21" t="s">
        <v>259</v>
      </c>
      <c r="C23" s="25">
        <v>33</v>
      </c>
      <c r="D23" s="25">
        <v>2</v>
      </c>
      <c r="E23" s="25">
        <v>4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15"/>
        <v>33</v>
      </c>
      <c r="K23" s="25">
        <f t="shared" si="16"/>
        <v>2</v>
      </c>
      <c r="L23" s="25">
        <f t="shared" si="17"/>
        <v>4</v>
      </c>
      <c r="N23" s="20" t="s">
        <v>259</v>
      </c>
      <c r="O23" s="26">
        <v>11</v>
      </c>
      <c r="P23" s="26">
        <v>1</v>
      </c>
      <c r="Q23" s="26">
        <v>2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11</v>
      </c>
      <c r="W23" s="26">
        <f t="shared" si="19"/>
        <v>1</v>
      </c>
      <c r="X23" s="26">
        <f t="shared" si="20"/>
        <v>2</v>
      </c>
      <c r="Z23" s="23" t="s">
        <v>259</v>
      </c>
      <c r="AA23" s="24">
        <v>2</v>
      </c>
      <c r="AB23" s="24">
        <v>0</v>
      </c>
      <c r="AC23" s="24">
        <v>2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2</v>
      </c>
      <c r="AL23" s="19" t="s">
        <v>259</v>
      </c>
      <c r="AM23" s="18">
        <v>2</v>
      </c>
      <c r="AN23" s="18">
        <v>0</v>
      </c>
      <c r="AO23" s="18">
        <v>1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2</v>
      </c>
      <c r="AU23" s="18">
        <f t="shared" si="25"/>
        <v>0</v>
      </c>
      <c r="AV23" s="18">
        <f t="shared" si="26"/>
        <v>1</v>
      </c>
      <c r="AX23" s="64" t="s">
        <v>259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1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22</v>
      </c>
      <c r="B24" s="22" t="s">
        <v>264</v>
      </c>
      <c r="C24" s="25">
        <v>34</v>
      </c>
      <c r="D24" s="25">
        <v>4</v>
      </c>
      <c r="E24" s="25">
        <v>2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34</v>
      </c>
      <c r="K24" s="25">
        <f t="shared" si="16"/>
        <v>4</v>
      </c>
      <c r="L24" s="25">
        <f t="shared" si="17"/>
        <v>2</v>
      </c>
      <c r="N24" s="45" t="s">
        <v>264</v>
      </c>
      <c r="O24" s="26">
        <v>10</v>
      </c>
      <c r="P24" s="26">
        <v>2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10</v>
      </c>
      <c r="W24" s="26">
        <f t="shared" si="19"/>
        <v>2</v>
      </c>
      <c r="X24" s="26">
        <f t="shared" si="20"/>
        <v>0</v>
      </c>
      <c r="Z24" s="23" t="s">
        <v>264</v>
      </c>
      <c r="AA24" s="24">
        <v>1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1</v>
      </c>
      <c r="AI24" s="24">
        <f t="shared" si="22"/>
        <v>0</v>
      </c>
      <c r="AJ24" s="24">
        <f t="shared" si="23"/>
        <v>0</v>
      </c>
      <c r="AL24" s="19" t="s">
        <v>264</v>
      </c>
      <c r="AM24" s="18">
        <v>6</v>
      </c>
      <c r="AN24" s="18">
        <v>4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6</v>
      </c>
      <c r="AU24" s="18">
        <f t="shared" si="25"/>
        <v>4</v>
      </c>
      <c r="AV24" s="18">
        <f t="shared" si="26"/>
        <v>0</v>
      </c>
      <c r="AX24" s="32" t="s">
        <v>264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x14ac:dyDescent="0.25">
      <c r="A25" s="4">
        <v>23</v>
      </c>
      <c r="B25" s="21" t="s">
        <v>294</v>
      </c>
      <c r="C25" s="25">
        <v>50</v>
      </c>
      <c r="D25" s="25">
        <v>11</v>
      </c>
      <c r="E25" s="25">
        <v>5</v>
      </c>
      <c r="F25" s="25"/>
      <c r="G25" s="21">
        <f>'Apps &amp; Goals 26-27'!C23</f>
        <v>2</v>
      </c>
      <c r="H25" s="21">
        <f>'Apps &amp; Goals 26-27'!D23</f>
        <v>0</v>
      </c>
      <c r="I25" s="21">
        <f>'Apps &amp; Goals 26-27'!E23</f>
        <v>0</v>
      </c>
      <c r="J25" s="25">
        <f t="shared" si="15"/>
        <v>52</v>
      </c>
      <c r="K25" s="25">
        <f t="shared" si="16"/>
        <v>11</v>
      </c>
      <c r="L25" s="25">
        <f t="shared" si="17"/>
        <v>5</v>
      </c>
      <c r="N25" s="20" t="s">
        <v>294</v>
      </c>
      <c r="O25" s="26">
        <v>19</v>
      </c>
      <c r="P25" s="26">
        <v>4</v>
      </c>
      <c r="Q25" s="26">
        <v>3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19</v>
      </c>
      <c r="W25" s="26">
        <f t="shared" si="19"/>
        <v>4</v>
      </c>
      <c r="X25" s="26">
        <f t="shared" si="20"/>
        <v>3</v>
      </c>
      <c r="Z25" s="23" t="s">
        <v>294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19" t="s">
        <v>294</v>
      </c>
      <c r="AM25" s="18">
        <v>7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7</v>
      </c>
      <c r="AU25" s="18">
        <f t="shared" si="25"/>
        <v>0</v>
      </c>
      <c r="AV25" s="18">
        <f t="shared" si="26"/>
        <v>0</v>
      </c>
      <c r="AX25" s="64" t="s">
        <v>294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x14ac:dyDescent="0.25">
      <c r="A26" s="56">
        <v>24</v>
      </c>
      <c r="B26" s="22" t="s">
        <v>115</v>
      </c>
      <c r="C26" s="25">
        <v>50</v>
      </c>
      <c r="D26" s="25">
        <v>4</v>
      </c>
      <c r="E26" s="25">
        <v>2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50</v>
      </c>
      <c r="K26" s="25">
        <f t="shared" si="16"/>
        <v>4</v>
      </c>
      <c r="L26" s="25">
        <f t="shared" si="17"/>
        <v>2</v>
      </c>
      <c r="N26" s="45" t="s">
        <v>115</v>
      </c>
      <c r="O26" s="26">
        <v>25</v>
      </c>
      <c r="P26" s="26">
        <v>1</v>
      </c>
      <c r="Q26" s="26">
        <v>4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25</v>
      </c>
      <c r="W26" s="26">
        <f t="shared" si="19"/>
        <v>1</v>
      </c>
      <c r="X26" s="26">
        <f t="shared" si="20"/>
        <v>4</v>
      </c>
      <c r="Z26" s="23" t="s">
        <v>115</v>
      </c>
      <c r="AA26" s="24">
        <v>5</v>
      </c>
      <c r="AB26" s="24">
        <v>1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5</v>
      </c>
      <c r="AI26" s="24">
        <f t="shared" si="22"/>
        <v>1</v>
      </c>
      <c r="AJ26" s="24">
        <f t="shared" si="23"/>
        <v>1</v>
      </c>
      <c r="AL26" s="19" t="s">
        <v>115</v>
      </c>
      <c r="AM26" s="18">
        <v>8</v>
      </c>
      <c r="AN26" s="18">
        <v>2</v>
      </c>
      <c r="AO26" s="18">
        <v>1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8</v>
      </c>
      <c r="AU26" s="18">
        <f t="shared" si="25"/>
        <v>2</v>
      </c>
      <c r="AV26" s="18">
        <f t="shared" si="26"/>
        <v>1</v>
      </c>
      <c r="AX26" s="32" t="s">
        <v>115</v>
      </c>
      <c r="AY26" s="33">
        <v>2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2</v>
      </c>
      <c r="BG26" s="33">
        <f t="shared" si="28"/>
        <v>0</v>
      </c>
      <c r="BH26" s="33">
        <f t="shared" si="29"/>
        <v>0</v>
      </c>
    </row>
    <row r="27" spans="1:60" x14ac:dyDescent="0.25">
      <c r="A27" s="56">
        <v>29</v>
      </c>
      <c r="B27" s="22" t="s">
        <v>276</v>
      </c>
      <c r="C27" s="25">
        <v>72</v>
      </c>
      <c r="D27" s="25">
        <v>24</v>
      </c>
      <c r="E27" s="25">
        <v>13</v>
      </c>
      <c r="F27" s="25"/>
      <c r="G27" s="21">
        <f>'Apps &amp; Goals 26-27'!C25</f>
        <v>2</v>
      </c>
      <c r="H27" s="21">
        <f>'Apps &amp; Goals 26-27'!D25</f>
        <v>1</v>
      </c>
      <c r="I27" s="21">
        <f>'Apps &amp; Goals 26-27'!E25</f>
        <v>0</v>
      </c>
      <c r="J27" s="25">
        <f t="shared" si="15"/>
        <v>74</v>
      </c>
      <c r="K27" s="25">
        <f t="shared" si="16"/>
        <v>25</v>
      </c>
      <c r="L27" s="25">
        <f t="shared" si="17"/>
        <v>13</v>
      </c>
      <c r="N27" s="20" t="s">
        <v>276</v>
      </c>
      <c r="O27" s="26">
        <v>24</v>
      </c>
      <c r="P27" s="26">
        <v>9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24</v>
      </c>
      <c r="W27" s="26">
        <f t="shared" si="19"/>
        <v>9</v>
      </c>
      <c r="X27" s="26">
        <f t="shared" si="20"/>
        <v>2</v>
      </c>
      <c r="Z27" s="57" t="s">
        <v>276</v>
      </c>
      <c r="AA27" s="24">
        <v>5</v>
      </c>
      <c r="AB27" s="24">
        <v>0</v>
      </c>
      <c r="AC27" s="24">
        <v>1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5</v>
      </c>
      <c r="AI27" s="24">
        <f t="shared" si="22"/>
        <v>0</v>
      </c>
      <c r="AJ27" s="24">
        <f t="shared" si="23"/>
        <v>1</v>
      </c>
      <c r="AL27" s="63" t="s">
        <v>276</v>
      </c>
      <c r="AM27" s="18">
        <v>9</v>
      </c>
      <c r="AN27" s="18">
        <v>3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9</v>
      </c>
      <c r="AU27" s="18">
        <f t="shared" si="25"/>
        <v>3</v>
      </c>
      <c r="AV27" s="18">
        <f t="shared" si="26"/>
        <v>0</v>
      </c>
      <c r="AX27" s="64" t="s">
        <v>276</v>
      </c>
      <c r="AY27" s="33">
        <v>1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1</v>
      </c>
      <c r="BE27" s="64">
        <f>'Apps &amp; Goals 26-27'!Q25</f>
        <v>0</v>
      </c>
      <c r="BF27" s="33">
        <f t="shared" si="27"/>
        <v>2</v>
      </c>
      <c r="BG27" s="33">
        <f t="shared" si="28"/>
        <v>1</v>
      </c>
      <c r="BH27" s="33">
        <f t="shared" si="29"/>
        <v>0</v>
      </c>
    </row>
    <row r="28" spans="1:60" x14ac:dyDescent="0.25">
      <c r="A28" s="56">
        <v>30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15"/>
        <v>0</v>
      </c>
      <c r="K28" s="25">
        <f t="shared" si="16"/>
        <v>0</v>
      </c>
      <c r="L28" s="25">
        <f t="shared" si="17"/>
        <v>0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0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0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33</v>
      </c>
      <c r="B29" s="22" t="s">
        <v>292</v>
      </c>
      <c r="C29" s="25">
        <v>45</v>
      </c>
      <c r="D29" s="25">
        <v>3</v>
      </c>
      <c r="E29" s="25">
        <v>3</v>
      </c>
      <c r="F29" s="25"/>
      <c r="G29" s="21">
        <f>'Apps &amp; Goals 26-27'!C27</f>
        <v>2</v>
      </c>
      <c r="H29" s="21">
        <f>'Apps &amp; Goals 26-27'!D27</f>
        <v>0</v>
      </c>
      <c r="I29" s="21">
        <f>'Apps &amp; Goals 26-27'!E27</f>
        <v>2</v>
      </c>
      <c r="J29" s="25">
        <f t="shared" si="15"/>
        <v>47</v>
      </c>
      <c r="K29" s="25">
        <f t="shared" si="16"/>
        <v>3</v>
      </c>
      <c r="L29" s="25">
        <f t="shared" si="17"/>
        <v>5</v>
      </c>
      <c r="N29" s="20" t="s">
        <v>292</v>
      </c>
      <c r="O29" s="26">
        <v>14</v>
      </c>
      <c r="P29" s="26">
        <v>1</v>
      </c>
      <c r="Q29" s="26">
        <v>2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14</v>
      </c>
      <c r="W29" s="26">
        <f t="shared" si="19"/>
        <v>1</v>
      </c>
      <c r="X29" s="26">
        <f t="shared" si="20"/>
        <v>2</v>
      </c>
      <c r="Z29" s="57" t="s">
        <v>292</v>
      </c>
      <c r="AA29" s="24">
        <v>2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2</v>
      </c>
      <c r="AI29" s="24">
        <f t="shared" si="22"/>
        <v>0</v>
      </c>
      <c r="AJ29" s="24">
        <f t="shared" si="23"/>
        <v>0</v>
      </c>
      <c r="AL29" s="63" t="s">
        <v>292</v>
      </c>
      <c r="AM29" s="18">
        <v>4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4</v>
      </c>
      <c r="AU29" s="18">
        <f t="shared" si="25"/>
        <v>0</v>
      </c>
      <c r="AV29" s="18">
        <f t="shared" si="26"/>
        <v>0</v>
      </c>
      <c r="AX29" s="64" t="s">
        <v>292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1</v>
      </c>
      <c r="BE29" s="64">
        <f>'Apps &amp; Goals 26-27'!Q27</f>
        <v>0</v>
      </c>
      <c r="BF29" s="33">
        <f t="shared" si="27"/>
        <v>1</v>
      </c>
      <c r="BG29" s="33">
        <f t="shared" si="28"/>
        <v>1</v>
      </c>
      <c r="BH29" s="33">
        <f t="shared" si="29"/>
        <v>0</v>
      </c>
    </row>
    <row r="30" spans="1:60" ht="15.6" customHeight="1" x14ac:dyDescent="0.25">
      <c r="A30" s="56">
        <v>35</v>
      </c>
      <c r="B30" s="22" t="s">
        <v>304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 t="shared" si="15"/>
        <v>0</v>
      </c>
      <c r="K30" s="25">
        <f t="shared" si="16"/>
        <v>0</v>
      </c>
      <c r="L30" s="25">
        <f t="shared" si="17"/>
        <v>0</v>
      </c>
      <c r="N30" s="20" t="s">
        <v>304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0</v>
      </c>
      <c r="W30" s="26">
        <f t="shared" si="19"/>
        <v>0</v>
      </c>
      <c r="X30" s="26">
        <f t="shared" si="20"/>
        <v>0</v>
      </c>
      <c r="Z30" s="57" t="s">
        <v>304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1</v>
      </c>
      <c r="AI30" s="24">
        <f t="shared" si="22"/>
        <v>0</v>
      </c>
      <c r="AJ30" s="24">
        <f t="shared" si="23"/>
        <v>0</v>
      </c>
      <c r="AL30" s="63" t="s">
        <v>304</v>
      </c>
      <c r="AM30" s="18">
        <v>1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</v>
      </c>
      <c r="AU30" s="18">
        <f t="shared" si="25"/>
        <v>0</v>
      </c>
      <c r="AV30" s="18">
        <f t="shared" si="26"/>
        <v>0</v>
      </c>
      <c r="AX30" s="64" t="s">
        <v>304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0</v>
      </c>
      <c r="BG30" s="33">
        <f t="shared" si="28"/>
        <v>0</v>
      </c>
      <c r="BH30" s="33">
        <f t="shared" si="29"/>
        <v>0</v>
      </c>
    </row>
    <row r="31" spans="1:60" ht="15.6" customHeight="1" x14ac:dyDescent="0.25">
      <c r="A31" s="56">
        <v>36</v>
      </c>
      <c r="B31" s="22" t="s">
        <v>314</v>
      </c>
      <c r="C31" s="25">
        <v>38</v>
      </c>
      <c r="D31" s="25">
        <v>5</v>
      </c>
      <c r="E31" s="25">
        <v>1</v>
      </c>
      <c r="F31" s="25"/>
      <c r="G31" s="21">
        <f>'Apps &amp; Goals 26-27'!C29</f>
        <v>2</v>
      </c>
      <c r="H31" s="21">
        <f>'Apps &amp; Goals 26-27'!D29</f>
        <v>0</v>
      </c>
      <c r="I31" s="21">
        <f>'Apps &amp; Goals 26-27'!E29</f>
        <v>0</v>
      </c>
      <c r="J31" s="25">
        <f t="shared" si="15"/>
        <v>40</v>
      </c>
      <c r="K31" s="25">
        <f t="shared" si="16"/>
        <v>5</v>
      </c>
      <c r="L31" s="25">
        <f t="shared" si="17"/>
        <v>1</v>
      </c>
      <c r="N31" s="20" t="s">
        <v>314</v>
      </c>
      <c r="O31" s="26">
        <v>13</v>
      </c>
      <c r="P31" s="26">
        <v>0</v>
      </c>
      <c r="Q31" s="26">
        <v>2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13</v>
      </c>
      <c r="W31" s="26">
        <f t="shared" si="19"/>
        <v>0</v>
      </c>
      <c r="X31" s="26">
        <f t="shared" si="20"/>
        <v>2</v>
      </c>
      <c r="Z31" s="57" t="s">
        <v>314</v>
      </c>
      <c r="AA31" s="24">
        <v>3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3</v>
      </c>
      <c r="AI31" s="24">
        <f t="shared" si="22"/>
        <v>0</v>
      </c>
      <c r="AJ31" s="24">
        <f t="shared" si="23"/>
        <v>0</v>
      </c>
      <c r="AL31" s="63" t="s">
        <v>314</v>
      </c>
      <c r="AM31" s="18">
        <v>3</v>
      </c>
      <c r="AN31" s="18">
        <v>1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3</v>
      </c>
      <c r="AU31" s="18">
        <f t="shared" si="25"/>
        <v>1</v>
      </c>
      <c r="AV31" s="18">
        <f t="shared" si="26"/>
        <v>0</v>
      </c>
      <c r="AX31" s="64" t="s">
        <v>314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1</v>
      </c>
      <c r="BG31" s="33">
        <f t="shared" si="28"/>
        <v>0</v>
      </c>
      <c r="BH31" s="33">
        <f t="shared" si="29"/>
        <v>0</v>
      </c>
    </row>
    <row r="32" spans="1:60" ht="15.6" customHeight="1" x14ac:dyDescent="0.25">
      <c r="A32" s="56">
        <v>39</v>
      </c>
      <c r="B32" s="22" t="s">
        <v>346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1</v>
      </c>
      <c r="H32" s="21">
        <f>'Apps &amp; Goals 26-27'!D30</f>
        <v>0</v>
      </c>
      <c r="I32" s="21">
        <f>'Apps &amp; Goals 26-27'!E30</f>
        <v>0</v>
      </c>
      <c r="J32" s="25">
        <f t="shared" si="15"/>
        <v>1</v>
      </c>
      <c r="K32" s="25">
        <f t="shared" si="16"/>
        <v>0</v>
      </c>
      <c r="L32" s="25">
        <f t="shared" si="17"/>
        <v>0</v>
      </c>
      <c r="N32" s="20" t="s">
        <v>346</v>
      </c>
      <c r="O32" s="26">
        <v>0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18"/>
        <v>0</v>
      </c>
      <c r="W32" s="26">
        <f t="shared" si="19"/>
        <v>0</v>
      </c>
      <c r="X32" s="26">
        <f t="shared" si="20"/>
        <v>0</v>
      </c>
      <c r="Z32" s="57" t="s">
        <v>346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21"/>
        <v>0</v>
      </c>
      <c r="AI32" s="24">
        <f t="shared" si="22"/>
        <v>0</v>
      </c>
      <c r="AJ32" s="24">
        <f t="shared" si="23"/>
        <v>0</v>
      </c>
      <c r="AL32" s="63" t="s">
        <v>346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24"/>
        <v>0</v>
      </c>
      <c r="AU32" s="18">
        <f t="shared" si="25"/>
        <v>0</v>
      </c>
      <c r="AV32" s="18">
        <f t="shared" si="26"/>
        <v>0</v>
      </c>
      <c r="AX32" s="64" t="s">
        <v>346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27"/>
        <v>1</v>
      </c>
      <c r="BG32" s="33">
        <f t="shared" si="28"/>
        <v>0</v>
      </c>
      <c r="BH32" s="33">
        <f t="shared" si="29"/>
        <v>0</v>
      </c>
    </row>
    <row r="33" spans="1:60" x14ac:dyDescent="0.25">
      <c r="A33" s="4">
        <v>41</v>
      </c>
      <c r="B33" s="22" t="s">
        <v>278</v>
      </c>
      <c r="C33" s="25">
        <v>109</v>
      </c>
      <c r="D33" s="25">
        <v>15</v>
      </c>
      <c r="E33" s="25">
        <v>20</v>
      </c>
      <c r="F33" s="25"/>
      <c r="G33" s="21">
        <f>'Apps &amp; Goals 26-27'!C31</f>
        <v>2</v>
      </c>
      <c r="H33" s="21">
        <f>'Apps &amp; Goals 26-27'!D31</f>
        <v>0</v>
      </c>
      <c r="I33" s="21">
        <f>'Apps &amp; Goals 26-27'!E31</f>
        <v>0</v>
      </c>
      <c r="J33" s="25">
        <f t="shared" si="15"/>
        <v>111</v>
      </c>
      <c r="K33" s="25">
        <f t="shared" si="16"/>
        <v>15</v>
      </c>
      <c r="L33" s="25">
        <f t="shared" si="17"/>
        <v>20</v>
      </c>
      <c r="N33" s="45" t="s">
        <v>278</v>
      </c>
      <c r="O33" s="26">
        <v>36</v>
      </c>
      <c r="P33" s="26">
        <v>5</v>
      </c>
      <c r="Q33" s="26">
        <v>5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36</v>
      </c>
      <c r="W33" s="26">
        <f t="shared" si="19"/>
        <v>5</v>
      </c>
      <c r="X33" s="26">
        <f t="shared" si="20"/>
        <v>5</v>
      </c>
      <c r="Z33" s="57" t="s">
        <v>278</v>
      </c>
      <c r="AA33" s="24">
        <v>2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2</v>
      </c>
      <c r="AI33" s="24">
        <f t="shared" si="22"/>
        <v>0</v>
      </c>
      <c r="AJ33" s="24">
        <f t="shared" si="23"/>
        <v>0</v>
      </c>
      <c r="AL33" s="63" t="s">
        <v>278</v>
      </c>
      <c r="AM33" s="18">
        <v>10</v>
      </c>
      <c r="AN33" s="18">
        <v>1</v>
      </c>
      <c r="AO33" s="18">
        <v>3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10</v>
      </c>
      <c r="AU33" s="18">
        <f t="shared" si="25"/>
        <v>1</v>
      </c>
      <c r="AV33" s="18">
        <f t="shared" si="26"/>
        <v>3</v>
      </c>
      <c r="AX33" s="32" t="s">
        <v>278</v>
      </c>
      <c r="AY33" s="33">
        <v>1</v>
      </c>
      <c r="AZ33" s="33">
        <v>0</v>
      </c>
      <c r="BA33" s="33">
        <v>0</v>
      </c>
      <c r="BB33" s="33"/>
      <c r="BC33" s="64">
        <f>'Apps &amp; Goals 26-27'!O31</f>
        <v>1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2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46</v>
      </c>
      <c r="B34" s="22" t="s">
        <v>299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N34" s="45" t="s">
        <v>299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299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299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299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298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2</v>
      </c>
      <c r="H35" s="21">
        <f>'Apps &amp; Goals 26-27'!D33</f>
        <v>0</v>
      </c>
      <c r="I35" s="21">
        <f>'Apps &amp; Goals 26-27'!E33</f>
        <v>0</v>
      </c>
      <c r="J35" s="25">
        <f t="shared" si="15"/>
        <v>45</v>
      </c>
      <c r="K35" s="25">
        <f t="shared" si="16"/>
        <v>1</v>
      </c>
      <c r="L35" s="25">
        <f t="shared" si="17"/>
        <v>0</v>
      </c>
      <c r="N35" s="45" t="s">
        <v>298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298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298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298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4">
        <v>52</v>
      </c>
      <c r="B36" s="22" t="s">
        <v>342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N36" s="45" t="s">
        <v>342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57" t="s">
        <v>342</v>
      </c>
      <c r="AA36" s="24">
        <v>1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1</v>
      </c>
      <c r="AI36" s="24">
        <f t="shared" si="22"/>
        <v>0</v>
      </c>
      <c r="AJ36" s="24">
        <f t="shared" si="23"/>
        <v>0</v>
      </c>
      <c r="AL36" s="63" t="s">
        <v>342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0</v>
      </c>
      <c r="AU36" s="18">
        <f t="shared" si="25"/>
        <v>0</v>
      </c>
      <c r="AV36" s="18">
        <f t="shared" si="26"/>
        <v>0</v>
      </c>
      <c r="AX36" s="32" t="s">
        <v>342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53</v>
      </c>
      <c r="B37" s="22" t="s">
        <v>293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N37" s="45" t="s">
        <v>293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293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293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293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323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N38" s="45" t="s">
        <v>323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323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323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323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71</v>
      </c>
      <c r="B39" s="22" t="s">
        <v>328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N39" s="45" t="s">
        <v>328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328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328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328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72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81</v>
      </c>
      <c r="B41" s="22" t="s">
        <v>340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N41" s="45" t="s">
        <v>340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340</v>
      </c>
      <c r="AA41" s="24">
        <v>0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0</v>
      </c>
      <c r="AI41" s="24">
        <f t="shared" si="22"/>
        <v>0</v>
      </c>
      <c r="AJ41" s="24">
        <f t="shared" si="23"/>
        <v>0</v>
      </c>
      <c r="AL41" s="19" t="s">
        <v>340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0</v>
      </c>
      <c r="AU41" s="18">
        <f t="shared" si="25"/>
        <v>0</v>
      </c>
      <c r="AV41" s="18">
        <f t="shared" si="26"/>
        <v>0</v>
      </c>
      <c r="AX41" s="32" t="s">
        <v>340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  <row r="42" spans="1:60" x14ac:dyDescent="0.25">
      <c r="A42" s="56">
        <v>89</v>
      </c>
      <c r="B42" s="22" t="s">
        <v>334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15"/>
        <v>0</v>
      </c>
      <c r="K42" s="25">
        <f t="shared" si="16"/>
        <v>0</v>
      </c>
      <c r="L42" s="25">
        <f t="shared" si="17"/>
        <v>0</v>
      </c>
      <c r="N42" s="45" t="s">
        <v>334</v>
      </c>
      <c r="O42" s="26">
        <v>1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si="18"/>
        <v>1</v>
      </c>
      <c r="W42" s="26">
        <f t="shared" si="19"/>
        <v>0</v>
      </c>
      <c r="X42" s="26">
        <f t="shared" si="20"/>
        <v>0</v>
      </c>
      <c r="Z42" s="23" t="s">
        <v>334</v>
      </c>
      <c r="AA42" s="24">
        <v>3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21"/>
        <v>3</v>
      </c>
      <c r="AI42" s="24">
        <f t="shared" si="22"/>
        <v>0</v>
      </c>
      <c r="AJ42" s="24">
        <f t="shared" si="23"/>
        <v>0</v>
      </c>
      <c r="AL42" s="19" t="s">
        <v>334</v>
      </c>
      <c r="AM42" s="18">
        <v>0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24"/>
        <v>0</v>
      </c>
      <c r="AU42" s="18">
        <f t="shared" si="25"/>
        <v>0</v>
      </c>
      <c r="AV42" s="18">
        <f t="shared" si="26"/>
        <v>0</v>
      </c>
      <c r="AX42" s="32" t="s">
        <v>334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27"/>
        <v>0</v>
      </c>
      <c r="BG42" s="33">
        <f t="shared" si="28"/>
        <v>0</v>
      </c>
      <c r="BH42" s="33">
        <f t="shared" si="29"/>
        <v>0</v>
      </c>
    </row>
    <row r="43" spans="1:60" x14ac:dyDescent="0.25">
      <c r="A43" s="56">
        <v>92</v>
      </c>
      <c r="B43" s="22" t="s">
        <v>302</v>
      </c>
      <c r="C43" s="25">
        <v>0</v>
      </c>
      <c r="D43" s="25">
        <v>0</v>
      </c>
      <c r="E43" s="25">
        <v>0</v>
      </c>
      <c r="F43" s="25"/>
      <c r="G43" s="21">
        <f>'Apps &amp; Goals 26-27'!C41</f>
        <v>0</v>
      </c>
      <c r="H43" s="21">
        <f>'Apps &amp; Goals 26-27'!D41</f>
        <v>0</v>
      </c>
      <c r="I43" s="21">
        <f>'Apps &amp; Goals 26-27'!E41</f>
        <v>0</v>
      </c>
      <c r="J43" s="25">
        <f t="shared" si="15"/>
        <v>0</v>
      </c>
      <c r="K43" s="25">
        <f t="shared" si="16"/>
        <v>0</v>
      </c>
      <c r="L43" s="25">
        <f t="shared" si="17"/>
        <v>0</v>
      </c>
      <c r="N43" s="45" t="s">
        <v>302</v>
      </c>
      <c r="O43" s="26">
        <v>0</v>
      </c>
      <c r="P43" s="26">
        <v>0</v>
      </c>
      <c r="Q43" s="26">
        <v>0</v>
      </c>
      <c r="R43" s="26"/>
      <c r="S43" s="20">
        <f>'Apps &amp; Goals 26-27'!F41</f>
        <v>0</v>
      </c>
      <c r="T43" s="20">
        <f>'Apps &amp; Goals 26-27'!G41</f>
        <v>0</v>
      </c>
      <c r="U43" s="20">
        <f>'Apps &amp; Goals 26-27'!H41</f>
        <v>0</v>
      </c>
      <c r="V43" s="26">
        <f t="shared" si="18"/>
        <v>0</v>
      </c>
      <c r="W43" s="26">
        <f t="shared" si="19"/>
        <v>0</v>
      </c>
      <c r="X43" s="26">
        <f t="shared" si="20"/>
        <v>0</v>
      </c>
      <c r="Z43" s="23" t="s">
        <v>302</v>
      </c>
      <c r="AA43" s="24">
        <v>0</v>
      </c>
      <c r="AB43" s="24">
        <v>0</v>
      </c>
      <c r="AC43" s="24">
        <v>0</v>
      </c>
      <c r="AD43" s="24"/>
      <c r="AE43" s="57">
        <f>'Apps &amp; Goals 26-27'!I41</f>
        <v>0</v>
      </c>
      <c r="AF43" s="57">
        <f>'Apps &amp; Goals 26-27'!J41</f>
        <v>0</v>
      </c>
      <c r="AG43" s="57">
        <f>'Apps &amp; Goals 26-27'!K41</f>
        <v>0</v>
      </c>
      <c r="AH43" s="24">
        <f t="shared" si="21"/>
        <v>0</v>
      </c>
      <c r="AI43" s="24">
        <f t="shared" si="22"/>
        <v>0</v>
      </c>
      <c r="AJ43" s="24">
        <f t="shared" si="23"/>
        <v>0</v>
      </c>
      <c r="AL43" s="19" t="s">
        <v>302</v>
      </c>
      <c r="AM43" s="18">
        <v>1</v>
      </c>
      <c r="AN43" s="18">
        <v>0</v>
      </c>
      <c r="AO43" s="18">
        <v>0</v>
      </c>
      <c r="AP43" s="18"/>
      <c r="AQ43" s="63">
        <f>'Apps &amp; Goals 26-27'!L41</f>
        <v>0</v>
      </c>
      <c r="AR43" s="63">
        <f>'Apps &amp; Goals 26-27'!M41</f>
        <v>0</v>
      </c>
      <c r="AS43" s="63">
        <f>'Apps &amp; Goals 26-27'!N41</f>
        <v>0</v>
      </c>
      <c r="AT43" s="18">
        <f t="shared" si="24"/>
        <v>1</v>
      </c>
      <c r="AU43" s="18">
        <f t="shared" si="25"/>
        <v>0</v>
      </c>
      <c r="AV43" s="18">
        <f t="shared" si="26"/>
        <v>0</v>
      </c>
      <c r="AX43" s="32" t="s">
        <v>302</v>
      </c>
      <c r="AY43" s="33">
        <v>0</v>
      </c>
      <c r="AZ43" s="33">
        <v>0</v>
      </c>
      <c r="BA43" s="33">
        <v>0</v>
      </c>
      <c r="BB43" s="33"/>
      <c r="BC43" s="64">
        <f>'Apps &amp; Goals 26-27'!O41</f>
        <v>0</v>
      </c>
      <c r="BD43" s="64">
        <f>'Apps &amp; Goals 26-27'!P41</f>
        <v>0</v>
      </c>
      <c r="BE43" s="64">
        <f>'Apps &amp; Goals 26-27'!Q41</f>
        <v>0</v>
      </c>
      <c r="BF43" s="33">
        <f t="shared" si="27"/>
        <v>0</v>
      </c>
      <c r="BG43" s="33">
        <f t="shared" si="28"/>
        <v>0</v>
      </c>
      <c r="BH43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3"/>
  <sheetViews>
    <sheetView zoomScale="90" zoomScaleNormal="90" zoomScalePageLayoutView="110" workbookViewId="0">
      <selection activeCell="AA19" sqref="AA19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5"/>
      <c r="G1" s="205"/>
      <c r="H1" s="20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201" t="s">
        <v>4</v>
      </c>
      <c r="F2" s="202"/>
      <c r="G2" s="203"/>
      <c r="H2" s="206" t="s">
        <v>120</v>
      </c>
      <c r="I2" s="207"/>
      <c r="J2" s="208"/>
      <c r="K2" s="201" t="s">
        <v>108</v>
      </c>
      <c r="L2" s="202"/>
      <c r="M2" s="203"/>
      <c r="N2" s="206" t="s">
        <v>110</v>
      </c>
      <c r="O2" s="207"/>
      <c r="P2" s="208"/>
      <c r="Q2" s="201" t="s">
        <v>39</v>
      </c>
      <c r="R2" s="202"/>
      <c r="S2" s="203"/>
      <c r="T2" s="204" t="s">
        <v>7</v>
      </c>
      <c r="U2" s="204"/>
      <c r="V2" s="204"/>
      <c r="Z2" s="125">
        <v>46266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7" si="2">SUM(E5,H5,K5,N5,Q5)</f>
        <v>184</v>
      </c>
      <c r="U5" s="2">
        <f t="shared" ref="U5:U17" si="3">SUM(F5,I5,L5,O5,R5)</f>
        <v>8</v>
      </c>
      <c r="V5" s="2">
        <f t="shared" ref="V5:V17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34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55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15</v>
      </c>
      <c r="B18" s="27" t="s">
        <v>356</v>
      </c>
      <c r="C18" s="4" t="s">
        <v>353</v>
      </c>
      <c r="D18" s="149" t="s">
        <v>438</v>
      </c>
      <c r="E18" s="6">
        <f>'#'!J20</f>
        <v>1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0</v>
      </c>
      <c r="R18" s="6">
        <f>'#'!BG20</f>
        <v>0</v>
      </c>
      <c r="S18" s="6">
        <f>'#'!BH20</f>
        <v>0</v>
      </c>
      <c r="T18" s="2">
        <f t="shared" ref="T18:T41" si="5">SUM(E18,H18,K18,N18,Q18)</f>
        <v>1</v>
      </c>
      <c r="U18" s="2">
        <f t="shared" ref="U18:U41" si="6">SUM(F18,I18,L18,O18,R18)</f>
        <v>0</v>
      </c>
      <c r="V18" s="2">
        <f t="shared" ref="V18:V41" si="7">SUM(G18,J18,M18,P18,S18)</f>
        <v>0</v>
      </c>
    </row>
    <row r="19" spans="1:22" x14ac:dyDescent="0.25">
      <c r="A19" s="4">
        <v>17</v>
      </c>
      <c r="B19" s="27" t="s">
        <v>362</v>
      </c>
      <c r="C19" s="4" t="s">
        <v>355</v>
      </c>
      <c r="D19" s="148" t="s">
        <v>344</v>
      </c>
      <c r="E19" s="6">
        <f>'#'!J21</f>
        <v>2</v>
      </c>
      <c r="F19" s="6">
        <f>'#'!K21</f>
        <v>0</v>
      </c>
      <c r="G19" s="6">
        <f>'#'!L21</f>
        <v>0</v>
      </c>
      <c r="H19" s="4">
        <f>'#'!V21</f>
        <v>0</v>
      </c>
      <c r="I19" s="4">
        <f>'#'!W21</f>
        <v>0</v>
      </c>
      <c r="J19" s="4">
        <f>'#'!X21</f>
        <v>0</v>
      </c>
      <c r="K19" s="6">
        <f>'#'!AH21</f>
        <v>0</v>
      </c>
      <c r="L19" s="6">
        <f>'#'!AI21</f>
        <v>0</v>
      </c>
      <c r="M19" s="6">
        <f>'#'!AJ21</f>
        <v>0</v>
      </c>
      <c r="N19" s="4">
        <f>'#'!AT21</f>
        <v>0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2</v>
      </c>
      <c r="T19" s="2">
        <f t="shared" si="5"/>
        <v>3</v>
      </c>
      <c r="U19" s="2">
        <f t="shared" si="6"/>
        <v>0</v>
      </c>
      <c r="V19" s="2">
        <f t="shared" si="7"/>
        <v>2</v>
      </c>
    </row>
    <row r="20" spans="1:22" x14ac:dyDescent="0.25">
      <c r="A20" s="4">
        <v>20</v>
      </c>
      <c r="B20" s="56" t="s">
        <v>356</v>
      </c>
      <c r="C20" s="4" t="s">
        <v>355</v>
      </c>
      <c r="D20" s="148" t="s">
        <v>316</v>
      </c>
      <c r="E20" s="6">
        <f>'#'!J22</f>
        <v>27</v>
      </c>
      <c r="F20" s="6">
        <f>'#'!K22</f>
        <v>3</v>
      </c>
      <c r="G20" s="6">
        <f>'#'!L22</f>
        <v>1</v>
      </c>
      <c r="H20" s="4">
        <f>'#'!V22</f>
        <v>9</v>
      </c>
      <c r="I20" s="4">
        <f>'#'!W22</f>
        <v>3</v>
      </c>
      <c r="J20" s="4">
        <f>'#'!X22</f>
        <v>0</v>
      </c>
      <c r="K20" s="6">
        <f>'#'!AH22</f>
        <v>4</v>
      </c>
      <c r="L20" s="6">
        <f>'#'!AI22</f>
        <v>2</v>
      </c>
      <c r="M20" s="6">
        <f>'#'!AJ22</f>
        <v>2</v>
      </c>
      <c r="N20" s="4">
        <f>'#'!AT22</f>
        <v>3</v>
      </c>
      <c r="O20" s="4">
        <f>'#'!AU22</f>
        <v>0</v>
      </c>
      <c r="P20" s="4">
        <f>'#'!AV22</f>
        <v>0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5"/>
        <v>44</v>
      </c>
      <c r="U20" s="2">
        <f t="shared" si="6"/>
        <v>8</v>
      </c>
      <c r="V20" s="2">
        <f t="shared" si="7"/>
        <v>3</v>
      </c>
    </row>
    <row r="21" spans="1:22" x14ac:dyDescent="0.25">
      <c r="A21" s="56">
        <v>21</v>
      </c>
      <c r="B21" s="56" t="s">
        <v>363</v>
      </c>
      <c r="C21" s="4" t="s">
        <v>354</v>
      </c>
      <c r="D21" s="37" t="s">
        <v>259</v>
      </c>
      <c r="E21" s="6">
        <f>'#'!J23</f>
        <v>33</v>
      </c>
      <c r="F21" s="6">
        <f>'#'!K23</f>
        <v>2</v>
      </c>
      <c r="G21" s="6">
        <f>'#'!L23</f>
        <v>4</v>
      </c>
      <c r="H21" s="4">
        <f>'#'!V23</f>
        <v>11</v>
      </c>
      <c r="I21" s="4">
        <f>'#'!W23</f>
        <v>1</v>
      </c>
      <c r="J21" s="4">
        <f>'#'!X23</f>
        <v>2</v>
      </c>
      <c r="K21" s="6">
        <f>'#'!AH23</f>
        <v>2</v>
      </c>
      <c r="L21" s="6">
        <f>'#'!AI23</f>
        <v>0</v>
      </c>
      <c r="M21" s="6">
        <f>'#'!AJ23</f>
        <v>2</v>
      </c>
      <c r="N21" s="4">
        <f>'#'!AT23</f>
        <v>2</v>
      </c>
      <c r="O21" s="4">
        <f>'#'!AU23</f>
        <v>0</v>
      </c>
      <c r="P21" s="4">
        <f>'#'!AV23</f>
        <v>1</v>
      </c>
      <c r="Q21" s="6">
        <f>'#'!BF23</f>
        <v>1</v>
      </c>
      <c r="R21" s="6">
        <f>'#'!BG23</f>
        <v>0</v>
      </c>
      <c r="S21" s="6">
        <f>'#'!BH23</f>
        <v>0</v>
      </c>
      <c r="T21" s="2">
        <f t="shared" si="5"/>
        <v>49</v>
      </c>
      <c r="U21" s="2">
        <f t="shared" si="6"/>
        <v>3</v>
      </c>
      <c r="V21" s="2">
        <f t="shared" si="7"/>
        <v>9</v>
      </c>
    </row>
    <row r="22" spans="1:22" x14ac:dyDescent="0.25">
      <c r="A22" s="56">
        <v>22</v>
      </c>
      <c r="B22" s="56" t="s">
        <v>356</v>
      </c>
      <c r="C22" s="4" t="s">
        <v>354</v>
      </c>
      <c r="D22" s="40" t="s">
        <v>264</v>
      </c>
      <c r="E22" s="6">
        <f>'#'!J24</f>
        <v>34</v>
      </c>
      <c r="F22" s="6">
        <f>'#'!K24</f>
        <v>4</v>
      </c>
      <c r="G22" s="6">
        <f>'#'!L24</f>
        <v>2</v>
      </c>
      <c r="H22" s="4">
        <f>'#'!V24</f>
        <v>10</v>
      </c>
      <c r="I22" s="4">
        <f>'#'!W24</f>
        <v>2</v>
      </c>
      <c r="J22" s="4">
        <f>'#'!X24</f>
        <v>0</v>
      </c>
      <c r="K22" s="6">
        <f>'#'!AH24</f>
        <v>1</v>
      </c>
      <c r="L22" s="6">
        <f>'#'!AI24</f>
        <v>0</v>
      </c>
      <c r="M22" s="6">
        <f>'#'!AJ24</f>
        <v>0</v>
      </c>
      <c r="N22" s="4">
        <f>'#'!AT24</f>
        <v>6</v>
      </c>
      <c r="O22" s="4">
        <f>'#'!AU24</f>
        <v>4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51</v>
      </c>
      <c r="U22" s="2">
        <f t="shared" si="6"/>
        <v>10</v>
      </c>
      <c r="V22" s="2">
        <f t="shared" si="7"/>
        <v>2</v>
      </c>
    </row>
    <row r="23" spans="1:22" x14ac:dyDescent="0.25">
      <c r="A23" s="4">
        <v>23</v>
      </c>
      <c r="B23" s="27" t="s">
        <v>350</v>
      </c>
      <c r="C23" s="4" t="s">
        <v>354</v>
      </c>
      <c r="D23" s="37" t="s">
        <v>294</v>
      </c>
      <c r="E23" s="6">
        <f>'#'!J25</f>
        <v>52</v>
      </c>
      <c r="F23" s="6">
        <f>'#'!K25</f>
        <v>11</v>
      </c>
      <c r="G23" s="6">
        <f>'#'!L25</f>
        <v>5</v>
      </c>
      <c r="H23" s="4">
        <f>'#'!V25</f>
        <v>19</v>
      </c>
      <c r="I23" s="4">
        <f>'#'!W25</f>
        <v>4</v>
      </c>
      <c r="J23" s="4">
        <f>'#'!X25</f>
        <v>3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7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80</v>
      </c>
      <c r="U23" s="2">
        <f t="shared" si="6"/>
        <v>15</v>
      </c>
      <c r="V23" s="2">
        <f t="shared" si="7"/>
        <v>8</v>
      </c>
    </row>
    <row r="24" spans="1:22" x14ac:dyDescent="0.25">
      <c r="A24" s="4">
        <v>24</v>
      </c>
      <c r="B24" s="56" t="s">
        <v>356</v>
      </c>
      <c r="C24" s="4" t="s">
        <v>355</v>
      </c>
      <c r="D24" s="148" t="s">
        <v>115</v>
      </c>
      <c r="E24" s="6">
        <f>'#'!J26</f>
        <v>50</v>
      </c>
      <c r="F24" s="6">
        <f>'#'!K26</f>
        <v>4</v>
      </c>
      <c r="G24" s="6">
        <f>'#'!L26</f>
        <v>2</v>
      </c>
      <c r="H24" s="4">
        <f>'#'!V26</f>
        <v>25</v>
      </c>
      <c r="I24" s="4">
        <f>'#'!W26</f>
        <v>1</v>
      </c>
      <c r="J24" s="4">
        <f>'#'!X26</f>
        <v>4</v>
      </c>
      <c r="K24" s="6">
        <f>'#'!AH26</f>
        <v>5</v>
      </c>
      <c r="L24" s="6">
        <f>'#'!AI26</f>
        <v>1</v>
      </c>
      <c r="M24" s="6">
        <f>'#'!AJ26</f>
        <v>1</v>
      </c>
      <c r="N24" s="4">
        <f>'#'!AT26</f>
        <v>8</v>
      </c>
      <c r="O24" s="4">
        <f>'#'!AU26</f>
        <v>2</v>
      </c>
      <c r="P24" s="4">
        <f>'#'!AV26</f>
        <v>1</v>
      </c>
      <c r="Q24" s="6">
        <f>'#'!BF26</f>
        <v>2</v>
      </c>
      <c r="R24" s="6">
        <f>'#'!BG26</f>
        <v>0</v>
      </c>
      <c r="S24" s="6">
        <f>'#'!BH26</f>
        <v>0</v>
      </c>
      <c r="T24" s="2">
        <f t="shared" si="5"/>
        <v>90</v>
      </c>
      <c r="U24" s="2">
        <f t="shared" si="6"/>
        <v>8</v>
      </c>
      <c r="V24" s="2">
        <f t="shared" si="7"/>
        <v>8</v>
      </c>
    </row>
    <row r="25" spans="1:22" x14ac:dyDescent="0.25">
      <c r="A25" s="4">
        <v>29</v>
      </c>
      <c r="B25" s="27" t="s">
        <v>364</v>
      </c>
      <c r="C25" s="4" t="s">
        <v>355</v>
      </c>
      <c r="D25" s="148" t="s">
        <v>276</v>
      </c>
      <c r="E25" s="6">
        <f>'#'!J27</f>
        <v>74</v>
      </c>
      <c r="F25" s="6">
        <f>'#'!K27</f>
        <v>25</v>
      </c>
      <c r="G25" s="6">
        <f>'#'!L27</f>
        <v>13</v>
      </c>
      <c r="H25" s="4">
        <f>'#'!V27</f>
        <v>24</v>
      </c>
      <c r="I25" s="4">
        <f>'#'!W27</f>
        <v>9</v>
      </c>
      <c r="J25" s="4">
        <f>'#'!X27</f>
        <v>2</v>
      </c>
      <c r="K25" s="6">
        <f>'#'!AH27</f>
        <v>5</v>
      </c>
      <c r="L25" s="6">
        <f>'#'!AI27</f>
        <v>0</v>
      </c>
      <c r="M25" s="6">
        <f>'#'!AJ27</f>
        <v>1</v>
      </c>
      <c r="N25" s="4">
        <f>'#'!AT27</f>
        <v>9</v>
      </c>
      <c r="O25" s="4">
        <f>'#'!AU27</f>
        <v>3</v>
      </c>
      <c r="P25" s="4">
        <f>'#'!AV27</f>
        <v>0</v>
      </c>
      <c r="Q25" s="6">
        <f>'#'!BF27</f>
        <v>2</v>
      </c>
      <c r="R25" s="6">
        <f>'#'!BG27</f>
        <v>1</v>
      </c>
      <c r="S25" s="6">
        <f>'#'!BH27</f>
        <v>0</v>
      </c>
      <c r="T25" s="2">
        <f t="shared" si="5"/>
        <v>114</v>
      </c>
      <c r="U25" s="2">
        <f t="shared" si="6"/>
        <v>38</v>
      </c>
      <c r="V25" s="2">
        <f t="shared" si="7"/>
        <v>16</v>
      </c>
    </row>
    <row r="26" spans="1:22" x14ac:dyDescent="0.25">
      <c r="A26" s="4">
        <v>30</v>
      </c>
      <c r="B26" s="27" t="s">
        <v>352</v>
      </c>
      <c r="C26" s="4" t="s">
        <v>351</v>
      </c>
      <c r="D26" s="148" t="s">
        <v>345</v>
      </c>
      <c r="E26" s="6">
        <f>'#'!J28</f>
        <v>0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0</v>
      </c>
      <c r="R26" s="6">
        <f>'#'!BG28</f>
        <v>0</v>
      </c>
      <c r="S26" s="6">
        <f>'#'!BH28</f>
        <v>0</v>
      </c>
      <c r="T26" s="2">
        <f t="shared" si="5"/>
        <v>0</v>
      </c>
      <c r="U26" s="2">
        <f t="shared" si="6"/>
        <v>0</v>
      </c>
      <c r="V26" s="2">
        <f t="shared" si="7"/>
        <v>0</v>
      </c>
    </row>
    <row r="27" spans="1:22" x14ac:dyDescent="0.25">
      <c r="A27" s="4">
        <v>33</v>
      </c>
      <c r="B27" s="27" t="s">
        <v>365</v>
      </c>
      <c r="C27" s="4" t="s">
        <v>353</v>
      </c>
      <c r="D27" s="148" t="s">
        <v>292</v>
      </c>
      <c r="E27" s="6">
        <f>'#'!J29</f>
        <v>47</v>
      </c>
      <c r="F27" s="6">
        <f>'#'!K29</f>
        <v>3</v>
      </c>
      <c r="G27" s="6">
        <f>'#'!L29</f>
        <v>5</v>
      </c>
      <c r="H27" s="4">
        <f>'#'!V29</f>
        <v>14</v>
      </c>
      <c r="I27" s="4">
        <f>'#'!W29</f>
        <v>1</v>
      </c>
      <c r="J27" s="4">
        <f>'#'!X29</f>
        <v>2</v>
      </c>
      <c r="K27" s="6">
        <f>'#'!AH29</f>
        <v>2</v>
      </c>
      <c r="L27" s="6">
        <f>'#'!AI29</f>
        <v>0</v>
      </c>
      <c r="M27" s="6">
        <f>'#'!AJ29</f>
        <v>0</v>
      </c>
      <c r="N27" s="4">
        <f>'#'!AT29</f>
        <v>4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1</v>
      </c>
      <c r="S27" s="6">
        <f>'#'!BH29</f>
        <v>0</v>
      </c>
      <c r="T27" s="2">
        <f t="shared" si="5"/>
        <v>68</v>
      </c>
      <c r="U27" s="2">
        <f t="shared" si="6"/>
        <v>5</v>
      </c>
      <c r="V27" s="2">
        <f t="shared" si="7"/>
        <v>7</v>
      </c>
    </row>
    <row r="28" spans="1:22" x14ac:dyDescent="0.25">
      <c r="A28" s="4">
        <v>35</v>
      </c>
      <c r="B28" s="56" t="s">
        <v>356</v>
      </c>
      <c r="C28" s="4" t="s">
        <v>351</v>
      </c>
      <c r="D28" s="148" t="s">
        <v>304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1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 t="shared" si="5"/>
        <v>2</v>
      </c>
      <c r="U28" s="2">
        <f t="shared" si="6"/>
        <v>0</v>
      </c>
      <c r="V28" s="2">
        <f t="shared" si="7"/>
        <v>0</v>
      </c>
    </row>
    <row r="29" spans="1:22" x14ac:dyDescent="0.25">
      <c r="A29" s="4">
        <v>36</v>
      </c>
      <c r="B29" s="27" t="s">
        <v>350</v>
      </c>
      <c r="C29" s="4" t="s">
        <v>354</v>
      </c>
      <c r="D29" s="148" t="s">
        <v>314</v>
      </c>
      <c r="E29" s="6">
        <f>'#'!J31</f>
        <v>40</v>
      </c>
      <c r="F29" s="6">
        <f>'#'!K31</f>
        <v>5</v>
      </c>
      <c r="G29" s="6">
        <f>'#'!L31</f>
        <v>1</v>
      </c>
      <c r="H29" s="4">
        <f>'#'!V31</f>
        <v>13</v>
      </c>
      <c r="I29" s="4">
        <f>'#'!W31</f>
        <v>0</v>
      </c>
      <c r="J29" s="4">
        <f>'#'!X31</f>
        <v>2</v>
      </c>
      <c r="K29" s="6">
        <f>'#'!AH31</f>
        <v>3</v>
      </c>
      <c r="L29" s="6">
        <f>'#'!AI31</f>
        <v>0</v>
      </c>
      <c r="M29" s="6">
        <f>'#'!AJ31</f>
        <v>0</v>
      </c>
      <c r="N29" s="4">
        <f>'#'!AT31</f>
        <v>3</v>
      </c>
      <c r="O29" s="4">
        <f>'#'!AU31</f>
        <v>1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5"/>
        <v>60</v>
      </c>
      <c r="U29" s="2">
        <f t="shared" si="6"/>
        <v>6</v>
      </c>
      <c r="V29" s="2">
        <f t="shared" si="7"/>
        <v>3</v>
      </c>
    </row>
    <row r="30" spans="1:22" x14ac:dyDescent="0.25">
      <c r="A30" s="4">
        <v>39</v>
      </c>
      <c r="B30" s="4" t="s">
        <v>358</v>
      </c>
      <c r="C30" s="4" t="s">
        <v>354</v>
      </c>
      <c r="D30" s="148" t="s">
        <v>346</v>
      </c>
      <c r="E30" s="6">
        <f>'#'!J32</f>
        <v>1</v>
      </c>
      <c r="F30" s="6">
        <f>'#'!K32</f>
        <v>0</v>
      </c>
      <c r="G30" s="6">
        <f>'#'!L32</f>
        <v>0</v>
      </c>
      <c r="H30" s="4">
        <f>'#'!V32</f>
        <v>0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1</v>
      </c>
      <c r="R30" s="6">
        <f>'#'!BG32</f>
        <v>0</v>
      </c>
      <c r="S30" s="6">
        <f>'#'!BH32</f>
        <v>0</v>
      </c>
      <c r="T30" s="2">
        <f t="shared" si="5"/>
        <v>2</v>
      </c>
      <c r="U30" s="2">
        <f t="shared" si="6"/>
        <v>0</v>
      </c>
      <c r="V30" s="2">
        <f t="shared" si="7"/>
        <v>0</v>
      </c>
    </row>
    <row r="31" spans="1:22" x14ac:dyDescent="0.25">
      <c r="A31" s="4">
        <v>41</v>
      </c>
      <c r="B31" s="56" t="s">
        <v>356</v>
      </c>
      <c r="C31" s="4" t="s">
        <v>354</v>
      </c>
      <c r="D31" s="35" t="s">
        <v>278</v>
      </c>
      <c r="E31" s="6">
        <f>'#'!J33</f>
        <v>111</v>
      </c>
      <c r="F31" s="6">
        <f>'#'!K33</f>
        <v>15</v>
      </c>
      <c r="G31" s="6">
        <f>'#'!L33</f>
        <v>20</v>
      </c>
      <c r="H31" s="4">
        <f>'#'!V33</f>
        <v>36</v>
      </c>
      <c r="I31" s="4">
        <f>'#'!W33</f>
        <v>5</v>
      </c>
      <c r="J31" s="4">
        <f>'#'!X33</f>
        <v>5</v>
      </c>
      <c r="K31" s="6">
        <f>'#'!AH33</f>
        <v>2</v>
      </c>
      <c r="L31" s="6">
        <f>'#'!AI33</f>
        <v>0</v>
      </c>
      <c r="M31" s="6">
        <f>'#'!AJ33</f>
        <v>0</v>
      </c>
      <c r="N31" s="4">
        <f>'#'!AT33</f>
        <v>10</v>
      </c>
      <c r="O31" s="4">
        <f>'#'!AU33</f>
        <v>1</v>
      </c>
      <c r="P31" s="4">
        <f>'#'!AV33</f>
        <v>3</v>
      </c>
      <c r="Q31" s="6">
        <f>'#'!BF33</f>
        <v>2</v>
      </c>
      <c r="R31" s="6">
        <f>'#'!BG33</f>
        <v>0</v>
      </c>
      <c r="S31" s="6">
        <f>'#'!BH33</f>
        <v>0</v>
      </c>
      <c r="T31" s="2">
        <f t="shared" si="5"/>
        <v>161</v>
      </c>
      <c r="U31" s="2">
        <f t="shared" si="6"/>
        <v>21</v>
      </c>
      <c r="V31" s="2">
        <f t="shared" si="7"/>
        <v>28</v>
      </c>
    </row>
    <row r="32" spans="1:22" x14ac:dyDescent="0.25">
      <c r="A32" s="4">
        <v>46</v>
      </c>
      <c r="B32" s="4" t="s">
        <v>357</v>
      </c>
      <c r="C32" s="4" t="s">
        <v>355</v>
      </c>
      <c r="D32" s="34" t="s">
        <v>299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</row>
    <row r="33" spans="1:22" x14ac:dyDescent="0.25">
      <c r="A33" s="56">
        <v>49</v>
      </c>
      <c r="B33" s="56" t="s">
        <v>356</v>
      </c>
      <c r="C33" s="4" t="s">
        <v>353</v>
      </c>
      <c r="D33" s="35" t="s">
        <v>298</v>
      </c>
      <c r="E33" s="6">
        <f>'#'!J35</f>
        <v>45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78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52</v>
      </c>
      <c r="B34" s="56" t="s">
        <v>356</v>
      </c>
      <c r="C34" s="28" t="s">
        <v>353</v>
      </c>
      <c r="D34" s="149" t="s">
        <v>342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1</v>
      </c>
      <c r="L34" s="6">
        <f>'#'!AI36</f>
        <v>0</v>
      </c>
      <c r="M34" s="6">
        <f>'#'!AJ36</f>
        <v>0</v>
      </c>
      <c r="N34" s="4">
        <f>'#'!AT36</f>
        <v>0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53</v>
      </c>
      <c r="B35" s="56" t="s">
        <v>356</v>
      </c>
      <c r="C35" s="28" t="s">
        <v>355</v>
      </c>
      <c r="D35" s="148" t="s">
        <v>293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</v>
      </c>
      <c r="U35" s="2">
        <f t="shared" si="6"/>
        <v>0</v>
      </c>
      <c r="V35" s="2">
        <f t="shared" si="7"/>
        <v>0</v>
      </c>
    </row>
    <row r="36" spans="1:22" x14ac:dyDescent="0.25">
      <c r="A36" s="56">
        <v>56</v>
      </c>
      <c r="B36" s="56" t="s">
        <v>356</v>
      </c>
      <c r="C36" s="28" t="s">
        <v>355</v>
      </c>
      <c r="D36" s="149" t="s">
        <v>323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56">
        <v>71</v>
      </c>
      <c r="B37" s="56" t="s">
        <v>356</v>
      </c>
      <c r="C37" s="28" t="s">
        <v>355</v>
      </c>
      <c r="D37" s="148" t="s">
        <v>328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2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72</v>
      </c>
      <c r="B38" s="56" t="s">
        <v>356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1</v>
      </c>
      <c r="U38" s="2">
        <f t="shared" si="6"/>
        <v>0</v>
      </c>
      <c r="V38" s="2">
        <f t="shared" si="7"/>
        <v>0</v>
      </c>
    </row>
    <row r="39" spans="1:22" x14ac:dyDescent="0.25">
      <c r="A39" s="28">
        <v>81</v>
      </c>
      <c r="B39" s="56" t="s">
        <v>356</v>
      </c>
      <c r="C39" s="28" t="s">
        <v>355</v>
      </c>
      <c r="D39" s="148" t="s">
        <v>340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0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5"/>
        <v>1</v>
      </c>
      <c r="U39" s="2">
        <f t="shared" si="6"/>
        <v>0</v>
      </c>
      <c r="V39" s="2">
        <f t="shared" si="7"/>
        <v>0</v>
      </c>
    </row>
    <row r="40" spans="1:22" x14ac:dyDescent="0.25">
      <c r="A40" s="28">
        <v>89</v>
      </c>
      <c r="B40" s="56" t="s">
        <v>356</v>
      </c>
      <c r="C40" s="28" t="s">
        <v>353</v>
      </c>
      <c r="D40" s="148" t="s">
        <v>334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1</v>
      </c>
      <c r="I40" s="4">
        <f>'#'!W42</f>
        <v>0</v>
      </c>
      <c r="J40" s="4">
        <f>'#'!X42</f>
        <v>0</v>
      </c>
      <c r="K40" s="6">
        <f>'#'!AH42</f>
        <v>3</v>
      </c>
      <c r="L40" s="6">
        <f>'#'!AI42</f>
        <v>0</v>
      </c>
      <c r="M40" s="6">
        <f>'#'!AJ42</f>
        <v>0</v>
      </c>
      <c r="N40" s="4">
        <f>'#'!AT42</f>
        <v>0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5"/>
        <v>4</v>
      </c>
      <c r="U40" s="2">
        <f t="shared" si="6"/>
        <v>0</v>
      </c>
      <c r="V40" s="2">
        <f t="shared" si="7"/>
        <v>0</v>
      </c>
    </row>
    <row r="41" spans="1:22" x14ac:dyDescent="0.25">
      <c r="A41" s="56">
        <v>92</v>
      </c>
      <c r="B41" s="56" t="s">
        <v>356</v>
      </c>
      <c r="C41" s="56" t="s">
        <v>351</v>
      </c>
      <c r="D41" s="37" t="s">
        <v>302</v>
      </c>
      <c r="E41" s="6">
        <f>'#'!J43</f>
        <v>0</v>
      </c>
      <c r="F41" s="6">
        <f>'#'!K43</f>
        <v>0</v>
      </c>
      <c r="G41" s="6">
        <f>'#'!L43</f>
        <v>0</v>
      </c>
      <c r="H41" s="4">
        <f>'#'!V43</f>
        <v>0</v>
      </c>
      <c r="I41" s="4">
        <f>'#'!W43</f>
        <v>0</v>
      </c>
      <c r="J41" s="4">
        <f>'#'!X43</f>
        <v>0</v>
      </c>
      <c r="K41" s="6">
        <f>'#'!AH43</f>
        <v>0</v>
      </c>
      <c r="L41" s="6">
        <f>'#'!AI43</f>
        <v>0</v>
      </c>
      <c r="M41" s="6">
        <f>'#'!AJ43</f>
        <v>0</v>
      </c>
      <c r="N41" s="4">
        <f>'#'!AT43</f>
        <v>1</v>
      </c>
      <c r="O41" s="4">
        <f>'#'!AU43</f>
        <v>0</v>
      </c>
      <c r="P41" s="4">
        <f>'#'!AV43</f>
        <v>0</v>
      </c>
      <c r="Q41" s="6">
        <f>'#'!BF43</f>
        <v>0</v>
      </c>
      <c r="R41" s="6">
        <f>'#'!BG43</f>
        <v>0</v>
      </c>
      <c r="S41" s="6">
        <f>'#'!BH43</f>
        <v>0</v>
      </c>
      <c r="T41" s="2">
        <f t="shared" si="5"/>
        <v>1</v>
      </c>
      <c r="U41" s="2">
        <f t="shared" si="6"/>
        <v>0</v>
      </c>
      <c r="V41" s="2">
        <f t="shared" si="7"/>
        <v>0</v>
      </c>
    </row>
    <row r="43" spans="1:22" x14ac:dyDescent="0.25">
      <c r="F43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1 V4:V41">
    <cfRule type="cellIs" dxfId="37" priority="20" operator="greaterThan">
      <formula>396</formula>
    </cfRule>
  </conditionalFormatting>
  <conditionalFormatting sqref="U4:U41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T4:T41 V4:V41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199" t="s">
        <v>4</v>
      </c>
      <c r="E2" s="199"/>
      <c r="F2" s="200" t="s">
        <v>6</v>
      </c>
      <c r="G2" s="200"/>
      <c r="H2" s="199" t="s">
        <v>108</v>
      </c>
      <c r="I2" s="199"/>
      <c r="J2" s="200" t="s">
        <v>110</v>
      </c>
      <c r="K2" s="200"/>
      <c r="L2" s="199" t="s">
        <v>39</v>
      </c>
      <c r="M2" s="199"/>
      <c r="N2" s="204" t="s">
        <v>7</v>
      </c>
      <c r="O2" s="204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199" t="s">
        <v>4</v>
      </c>
      <c r="E2" s="199"/>
      <c r="F2" s="200" t="s">
        <v>113</v>
      </c>
      <c r="G2" s="200"/>
      <c r="H2" s="199" t="s">
        <v>108</v>
      </c>
      <c r="I2" s="199"/>
      <c r="J2" s="200" t="s">
        <v>110</v>
      </c>
      <c r="K2" s="200"/>
      <c r="L2" s="199" t="s">
        <v>39</v>
      </c>
      <c r="M2" s="199"/>
      <c r="N2" s="204" t="s">
        <v>7</v>
      </c>
      <c r="O2" s="204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199" t="s">
        <v>4</v>
      </c>
      <c r="E2" s="199"/>
      <c r="F2" s="200" t="s">
        <v>113</v>
      </c>
      <c r="G2" s="200"/>
      <c r="H2" s="199" t="s">
        <v>108</v>
      </c>
      <c r="I2" s="199"/>
      <c r="J2" s="200" t="s">
        <v>110</v>
      </c>
      <c r="K2" s="200"/>
      <c r="L2" s="199" t="s">
        <v>39</v>
      </c>
      <c r="M2" s="199"/>
      <c r="N2" s="204" t="s">
        <v>7</v>
      </c>
      <c r="O2" s="204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199" t="s">
        <v>4</v>
      </c>
      <c r="E2" s="199"/>
      <c r="F2" s="200" t="s">
        <v>113</v>
      </c>
      <c r="G2" s="200"/>
      <c r="H2" s="199" t="s">
        <v>108</v>
      </c>
      <c r="I2" s="199"/>
      <c r="J2" s="200" t="s">
        <v>110</v>
      </c>
      <c r="K2" s="200"/>
      <c r="L2" s="199" t="s">
        <v>39</v>
      </c>
      <c r="M2" s="199"/>
      <c r="N2" s="204" t="s">
        <v>7</v>
      </c>
      <c r="O2" s="204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199" t="s">
        <v>4</v>
      </c>
      <c r="D2" s="199"/>
      <c r="E2" s="200" t="s">
        <v>113</v>
      </c>
      <c r="F2" s="200"/>
      <c r="G2" s="199" t="s">
        <v>108</v>
      </c>
      <c r="H2" s="199"/>
      <c r="I2" s="200" t="s">
        <v>110</v>
      </c>
      <c r="J2" s="200"/>
      <c r="K2" s="199" t="s">
        <v>39</v>
      </c>
      <c r="L2" s="199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199" t="s">
        <v>4</v>
      </c>
      <c r="D2" s="199"/>
      <c r="E2" s="200" t="s">
        <v>113</v>
      </c>
      <c r="F2" s="200"/>
      <c r="G2" s="199" t="s">
        <v>108</v>
      </c>
      <c r="H2" s="199"/>
      <c r="I2" s="200" t="s">
        <v>110</v>
      </c>
      <c r="J2" s="200"/>
      <c r="K2" s="199" t="s">
        <v>39</v>
      </c>
      <c r="L2" s="199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199" t="s">
        <v>4</v>
      </c>
      <c r="D2" s="199"/>
      <c r="E2" s="200" t="s">
        <v>113</v>
      </c>
      <c r="F2" s="200"/>
      <c r="G2" s="199" t="s">
        <v>108</v>
      </c>
      <c r="H2" s="199"/>
      <c r="I2" s="200" t="s">
        <v>110</v>
      </c>
      <c r="J2" s="200"/>
      <c r="K2" s="199" t="s">
        <v>39</v>
      </c>
      <c r="L2" s="199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199" t="s">
        <v>4</v>
      </c>
      <c r="D2" s="199"/>
      <c r="E2" s="200" t="s">
        <v>120</v>
      </c>
      <c r="F2" s="200"/>
      <c r="G2" s="199" t="s">
        <v>108</v>
      </c>
      <c r="H2" s="199"/>
      <c r="I2" s="200" t="s">
        <v>110</v>
      </c>
      <c r="J2" s="200"/>
      <c r="K2" s="199" t="s">
        <v>39</v>
      </c>
      <c r="L2" s="199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199" t="s">
        <v>4</v>
      </c>
      <c r="D2" s="199"/>
      <c r="E2" s="200" t="s">
        <v>120</v>
      </c>
      <c r="F2" s="200"/>
      <c r="G2" s="199" t="s">
        <v>108</v>
      </c>
      <c r="H2" s="199"/>
      <c r="I2" s="200" t="s">
        <v>110</v>
      </c>
      <c r="J2" s="200"/>
      <c r="K2" s="199" t="s">
        <v>39</v>
      </c>
      <c r="L2" s="199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199" t="s">
        <v>4</v>
      </c>
      <c r="D2" s="199"/>
      <c r="E2" s="200" t="s">
        <v>120</v>
      </c>
      <c r="F2" s="200"/>
      <c r="G2" s="199" t="s">
        <v>108</v>
      </c>
      <c r="H2" s="199"/>
      <c r="I2" s="200" t="s">
        <v>110</v>
      </c>
      <c r="J2" s="200"/>
      <c r="K2" s="199" t="s">
        <v>39</v>
      </c>
      <c r="L2" s="199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1"/>
  <sheetViews>
    <sheetView tabSelected="1" zoomScale="75" zoomScaleNormal="75" zoomScalePageLayoutView="110" workbookViewId="0">
      <selection activeCell="AD47" sqref="AD4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1" t="s">
        <v>4</v>
      </c>
      <c r="D2" s="202"/>
      <c r="E2" s="203"/>
      <c r="F2" s="206" t="s">
        <v>120</v>
      </c>
      <c r="G2" s="207"/>
      <c r="H2" s="208"/>
      <c r="I2" s="201" t="s">
        <v>108</v>
      </c>
      <c r="J2" s="202"/>
      <c r="K2" s="203"/>
      <c r="L2" s="206" t="s">
        <v>110</v>
      </c>
      <c r="M2" s="207"/>
      <c r="N2" s="208"/>
      <c r="O2" s="201" t="s">
        <v>39</v>
      </c>
      <c r="P2" s="202"/>
      <c r="Q2" s="203"/>
      <c r="R2" s="204" t="s">
        <v>7</v>
      </c>
      <c r="S2" s="204"/>
      <c r="T2" s="204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6" si="1">SUM(C5,F5,I5,L5,O5)</f>
        <v>0</v>
      </c>
      <c r="S5" s="2">
        <f t="shared" ref="S5:S16" si="2">SUM(D5,G5,J5,M5,P5)</f>
        <v>0</v>
      </c>
      <c r="T5" s="2">
        <f t="shared" ref="T5:T16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2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3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>SUM(C17,F17,I17,L17,O17)</f>
        <v>1</v>
      </c>
      <c r="S17" s="2">
        <f>SUM(D17,G17,J17,M17,P17)</f>
        <v>0</v>
      </c>
      <c r="T17" s="2">
        <f>SUM(E17,H17,K17,N17,Q17)</f>
        <v>0</v>
      </c>
      <c r="V17" s="55"/>
    </row>
    <row r="18" spans="1:22" x14ac:dyDescent="0.25">
      <c r="A18" s="27">
        <v>15</v>
      </c>
      <c r="B18" s="149" t="s">
        <v>438</v>
      </c>
      <c r="C18" s="6">
        <f>'Premier League'!C18</f>
        <v>1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0</v>
      </c>
      <c r="P18" s="6">
        <f>'Other (CS)'!D17</f>
        <v>0</v>
      </c>
      <c r="Q18" s="6">
        <f>'Other (CS)'!E17</f>
        <v>0</v>
      </c>
      <c r="R18" s="2">
        <f t="shared" ref="R18:R41" si="4">SUM(C18,F18,I18,L18,O18)</f>
        <v>1</v>
      </c>
      <c r="S18" s="2">
        <f t="shared" ref="S18:S41" si="5">SUM(D18,G18,J18,M18,P18)</f>
        <v>0</v>
      </c>
      <c r="T18" s="2">
        <f t="shared" ref="T18:T41" si="6">SUM(E18,H18,K18,N18,Q18)</f>
        <v>0</v>
      </c>
      <c r="V18" s="55"/>
    </row>
    <row r="19" spans="1:22" x14ac:dyDescent="0.25">
      <c r="A19" s="27">
        <v>17</v>
      </c>
      <c r="B19" s="148" t="s">
        <v>344</v>
      </c>
      <c r="C19" s="6">
        <f>'Premier League'!C19</f>
        <v>2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2</v>
      </c>
      <c r="R19" s="2">
        <f t="shared" si="4"/>
        <v>3</v>
      </c>
      <c r="S19" s="2">
        <f t="shared" si="5"/>
        <v>0</v>
      </c>
      <c r="T19" s="2">
        <f t="shared" si="6"/>
        <v>2</v>
      </c>
      <c r="V19" s="55"/>
    </row>
    <row r="20" spans="1:22" x14ac:dyDescent="0.25">
      <c r="A20" s="27">
        <v>20</v>
      </c>
      <c r="B20" s="148" t="s">
        <v>316</v>
      </c>
      <c r="C20" s="6">
        <f>'Premier League'!C20</f>
        <v>1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1</v>
      </c>
      <c r="P20" s="6">
        <f>'Other (CS)'!D19</f>
        <v>0</v>
      </c>
      <c r="Q20" s="6">
        <f>'Other (CS)'!E19</f>
        <v>0</v>
      </c>
      <c r="R20" s="2">
        <f t="shared" si="4"/>
        <v>2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21</v>
      </c>
      <c r="B21" s="37" t="s">
        <v>259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0</v>
      </c>
      <c r="S21" s="2">
        <f t="shared" si="5"/>
        <v>0</v>
      </c>
      <c r="T21" s="2">
        <f t="shared" si="6"/>
        <v>0</v>
      </c>
      <c r="V21" s="55"/>
    </row>
    <row r="22" spans="1:22" x14ac:dyDescent="0.25">
      <c r="A22" s="28">
        <v>22</v>
      </c>
      <c r="B22" s="40" t="s">
        <v>264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</row>
    <row r="23" spans="1:22" x14ac:dyDescent="0.25">
      <c r="A23" s="28">
        <v>23</v>
      </c>
      <c r="B23" s="37" t="s">
        <v>294</v>
      </c>
      <c r="C23" s="6">
        <f>'Premier League'!C23</f>
        <v>2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2</v>
      </c>
      <c r="S23" s="2">
        <f t="shared" si="5"/>
        <v>0</v>
      </c>
      <c r="T23" s="2">
        <f t="shared" si="6"/>
        <v>0</v>
      </c>
    </row>
    <row r="24" spans="1:22" x14ac:dyDescent="0.25">
      <c r="A24" s="28">
        <v>24</v>
      </c>
      <c r="B24" s="148" t="s">
        <v>115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8">
        <v>29</v>
      </c>
      <c r="B25" s="148" t="s">
        <v>276</v>
      </c>
      <c r="C25" s="6">
        <f>'Premier League'!C25</f>
        <v>2</v>
      </c>
      <c r="D25" s="6">
        <f>'Premier League'!D25</f>
        <v>1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1</v>
      </c>
      <c r="Q25" s="6">
        <f>'Other (CS)'!E24</f>
        <v>0</v>
      </c>
      <c r="R25" s="2">
        <f t="shared" si="4"/>
        <v>3</v>
      </c>
      <c r="S25" s="2">
        <f t="shared" si="5"/>
        <v>2</v>
      </c>
      <c r="T25" s="2">
        <f t="shared" si="6"/>
        <v>0</v>
      </c>
      <c r="V25" s="55"/>
    </row>
    <row r="26" spans="1:22" x14ac:dyDescent="0.25">
      <c r="A26" s="28">
        <v>30</v>
      </c>
      <c r="B26" s="148" t="s">
        <v>345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0</v>
      </c>
      <c r="P26" s="6">
        <f>'Other (CS)'!D25</f>
        <v>0</v>
      </c>
      <c r="Q26" s="6">
        <f>'Other (CS)'!E25</f>
        <v>0</v>
      </c>
      <c r="R26" s="2">
        <f t="shared" si="4"/>
        <v>0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8">
        <v>33</v>
      </c>
      <c r="B27" s="148" t="s">
        <v>292</v>
      </c>
      <c r="C27" s="6">
        <f>'Premier League'!C27</f>
        <v>2</v>
      </c>
      <c r="D27" s="6">
        <f>'Premier League'!D27</f>
        <v>0</v>
      </c>
      <c r="E27" s="6">
        <f>'Premier League'!E27</f>
        <v>2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1</v>
      </c>
      <c r="Q27" s="6">
        <f>'Other (CS)'!E26</f>
        <v>0</v>
      </c>
      <c r="R27" s="2">
        <f t="shared" si="4"/>
        <v>3</v>
      </c>
      <c r="S27" s="2">
        <f t="shared" si="5"/>
        <v>1</v>
      </c>
      <c r="T27" s="2">
        <f t="shared" si="6"/>
        <v>2</v>
      </c>
      <c r="V27" s="55"/>
    </row>
    <row r="28" spans="1:22" x14ac:dyDescent="0.25">
      <c r="A28" s="27">
        <v>35</v>
      </c>
      <c r="B28" s="148" t="s">
        <v>304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 t="shared" si="4"/>
        <v>0</v>
      </c>
      <c r="S28" s="2">
        <f t="shared" si="5"/>
        <v>0</v>
      </c>
      <c r="T28" s="2">
        <f t="shared" si="6"/>
        <v>0</v>
      </c>
      <c r="V28" s="55"/>
    </row>
    <row r="29" spans="1:22" x14ac:dyDescent="0.25">
      <c r="A29" s="27">
        <v>36</v>
      </c>
      <c r="B29" s="148" t="s">
        <v>314</v>
      </c>
      <c r="C29" s="6">
        <f>'Premier League'!C29</f>
        <v>2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3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7">
        <v>39</v>
      </c>
      <c r="B30" s="148" t="s">
        <v>346</v>
      </c>
      <c r="C30" s="6">
        <f>'Premier League'!C30</f>
        <v>1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4"/>
        <v>2</v>
      </c>
      <c r="S30" s="2">
        <f t="shared" si="5"/>
        <v>0</v>
      </c>
      <c r="T30" s="2">
        <f t="shared" si="6"/>
        <v>0</v>
      </c>
      <c r="V30" s="55"/>
    </row>
    <row r="31" spans="1:22" x14ac:dyDescent="0.25">
      <c r="A31" s="27">
        <v>41</v>
      </c>
      <c r="B31" s="35" t="s">
        <v>278</v>
      </c>
      <c r="C31" s="6">
        <f>'Premier League'!C31</f>
        <v>2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1</v>
      </c>
      <c r="P31" s="6">
        <f>'Other (CS)'!D30</f>
        <v>0</v>
      </c>
      <c r="Q31" s="6">
        <f>'Other (CS)'!E30</f>
        <v>0</v>
      </c>
      <c r="R31" s="2">
        <f t="shared" si="4"/>
        <v>3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7">
        <v>46</v>
      </c>
      <c r="B32" s="34" t="s">
        <v>299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298</v>
      </c>
      <c r="C33" s="6">
        <f>'Premier League'!C33</f>
        <v>2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3</v>
      </c>
      <c r="S33" s="2">
        <f t="shared" si="5"/>
        <v>0</v>
      </c>
      <c r="T33" s="2">
        <f t="shared" si="6"/>
        <v>1</v>
      </c>
    </row>
    <row r="34" spans="1:20" x14ac:dyDescent="0.25">
      <c r="A34" s="27">
        <v>52</v>
      </c>
      <c r="B34" s="149" t="s">
        <v>342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53</v>
      </c>
      <c r="B35" s="148" t="s">
        <v>293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56</v>
      </c>
      <c r="B36" s="149" t="s">
        <v>323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328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72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  <row r="39" spans="1:20" x14ac:dyDescent="0.25">
      <c r="A39" s="28">
        <v>81</v>
      </c>
      <c r="B39" s="148" t="s">
        <v>340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4"/>
        <v>0</v>
      </c>
      <c r="S39" s="2">
        <f t="shared" si="5"/>
        <v>0</v>
      </c>
      <c r="T39" s="2">
        <f t="shared" si="6"/>
        <v>0</v>
      </c>
    </row>
    <row r="40" spans="1:20" x14ac:dyDescent="0.25">
      <c r="A40" s="28">
        <v>89</v>
      </c>
      <c r="B40" s="148" t="s">
        <v>334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4"/>
        <v>0</v>
      </c>
      <c r="S40" s="2">
        <f t="shared" si="5"/>
        <v>0</v>
      </c>
      <c r="T40" s="2">
        <f t="shared" si="6"/>
        <v>0</v>
      </c>
    </row>
    <row r="41" spans="1:20" x14ac:dyDescent="0.25">
      <c r="A41" s="28">
        <v>92</v>
      </c>
      <c r="B41" s="37" t="s">
        <v>302</v>
      </c>
      <c r="C41" s="6">
        <f>'Premier League'!C41</f>
        <v>0</v>
      </c>
      <c r="D41" s="6">
        <f>'Premier League'!D41</f>
        <v>0</v>
      </c>
      <c r="E41" s="6">
        <f>'Premier League'!E41</f>
        <v>0</v>
      </c>
      <c r="F41" s="4">
        <f>Europe!C41</f>
        <v>0</v>
      </c>
      <c r="G41" s="4">
        <f>Europe!D41</f>
        <v>0</v>
      </c>
      <c r="H41" s="4">
        <f>Europe!E41</f>
        <v>0</v>
      </c>
      <c r="I41" s="6">
        <f>'FA Cup'!C41</f>
        <v>0</v>
      </c>
      <c r="J41" s="6">
        <f>'FA Cup'!D41</f>
        <v>0</v>
      </c>
      <c r="K41" s="6">
        <f>'FA Cup'!E41</f>
        <v>0</v>
      </c>
      <c r="L41" s="4">
        <f>'League Cup'!C41</f>
        <v>0</v>
      </c>
      <c r="M41" s="4">
        <f>'League Cup'!D41</f>
        <v>0</v>
      </c>
      <c r="N41" s="4">
        <f>'League Cup'!E41</f>
        <v>0</v>
      </c>
      <c r="O41" s="6">
        <f>'Other (CS)'!C40</f>
        <v>0</v>
      </c>
      <c r="P41" s="6">
        <f>'Other (CS)'!D40</f>
        <v>0</v>
      </c>
      <c r="Q41" s="6">
        <f>'Other (CS)'!E40</f>
        <v>0</v>
      </c>
      <c r="R41" s="2">
        <f t="shared" si="4"/>
        <v>0</v>
      </c>
      <c r="S41" s="2">
        <f t="shared" si="5"/>
        <v>0</v>
      </c>
      <c r="T41" s="2">
        <f t="shared" si="6"/>
        <v>0</v>
      </c>
    </row>
  </sheetData>
  <autoFilter ref="A3:S21" xr:uid="{00000000-0009-0000-0000-000002000000}">
    <sortState xmlns:xlrd2="http://schemas.microsoft.com/office/spreadsheetml/2017/richdata2" ref="A4:S23">
      <sortCondition ref="A3:A21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1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1" t="s">
        <v>4</v>
      </c>
      <c r="F1" s="202"/>
      <c r="G1" s="203"/>
      <c r="H1" s="206" t="s">
        <v>120</v>
      </c>
      <c r="I1" s="207"/>
      <c r="J1" s="208"/>
      <c r="K1" s="201" t="s">
        <v>108</v>
      </c>
      <c r="L1" s="202"/>
      <c r="M1" s="203"/>
      <c r="N1" s="206" t="s">
        <v>110</v>
      </c>
      <c r="O1" s="207"/>
      <c r="P1" s="208"/>
      <c r="Q1" s="201" t="s">
        <v>39</v>
      </c>
      <c r="R1" s="202"/>
      <c r="S1" s="203"/>
      <c r="T1" s="204" t="s">
        <v>7</v>
      </c>
      <c r="U1" s="204"/>
      <c r="V1" s="204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2"/>
  <sheetViews>
    <sheetView zoomScale="90" zoomScaleNormal="90" workbookViewId="0">
      <pane xSplit="5" ySplit="3" topLeftCell="F6" activePane="bottomRight" state="frozen"/>
      <selection pane="topRight" activeCell="F1" sqref="F1"/>
      <selection pane="bottomLeft" activeCell="A4" sqref="A4"/>
      <selection pane="bottomRight" activeCell="Q25" sqref="Q25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09">
        <v>1</v>
      </c>
      <c r="G1" s="210"/>
      <c r="H1" s="211"/>
      <c r="I1" s="209">
        <v>2</v>
      </c>
      <c r="J1" s="210"/>
      <c r="K1" s="211"/>
      <c r="L1" s="209">
        <v>3</v>
      </c>
      <c r="M1" s="210"/>
      <c r="N1" s="211"/>
      <c r="O1" s="209">
        <v>4</v>
      </c>
      <c r="P1" s="210"/>
      <c r="Q1" s="211"/>
      <c r="R1" s="209">
        <v>5</v>
      </c>
      <c r="S1" s="210"/>
      <c r="T1" s="211"/>
      <c r="U1" s="209">
        <v>6</v>
      </c>
      <c r="V1" s="210"/>
      <c r="W1" s="211"/>
      <c r="X1" s="209">
        <v>7</v>
      </c>
      <c r="Y1" s="210"/>
      <c r="Z1" s="211"/>
      <c r="AA1" s="209">
        <v>8</v>
      </c>
      <c r="AB1" s="210"/>
      <c r="AC1" s="211"/>
      <c r="AD1" s="209">
        <v>9</v>
      </c>
      <c r="AE1" s="210"/>
      <c r="AF1" s="211"/>
      <c r="AG1" s="209">
        <v>10</v>
      </c>
      <c r="AH1" s="210"/>
      <c r="AI1" s="211"/>
      <c r="AJ1" s="209">
        <v>11</v>
      </c>
      <c r="AK1" s="210"/>
      <c r="AL1" s="211"/>
      <c r="AM1" s="209">
        <v>12</v>
      </c>
      <c r="AN1" s="210"/>
      <c r="AO1" s="211"/>
      <c r="AP1" s="209">
        <v>13</v>
      </c>
      <c r="AQ1" s="210"/>
      <c r="AR1" s="211"/>
      <c r="AS1" s="209">
        <v>14</v>
      </c>
      <c r="AT1" s="210"/>
      <c r="AU1" s="211"/>
      <c r="AV1" s="209">
        <v>15</v>
      </c>
      <c r="AW1" s="210"/>
      <c r="AX1" s="211"/>
      <c r="AY1" s="209">
        <v>16</v>
      </c>
      <c r="AZ1" s="210"/>
      <c r="BA1" s="211"/>
      <c r="BB1" s="209">
        <v>17</v>
      </c>
      <c r="BC1" s="210"/>
      <c r="BD1" s="211"/>
      <c r="BE1" s="209">
        <v>18</v>
      </c>
      <c r="BF1" s="210"/>
      <c r="BG1" s="211"/>
      <c r="BH1" s="209">
        <v>19</v>
      </c>
      <c r="BI1" s="210"/>
      <c r="BJ1" s="211"/>
      <c r="BK1" s="209">
        <v>20</v>
      </c>
      <c r="BL1" s="210"/>
      <c r="BM1" s="211"/>
      <c r="BN1" s="209">
        <v>21</v>
      </c>
      <c r="BO1" s="210"/>
      <c r="BP1" s="211"/>
      <c r="BQ1" s="209">
        <v>22</v>
      </c>
      <c r="BR1" s="210"/>
      <c r="BS1" s="211"/>
      <c r="BT1" s="209">
        <v>23</v>
      </c>
      <c r="BU1" s="210"/>
      <c r="BV1" s="211"/>
      <c r="BW1" s="209">
        <v>24</v>
      </c>
      <c r="BX1" s="210"/>
      <c r="BY1" s="211"/>
      <c r="BZ1" s="209">
        <v>25</v>
      </c>
      <c r="CA1" s="210"/>
      <c r="CB1" s="211"/>
      <c r="CC1" s="209">
        <v>26</v>
      </c>
      <c r="CD1" s="210"/>
      <c r="CE1" s="211"/>
      <c r="CF1" s="209">
        <v>27</v>
      </c>
      <c r="CG1" s="210"/>
      <c r="CH1" s="211"/>
      <c r="CI1" s="209">
        <v>28</v>
      </c>
      <c r="CJ1" s="210"/>
      <c r="CK1" s="211"/>
      <c r="CL1" s="209">
        <v>29</v>
      </c>
      <c r="CM1" s="210"/>
      <c r="CN1" s="211"/>
      <c r="CO1" s="209">
        <v>30</v>
      </c>
      <c r="CP1" s="210"/>
      <c r="CQ1" s="211"/>
      <c r="CR1" s="209">
        <v>31</v>
      </c>
      <c r="CS1" s="210"/>
      <c r="CT1" s="211"/>
      <c r="CU1" s="209">
        <v>32</v>
      </c>
      <c r="CV1" s="210"/>
      <c r="CW1" s="211"/>
      <c r="CX1" s="209">
        <v>33</v>
      </c>
      <c r="CY1" s="210"/>
      <c r="CZ1" s="211"/>
      <c r="DA1" s="209">
        <v>34</v>
      </c>
      <c r="DB1" s="210"/>
      <c r="DC1" s="211"/>
      <c r="DD1" s="209">
        <v>35</v>
      </c>
      <c r="DE1" s="210"/>
      <c r="DF1" s="211"/>
      <c r="DG1" s="209">
        <v>36</v>
      </c>
      <c r="DH1" s="210"/>
      <c r="DI1" s="211"/>
      <c r="DJ1" s="209">
        <v>37</v>
      </c>
      <c r="DK1" s="210"/>
      <c r="DL1" s="211"/>
      <c r="DM1" s="209">
        <v>38</v>
      </c>
      <c r="DN1" s="210"/>
      <c r="DO1" s="211"/>
    </row>
    <row r="2" spans="1:119" ht="15.75" thickBot="1" x14ac:dyDescent="0.3">
      <c r="A2" s="3"/>
      <c r="B2" s="17"/>
      <c r="C2" s="215" t="s">
        <v>397</v>
      </c>
      <c r="D2" s="215" t="s">
        <v>398</v>
      </c>
      <c r="E2" s="215" t="s">
        <v>399</v>
      </c>
      <c r="F2" s="212" t="s">
        <v>347</v>
      </c>
      <c r="G2" s="213"/>
      <c r="H2" s="214"/>
      <c r="I2" s="217" t="s">
        <v>332</v>
      </c>
      <c r="J2" s="218"/>
      <c r="K2" s="219"/>
      <c r="L2" s="212" t="s">
        <v>331</v>
      </c>
      <c r="M2" s="213"/>
      <c r="N2" s="214"/>
      <c r="O2" s="212" t="s">
        <v>329</v>
      </c>
      <c r="P2" s="213"/>
      <c r="Q2" s="214"/>
      <c r="R2" s="212" t="s">
        <v>336</v>
      </c>
      <c r="S2" s="213"/>
      <c r="T2" s="214"/>
      <c r="U2" s="212" t="s">
        <v>321</v>
      </c>
      <c r="V2" s="213"/>
      <c r="W2" s="214"/>
      <c r="X2" s="212" t="s">
        <v>338</v>
      </c>
      <c r="Y2" s="213"/>
      <c r="Z2" s="214"/>
      <c r="AA2" s="212" t="s">
        <v>335</v>
      </c>
      <c r="AB2" s="213"/>
      <c r="AC2" s="214"/>
      <c r="AD2" s="212" t="s">
        <v>322</v>
      </c>
      <c r="AE2" s="213"/>
      <c r="AF2" s="214"/>
      <c r="AG2" s="212" t="s">
        <v>348</v>
      </c>
      <c r="AH2" s="213"/>
      <c r="AI2" s="214"/>
      <c r="AJ2" s="212" t="s">
        <v>325</v>
      </c>
      <c r="AK2" s="213"/>
      <c r="AL2" s="214"/>
      <c r="AM2" s="212" t="s">
        <v>324</v>
      </c>
      <c r="AN2" s="213"/>
      <c r="AO2" s="214"/>
      <c r="AP2" s="212" t="s">
        <v>333</v>
      </c>
      <c r="AQ2" s="213"/>
      <c r="AR2" s="214"/>
      <c r="AS2" s="212" t="s">
        <v>330</v>
      </c>
      <c r="AT2" s="213"/>
      <c r="AU2" s="214"/>
      <c r="AV2" s="212" t="s">
        <v>337</v>
      </c>
      <c r="AW2" s="213"/>
      <c r="AX2" s="214"/>
      <c r="AY2" s="212" t="s">
        <v>306</v>
      </c>
      <c r="AZ2" s="213"/>
      <c r="BA2" s="214"/>
      <c r="BB2" s="212" t="s">
        <v>327</v>
      </c>
      <c r="BC2" s="213"/>
      <c r="BD2" s="214"/>
      <c r="BE2" s="212" t="s">
        <v>326</v>
      </c>
      <c r="BF2" s="213"/>
      <c r="BG2" s="214"/>
      <c r="BH2" s="212" t="s">
        <v>349</v>
      </c>
      <c r="BI2" s="213"/>
      <c r="BJ2" s="214"/>
      <c r="BK2" s="212" t="s">
        <v>333</v>
      </c>
      <c r="BL2" s="213"/>
      <c r="BM2" s="214"/>
      <c r="BN2" s="212" t="s">
        <v>348</v>
      </c>
      <c r="BO2" s="213"/>
      <c r="BP2" s="214"/>
      <c r="BQ2" s="212" t="s">
        <v>325</v>
      </c>
      <c r="BR2" s="213"/>
      <c r="BS2" s="214"/>
      <c r="BT2" s="212" t="s">
        <v>324</v>
      </c>
      <c r="BU2" s="213"/>
      <c r="BV2" s="214"/>
      <c r="BW2" s="212" t="s">
        <v>322</v>
      </c>
      <c r="BX2" s="213"/>
      <c r="BY2" s="214"/>
      <c r="BZ2" s="212" t="s">
        <v>349</v>
      </c>
      <c r="CA2" s="213"/>
      <c r="CB2" s="214"/>
      <c r="CC2" s="212" t="s">
        <v>326</v>
      </c>
      <c r="CD2" s="213"/>
      <c r="CE2" s="214"/>
      <c r="CF2" s="212" t="s">
        <v>306</v>
      </c>
      <c r="CG2" s="213"/>
      <c r="CH2" s="214"/>
      <c r="CI2" s="212" t="s">
        <v>327</v>
      </c>
      <c r="CJ2" s="213"/>
      <c r="CK2" s="214"/>
      <c r="CL2" s="212" t="s">
        <v>331</v>
      </c>
      <c r="CM2" s="213"/>
      <c r="CN2" s="214"/>
      <c r="CO2" s="212" t="s">
        <v>329</v>
      </c>
      <c r="CP2" s="213"/>
      <c r="CQ2" s="214"/>
      <c r="CR2" s="212" t="s">
        <v>347</v>
      </c>
      <c r="CS2" s="213"/>
      <c r="CT2" s="214"/>
      <c r="CU2" s="212" t="s">
        <v>332</v>
      </c>
      <c r="CV2" s="213"/>
      <c r="CW2" s="214"/>
      <c r="CX2" s="212" t="s">
        <v>337</v>
      </c>
      <c r="CY2" s="213"/>
      <c r="CZ2" s="214"/>
      <c r="DA2" s="212" t="s">
        <v>330</v>
      </c>
      <c r="DB2" s="213"/>
      <c r="DC2" s="214"/>
      <c r="DD2" s="212" t="s">
        <v>321</v>
      </c>
      <c r="DE2" s="213"/>
      <c r="DF2" s="214"/>
      <c r="DG2" s="212" t="s">
        <v>338</v>
      </c>
      <c r="DH2" s="213"/>
      <c r="DI2" s="214"/>
      <c r="DJ2" s="212" t="s">
        <v>335</v>
      </c>
      <c r="DK2" s="213"/>
      <c r="DL2" s="214"/>
      <c r="DM2" s="212" t="s">
        <v>336</v>
      </c>
      <c r="DN2" s="213"/>
      <c r="DO2" s="214"/>
    </row>
    <row r="3" spans="1:119" x14ac:dyDescent="0.25">
      <c r="A3" s="3" t="s">
        <v>48</v>
      </c>
      <c r="B3" s="17" t="s">
        <v>1</v>
      </c>
      <c r="C3" s="220"/>
      <c r="D3" s="220"/>
      <c r="E3" s="216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7" si="1">SUM(F5,I5,L5,O5,R5,U5,X5,AA5,AD5,AG5,AJ5,AM5,AP5,AS5,AV5,AY5,BB5,BE5,BH5,BK5,BN5,BQ5,BT5,BW5,BZ5,CC5,CF5,CI5,CL5,CO5,CR5,CU5,CX5,DA5,DD5,DG5,DJ5,DM5)</f>
        <v>0</v>
      </c>
      <c r="D5" s="58">
        <f t="shared" ref="D5:D17" si="2">SUM(G5,J5,M5,P5,S5,V5,Y5,AB5,AE5,AH5,AK5,AN5,AQ5,AT5,AW5,AZ5,BC5,BF5,BI5,BL5,BO5,BR5,BU5,BX5,CA5,CD5,CG5,CJ5,CM5,CP5,CS5,CV5,CY5,DB5,DE5,DH5,DK5,DN5)</f>
        <v>0</v>
      </c>
      <c r="E5" s="58">
        <f t="shared" ref="E5:E17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2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>
        <v>1</v>
      </c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ht="14.25" customHeight="1" x14ac:dyDescent="0.25">
      <c r="A18" s="27">
        <v>15</v>
      </c>
      <c r="B18" s="149" t="s">
        <v>438</v>
      </c>
      <c r="C18" s="58">
        <f t="shared" ref="C18:C41" si="4">SUM(F18,I18,L18,O18,R18,U18,X18,AA18,AD18,AG18,AJ18,AM18,AP18,AS18,AV18,AY18,BB18,BE18,BH18,BK18,BN18,BQ18,BT18,BW18,BZ18,CC18,CF18,CI18,CL18,CO18,CR18,CU18,CX18,DA18,DD18,DG18,DJ18,DM18)</f>
        <v>1</v>
      </c>
      <c r="D18" s="58">
        <f t="shared" ref="D18:D41" si="5">SUM(G18,J18,M18,P18,S18,V18,Y18,AB18,AE18,AH18,AK18,AN18,AQ18,AT18,AW18,AZ18,BC18,BF18,BI18,BL18,BO18,BR18,BU18,BX18,CA18,CD18,CG18,CJ18,CM18,CP18,CS18,CV18,CY18,DB18,DE18,DH18,DK18,DN18)</f>
        <v>0</v>
      </c>
      <c r="E18" s="58">
        <f t="shared" ref="E18:E41" si="6">SUM(H18,K18,N18,Q18,T18,W18,Z18,AC18,AF18,AI18,AL18,AO18,AR18,AU18,AX18,BA18,BD18,BG18,BJ18,BM18,BP18,BS18,BV18,BY18,CB18,CE18,CH18,CK18,CN18,CQ18,CT18,CW18,CZ18,DC18,DF18,DI18,DL18,DO18)</f>
        <v>0</v>
      </c>
      <c r="F18" s="52"/>
      <c r="G18" s="36"/>
      <c r="H18" s="53"/>
      <c r="I18" s="52">
        <v>1</v>
      </c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17</v>
      </c>
      <c r="B19" s="148" t="s">
        <v>344</v>
      </c>
      <c r="C19" s="58">
        <f t="shared" si="4"/>
        <v>2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>
        <v>1</v>
      </c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20</v>
      </c>
      <c r="B20" s="148" t="s">
        <v>316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7">
        <v>23</v>
      </c>
      <c r="B23" s="37" t="s">
        <v>294</v>
      </c>
      <c r="C23" s="58">
        <f t="shared" si="4"/>
        <v>2</v>
      </c>
      <c r="D23" s="58">
        <f t="shared" si="5"/>
        <v>0</v>
      </c>
      <c r="E23" s="58">
        <f t="shared" si="6"/>
        <v>0</v>
      </c>
      <c r="F23" s="52">
        <v>1</v>
      </c>
      <c r="G23" s="36"/>
      <c r="H23" s="53"/>
      <c r="I23" s="52">
        <v>1</v>
      </c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29</v>
      </c>
      <c r="B25" s="148" t="s">
        <v>276</v>
      </c>
      <c r="C25" s="58">
        <f t="shared" si="4"/>
        <v>2</v>
      </c>
      <c r="D25" s="58">
        <f t="shared" si="5"/>
        <v>1</v>
      </c>
      <c r="E25" s="58">
        <f t="shared" si="6"/>
        <v>0</v>
      </c>
      <c r="F25" s="52">
        <v>1</v>
      </c>
      <c r="G25" s="36">
        <v>1</v>
      </c>
      <c r="H25" s="53"/>
      <c r="I25" s="52">
        <v>1</v>
      </c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33</v>
      </c>
      <c r="B27" s="148" t="s">
        <v>292</v>
      </c>
      <c r="C27" s="58">
        <f t="shared" si="4"/>
        <v>2</v>
      </c>
      <c r="D27" s="58">
        <f t="shared" si="5"/>
        <v>0</v>
      </c>
      <c r="E27" s="58">
        <f t="shared" si="6"/>
        <v>2</v>
      </c>
      <c r="F27" s="52">
        <v>1</v>
      </c>
      <c r="G27" s="36"/>
      <c r="H27" s="53">
        <v>1</v>
      </c>
      <c r="I27" s="52">
        <v>1</v>
      </c>
      <c r="J27" s="36"/>
      <c r="K27" s="53">
        <v>1</v>
      </c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36</v>
      </c>
      <c r="B29" s="148" t="s">
        <v>314</v>
      </c>
      <c r="C29" s="58">
        <f t="shared" si="4"/>
        <v>2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>
        <v>1</v>
      </c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39</v>
      </c>
      <c r="B30" s="148" t="s">
        <v>346</v>
      </c>
      <c r="C30" s="58">
        <f t="shared" si="4"/>
        <v>1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>
        <v>1</v>
      </c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41</v>
      </c>
      <c r="B31" s="35" t="s">
        <v>278</v>
      </c>
      <c r="C31" s="58">
        <f t="shared" si="4"/>
        <v>2</v>
      </c>
      <c r="D31" s="58">
        <f t="shared" si="5"/>
        <v>0</v>
      </c>
      <c r="E31" s="58">
        <f t="shared" si="6"/>
        <v>0</v>
      </c>
      <c r="F31" s="52">
        <v>1</v>
      </c>
      <c r="G31" s="36"/>
      <c r="H31" s="53"/>
      <c r="I31" s="52">
        <v>1</v>
      </c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298</v>
      </c>
      <c r="C33" s="58">
        <f t="shared" si="4"/>
        <v>2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  <c r="X40" s="52"/>
      <c r="Y40" s="36"/>
      <c r="Z40" s="53"/>
      <c r="AA40" s="52"/>
      <c r="AB40" s="36"/>
      <c r="AC40" s="53"/>
      <c r="AD40" s="52"/>
      <c r="AE40" s="36"/>
      <c r="AF40" s="53"/>
      <c r="AG40" s="52"/>
      <c r="AH40" s="36"/>
      <c r="AI40" s="53"/>
      <c r="AJ40" s="52"/>
      <c r="AK40" s="36"/>
      <c r="AL40" s="53"/>
      <c r="AM40" s="52"/>
      <c r="AN40" s="36"/>
      <c r="AO40" s="53"/>
      <c r="AP40" s="52"/>
      <c r="AQ40" s="36"/>
      <c r="AR40" s="53"/>
      <c r="AS40" s="52"/>
      <c r="AT40" s="36"/>
      <c r="AU40" s="53"/>
      <c r="AV40" s="52"/>
      <c r="AW40" s="36"/>
      <c r="AX40" s="53"/>
      <c r="AY40" s="52"/>
      <c r="AZ40" s="36"/>
      <c r="BA40" s="53"/>
      <c r="BB40" s="52"/>
      <c r="BC40" s="36"/>
      <c r="BD40" s="53"/>
      <c r="BE40" s="52"/>
      <c r="BF40" s="36"/>
      <c r="BG40" s="53"/>
      <c r="BH40" s="52"/>
      <c r="BI40" s="36"/>
      <c r="BJ40" s="53"/>
      <c r="BK40" s="52"/>
      <c r="BL40" s="36"/>
      <c r="BM40" s="53"/>
      <c r="BN40" s="52"/>
      <c r="BO40" s="36"/>
      <c r="BP40" s="53"/>
      <c r="BQ40" s="52"/>
      <c r="BR40" s="36"/>
      <c r="BS40" s="53"/>
      <c r="BT40" s="52"/>
      <c r="BU40" s="36"/>
      <c r="BV40" s="53"/>
      <c r="BW40" s="52"/>
      <c r="BX40" s="36"/>
      <c r="BY40" s="53"/>
      <c r="BZ40" s="52"/>
      <c r="CA40" s="36"/>
      <c r="CB40" s="53"/>
      <c r="CC40" s="52"/>
      <c r="CD40" s="36"/>
      <c r="CE40" s="53"/>
      <c r="CF40" s="52"/>
      <c r="CG40" s="36"/>
      <c r="CH40" s="53"/>
      <c r="CI40" s="52"/>
      <c r="CJ40" s="36"/>
      <c r="CK40" s="53"/>
      <c r="CL40" s="52"/>
      <c r="CM40" s="36"/>
      <c r="CN40" s="53"/>
      <c r="CO40" s="52"/>
      <c r="CP40" s="36"/>
      <c r="CQ40" s="53"/>
      <c r="CR40" s="52"/>
      <c r="CS40" s="36"/>
      <c r="CT40" s="53"/>
      <c r="CU40" s="52"/>
      <c r="CV40" s="36"/>
      <c r="CW40" s="53"/>
      <c r="CX40" s="52"/>
      <c r="CY40" s="36"/>
      <c r="CZ40" s="53"/>
      <c r="DA40" s="52"/>
      <c r="DB40" s="36"/>
      <c r="DC40" s="53"/>
      <c r="DD40" s="52"/>
      <c r="DE40" s="36"/>
      <c r="DF40" s="53"/>
      <c r="DG40" s="52"/>
      <c r="DH40" s="36"/>
      <c r="DI40" s="53"/>
      <c r="DJ40" s="52"/>
      <c r="DK40" s="36"/>
      <c r="DL40" s="53"/>
      <c r="DM40" s="52"/>
      <c r="DN40" s="36"/>
      <c r="DO40" s="53"/>
    </row>
    <row r="41" spans="1:119" s="54" customFormat="1" ht="15.75" thickBot="1" x14ac:dyDescent="0.3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146"/>
      <c r="G41" s="163"/>
      <c r="H41" s="147"/>
      <c r="I41" s="146"/>
      <c r="J41" s="163"/>
      <c r="K41" s="147"/>
      <c r="L41" s="146"/>
      <c r="M41" s="163"/>
      <c r="N41" s="147"/>
      <c r="O41" s="146"/>
      <c r="P41" s="163"/>
      <c r="Q41" s="147"/>
      <c r="R41" s="146"/>
      <c r="S41" s="163"/>
      <c r="T41" s="147"/>
      <c r="U41" s="146"/>
      <c r="V41" s="163"/>
      <c r="W41" s="147"/>
      <c r="X41" s="146"/>
      <c r="Y41" s="163"/>
      <c r="Z41" s="147"/>
      <c r="AA41" s="146"/>
      <c r="AB41" s="163"/>
      <c r="AC41" s="147"/>
      <c r="AD41" s="146"/>
      <c r="AE41" s="163"/>
      <c r="AF41" s="147"/>
      <c r="AG41" s="146"/>
      <c r="AH41" s="163"/>
      <c r="AI41" s="147"/>
      <c r="AJ41" s="146"/>
      <c r="AK41" s="163"/>
      <c r="AL41" s="147"/>
      <c r="AM41" s="146"/>
      <c r="AN41" s="163"/>
      <c r="AO41" s="147"/>
      <c r="AP41" s="146"/>
      <c r="AQ41" s="163"/>
      <c r="AR41" s="147"/>
      <c r="AS41" s="146"/>
      <c r="AT41" s="163"/>
      <c r="AU41" s="147"/>
      <c r="AV41" s="146"/>
      <c r="AW41" s="163"/>
      <c r="AX41" s="147"/>
      <c r="AY41" s="146"/>
      <c r="AZ41" s="163"/>
      <c r="BA41" s="147"/>
      <c r="BB41" s="146"/>
      <c r="BC41" s="163"/>
      <c r="BD41" s="147"/>
      <c r="BE41" s="146"/>
      <c r="BF41" s="163"/>
      <c r="BG41" s="147"/>
      <c r="BH41" s="146"/>
      <c r="BI41" s="163"/>
      <c r="BJ41" s="147"/>
      <c r="BK41" s="146"/>
      <c r="BL41" s="163"/>
      <c r="BM41" s="147"/>
      <c r="BN41" s="146"/>
      <c r="BO41" s="163"/>
      <c r="BP41" s="147"/>
      <c r="BQ41" s="146"/>
      <c r="BR41" s="163"/>
      <c r="BS41" s="147"/>
      <c r="BT41" s="146"/>
      <c r="BU41" s="163"/>
      <c r="BV41" s="147"/>
      <c r="BW41" s="146"/>
      <c r="BX41" s="163"/>
      <c r="BY41" s="147"/>
      <c r="BZ41" s="146"/>
      <c r="CA41" s="163"/>
      <c r="CB41" s="147"/>
      <c r="CC41" s="146"/>
      <c r="CD41" s="163"/>
      <c r="CE41" s="147"/>
      <c r="CF41" s="146"/>
      <c r="CG41" s="163"/>
      <c r="CH41" s="147"/>
      <c r="CI41" s="146"/>
      <c r="CJ41" s="163"/>
      <c r="CK41" s="147"/>
      <c r="CL41" s="146"/>
      <c r="CM41" s="163"/>
      <c r="CN41" s="147"/>
      <c r="CO41" s="146"/>
      <c r="CP41" s="163"/>
      <c r="CQ41" s="147"/>
      <c r="CR41" s="146"/>
      <c r="CS41" s="163"/>
      <c r="CT41" s="147"/>
      <c r="CU41" s="146"/>
      <c r="CV41" s="163"/>
      <c r="CW41" s="147"/>
      <c r="CX41" s="146"/>
      <c r="CY41" s="163"/>
      <c r="CZ41" s="147"/>
      <c r="DA41" s="146"/>
      <c r="DB41" s="163"/>
      <c r="DC41" s="147"/>
      <c r="DD41" s="146"/>
      <c r="DE41" s="163"/>
      <c r="DF41" s="147"/>
      <c r="DG41" s="146"/>
      <c r="DH41" s="163"/>
      <c r="DI41" s="147"/>
      <c r="DJ41" s="146"/>
      <c r="DK41" s="163"/>
      <c r="DL41" s="147"/>
      <c r="DM41" s="146"/>
      <c r="DN41" s="163"/>
      <c r="DO41" s="147"/>
    </row>
    <row r="42" spans="1:119" s="54" customFormat="1" x14ac:dyDescent="0.25">
      <c r="A42"/>
      <c r="B42"/>
      <c r="C42"/>
      <c r="D42"/>
      <c r="E42"/>
      <c r="F42" s="73">
        <f t="shared" ref="F42:H42" si="7">SUM(F4:F41)</f>
        <v>16</v>
      </c>
      <c r="G42" s="73">
        <f t="shared" si="7"/>
        <v>3</v>
      </c>
      <c r="H42" s="73">
        <f t="shared" si="7"/>
        <v>2</v>
      </c>
      <c r="I42" s="73">
        <f t="shared" ref="I42:BT42" si="8">SUM(I4:I41)</f>
        <v>16</v>
      </c>
      <c r="J42" s="73">
        <f t="shared" si="8"/>
        <v>1</v>
      </c>
      <c r="K42" s="73">
        <f t="shared" si="8"/>
        <v>1</v>
      </c>
      <c r="L42" s="73">
        <f t="shared" si="8"/>
        <v>0</v>
      </c>
      <c r="M42" s="73">
        <f t="shared" si="8"/>
        <v>0</v>
      </c>
      <c r="N42" s="73">
        <f t="shared" si="8"/>
        <v>0</v>
      </c>
      <c r="O42" s="73">
        <f t="shared" si="8"/>
        <v>0</v>
      </c>
      <c r="P42" s="73">
        <f t="shared" si="8"/>
        <v>0</v>
      </c>
      <c r="Q42" s="73">
        <f t="shared" si="8"/>
        <v>0</v>
      </c>
      <c r="R42" s="73">
        <f t="shared" si="8"/>
        <v>0</v>
      </c>
      <c r="S42" s="73">
        <f t="shared" si="8"/>
        <v>0</v>
      </c>
      <c r="T42" s="73">
        <f t="shared" si="8"/>
        <v>0</v>
      </c>
      <c r="U42" s="73">
        <f t="shared" si="8"/>
        <v>0</v>
      </c>
      <c r="V42" s="73">
        <f t="shared" si="8"/>
        <v>0</v>
      </c>
      <c r="W42" s="73">
        <f t="shared" si="8"/>
        <v>0</v>
      </c>
      <c r="X42" s="73">
        <f t="shared" si="8"/>
        <v>0</v>
      </c>
      <c r="Y42" s="73">
        <f t="shared" si="8"/>
        <v>0</v>
      </c>
      <c r="Z42" s="73">
        <f t="shared" si="8"/>
        <v>0</v>
      </c>
      <c r="AA42" s="73">
        <f t="shared" si="8"/>
        <v>0</v>
      </c>
      <c r="AB42" s="73">
        <f t="shared" si="8"/>
        <v>0</v>
      </c>
      <c r="AC42" s="73">
        <f t="shared" si="8"/>
        <v>0</v>
      </c>
      <c r="AD42" s="73">
        <f t="shared" si="8"/>
        <v>0</v>
      </c>
      <c r="AE42" s="73">
        <f t="shared" si="8"/>
        <v>0</v>
      </c>
      <c r="AF42" s="73">
        <f t="shared" si="8"/>
        <v>0</v>
      </c>
      <c r="AG42" s="73">
        <f t="shared" si="8"/>
        <v>0</v>
      </c>
      <c r="AH42" s="73">
        <f t="shared" si="8"/>
        <v>0</v>
      </c>
      <c r="AI42" s="73">
        <f t="shared" si="8"/>
        <v>0</v>
      </c>
      <c r="AJ42" s="73">
        <f t="shared" si="8"/>
        <v>0</v>
      </c>
      <c r="AK42" s="73">
        <f t="shared" si="8"/>
        <v>0</v>
      </c>
      <c r="AL42" s="73">
        <f t="shared" si="8"/>
        <v>0</v>
      </c>
      <c r="AM42" s="73">
        <f t="shared" si="8"/>
        <v>0</v>
      </c>
      <c r="AN42" s="73">
        <f t="shared" si="8"/>
        <v>0</v>
      </c>
      <c r="AO42" s="73">
        <f t="shared" si="8"/>
        <v>0</v>
      </c>
      <c r="AP42" s="73">
        <f t="shared" si="8"/>
        <v>0</v>
      </c>
      <c r="AQ42" s="73">
        <f t="shared" si="8"/>
        <v>0</v>
      </c>
      <c r="AR42" s="73">
        <f t="shared" si="8"/>
        <v>0</v>
      </c>
      <c r="AS42" s="73">
        <f t="shared" si="8"/>
        <v>0</v>
      </c>
      <c r="AT42" s="73">
        <f t="shared" si="8"/>
        <v>0</v>
      </c>
      <c r="AU42" s="73">
        <f t="shared" si="8"/>
        <v>0</v>
      </c>
      <c r="AV42" s="73">
        <f t="shared" si="8"/>
        <v>0</v>
      </c>
      <c r="AW42" s="73">
        <f t="shared" si="8"/>
        <v>0</v>
      </c>
      <c r="AX42" s="73">
        <f t="shared" si="8"/>
        <v>0</v>
      </c>
      <c r="AY42" s="73">
        <f t="shared" si="8"/>
        <v>0</v>
      </c>
      <c r="AZ42" s="73">
        <f t="shared" si="8"/>
        <v>0</v>
      </c>
      <c r="BA42" s="73">
        <f t="shared" si="8"/>
        <v>0</v>
      </c>
      <c r="BB42" s="73">
        <f t="shared" si="8"/>
        <v>0</v>
      </c>
      <c r="BC42" s="73">
        <f t="shared" si="8"/>
        <v>0</v>
      </c>
      <c r="BD42" s="73">
        <f t="shared" si="8"/>
        <v>0</v>
      </c>
      <c r="BE42" s="73">
        <f t="shared" si="8"/>
        <v>0</v>
      </c>
      <c r="BF42" s="73">
        <f t="shared" si="8"/>
        <v>0</v>
      </c>
      <c r="BG42" s="73">
        <f t="shared" si="8"/>
        <v>0</v>
      </c>
      <c r="BH42" s="73">
        <f t="shared" si="8"/>
        <v>0</v>
      </c>
      <c r="BI42" s="73">
        <f t="shared" si="8"/>
        <v>0</v>
      </c>
      <c r="BJ42" s="73">
        <f t="shared" si="8"/>
        <v>0</v>
      </c>
      <c r="BK42" s="73">
        <f t="shared" si="8"/>
        <v>0</v>
      </c>
      <c r="BL42" s="73">
        <f t="shared" si="8"/>
        <v>0</v>
      </c>
      <c r="BM42" s="73">
        <f t="shared" si="8"/>
        <v>0</v>
      </c>
      <c r="BN42" s="73">
        <f t="shared" si="8"/>
        <v>0</v>
      </c>
      <c r="BO42" s="73">
        <f t="shared" si="8"/>
        <v>0</v>
      </c>
      <c r="BP42" s="73">
        <f t="shared" si="8"/>
        <v>0</v>
      </c>
      <c r="BQ42" s="73">
        <f t="shared" si="8"/>
        <v>0</v>
      </c>
      <c r="BR42" s="73">
        <f t="shared" si="8"/>
        <v>0</v>
      </c>
      <c r="BS42" s="73">
        <f t="shared" si="8"/>
        <v>0</v>
      </c>
      <c r="BT42" s="73">
        <f t="shared" si="8"/>
        <v>0</v>
      </c>
      <c r="BU42" s="73">
        <f t="shared" ref="BU42:DO42" si="9">SUM(BU4:BU41)</f>
        <v>0</v>
      </c>
      <c r="BV42" s="73">
        <f t="shared" si="9"/>
        <v>0</v>
      </c>
      <c r="BW42" s="73">
        <f t="shared" si="9"/>
        <v>0</v>
      </c>
      <c r="BX42" s="73">
        <f t="shared" si="9"/>
        <v>0</v>
      </c>
      <c r="BY42" s="73">
        <f t="shared" si="9"/>
        <v>0</v>
      </c>
      <c r="BZ42" s="73">
        <f t="shared" si="9"/>
        <v>0</v>
      </c>
      <c r="CA42" s="73">
        <f t="shared" si="9"/>
        <v>0</v>
      </c>
      <c r="CB42" s="73">
        <f t="shared" si="9"/>
        <v>0</v>
      </c>
      <c r="CC42" s="73">
        <f t="shared" si="9"/>
        <v>0</v>
      </c>
      <c r="CD42" s="73">
        <f t="shared" si="9"/>
        <v>0</v>
      </c>
      <c r="CE42" s="73">
        <f t="shared" si="9"/>
        <v>0</v>
      </c>
      <c r="CF42" s="73">
        <f t="shared" si="9"/>
        <v>0</v>
      </c>
      <c r="CG42" s="73">
        <f t="shared" si="9"/>
        <v>0</v>
      </c>
      <c r="CH42" s="73">
        <f t="shared" si="9"/>
        <v>0</v>
      </c>
      <c r="CI42" s="73">
        <f t="shared" si="9"/>
        <v>0</v>
      </c>
      <c r="CJ42" s="73">
        <f t="shared" si="9"/>
        <v>0</v>
      </c>
      <c r="CK42" s="73">
        <f t="shared" si="9"/>
        <v>0</v>
      </c>
      <c r="CL42" s="73">
        <f t="shared" si="9"/>
        <v>0</v>
      </c>
      <c r="CM42" s="73">
        <f t="shared" si="9"/>
        <v>0</v>
      </c>
      <c r="CN42" s="73">
        <f t="shared" si="9"/>
        <v>0</v>
      </c>
      <c r="CO42" s="73">
        <f t="shared" si="9"/>
        <v>0</v>
      </c>
      <c r="CP42" s="73">
        <f t="shared" si="9"/>
        <v>0</v>
      </c>
      <c r="CQ42" s="73">
        <f t="shared" si="9"/>
        <v>0</v>
      </c>
      <c r="CR42" s="73">
        <f t="shared" si="9"/>
        <v>0</v>
      </c>
      <c r="CS42" s="73">
        <f t="shared" si="9"/>
        <v>0</v>
      </c>
      <c r="CT42" s="73">
        <f t="shared" si="9"/>
        <v>0</v>
      </c>
      <c r="CU42" s="73">
        <f t="shared" si="9"/>
        <v>0</v>
      </c>
      <c r="CV42" s="73">
        <f t="shared" si="9"/>
        <v>0</v>
      </c>
      <c r="CW42" s="73">
        <f t="shared" si="9"/>
        <v>0</v>
      </c>
      <c r="CX42" s="73">
        <f t="shared" si="9"/>
        <v>0</v>
      </c>
      <c r="CY42" s="73">
        <f t="shared" si="9"/>
        <v>0</v>
      </c>
      <c r="CZ42" s="73">
        <f t="shared" si="9"/>
        <v>0</v>
      </c>
      <c r="DA42" s="73">
        <f t="shared" si="9"/>
        <v>0</v>
      </c>
      <c r="DB42" s="73">
        <f t="shared" si="9"/>
        <v>0</v>
      </c>
      <c r="DC42" s="73">
        <f t="shared" si="9"/>
        <v>0</v>
      </c>
      <c r="DD42" s="73">
        <f t="shared" si="9"/>
        <v>0</v>
      </c>
      <c r="DE42" s="73">
        <f t="shared" si="9"/>
        <v>0</v>
      </c>
      <c r="DF42" s="73">
        <f t="shared" si="9"/>
        <v>0</v>
      </c>
      <c r="DG42" s="73">
        <f t="shared" si="9"/>
        <v>0</v>
      </c>
      <c r="DH42" s="73">
        <f t="shared" si="9"/>
        <v>0</v>
      </c>
      <c r="DI42" s="73">
        <f t="shared" si="9"/>
        <v>0</v>
      </c>
      <c r="DJ42" s="73">
        <f t="shared" si="9"/>
        <v>0</v>
      </c>
      <c r="DK42" s="73">
        <f t="shared" si="9"/>
        <v>0</v>
      </c>
      <c r="DL42" s="73">
        <f t="shared" si="9"/>
        <v>0</v>
      </c>
      <c r="DM42" s="73">
        <f t="shared" si="9"/>
        <v>0</v>
      </c>
      <c r="DN42" s="73">
        <f t="shared" si="9"/>
        <v>0</v>
      </c>
      <c r="DO42" s="73">
        <f t="shared" si="9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41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2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2"/>
  <sheetViews>
    <sheetView zoomScale="85" zoomScaleNormal="85" workbookViewId="0">
      <selection activeCell="F2" sqref="F2: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0" t="s">
        <v>397</v>
      </c>
      <c r="D1" s="230" t="s">
        <v>398</v>
      </c>
      <c r="E1" s="230" t="s">
        <v>399</v>
      </c>
      <c r="F1" s="221" t="s">
        <v>303</v>
      </c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3"/>
      <c r="AD1" s="236" t="s">
        <v>282</v>
      </c>
      <c r="AE1" s="237"/>
      <c r="AF1" s="237"/>
      <c r="AG1" s="237"/>
      <c r="AH1" s="237"/>
      <c r="AI1" s="238"/>
      <c r="AJ1" s="221" t="s">
        <v>283</v>
      </c>
      <c r="AK1" s="222"/>
      <c r="AL1" s="222"/>
      <c r="AM1" s="222"/>
      <c r="AN1" s="222"/>
      <c r="AO1" s="223"/>
      <c r="AP1" s="224" t="s">
        <v>284</v>
      </c>
      <c r="AQ1" s="225"/>
      <c r="AR1" s="225"/>
      <c r="AS1" s="225"/>
      <c r="AT1" s="225"/>
      <c r="AU1" s="226"/>
      <c r="AV1" s="227" t="s">
        <v>86</v>
      </c>
      <c r="AW1" s="228"/>
      <c r="AX1" s="229"/>
    </row>
    <row r="2" spans="1:50" x14ac:dyDescent="0.25">
      <c r="A2" s="3"/>
      <c r="B2" s="5"/>
      <c r="C2" s="231"/>
      <c r="D2" s="231"/>
      <c r="E2" s="231"/>
      <c r="F2" s="233"/>
      <c r="G2" s="234"/>
      <c r="H2" s="235"/>
      <c r="I2" s="233"/>
      <c r="J2" s="234"/>
      <c r="K2" s="235"/>
      <c r="L2" s="233"/>
      <c r="M2" s="234"/>
      <c r="N2" s="235"/>
      <c r="O2" s="233"/>
      <c r="P2" s="234"/>
      <c r="Q2" s="235"/>
      <c r="R2" s="233"/>
      <c r="S2" s="234"/>
      <c r="T2" s="235"/>
      <c r="U2" s="233"/>
      <c r="V2" s="234"/>
      <c r="W2" s="235"/>
      <c r="X2" s="233"/>
      <c r="Y2" s="234"/>
      <c r="Z2" s="235"/>
      <c r="AA2" s="233"/>
      <c r="AB2" s="234"/>
      <c r="AC2" s="234"/>
      <c r="AD2" s="233"/>
      <c r="AE2" s="234"/>
      <c r="AF2" s="235"/>
      <c r="AG2" s="233"/>
      <c r="AH2" s="234"/>
      <c r="AI2" s="235"/>
      <c r="AJ2" s="233"/>
      <c r="AK2" s="234"/>
      <c r="AL2" s="235"/>
      <c r="AM2" s="233"/>
      <c r="AN2" s="234"/>
      <c r="AO2" s="235"/>
      <c r="AP2" s="233"/>
      <c r="AQ2" s="234"/>
      <c r="AR2" s="235"/>
      <c r="AS2" s="233"/>
      <c r="AT2" s="234"/>
      <c r="AU2" s="235"/>
      <c r="AV2" s="233"/>
      <c r="AW2" s="234"/>
      <c r="AX2" s="235"/>
    </row>
    <row r="3" spans="1:50" x14ac:dyDescent="0.25">
      <c r="A3" s="3" t="s">
        <v>48</v>
      </c>
      <c r="B3" s="5" t="s">
        <v>1</v>
      </c>
      <c r="C3" s="232"/>
      <c r="D3" s="232"/>
      <c r="E3" s="232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7" si="1">SUM(F5,I5,L5,O5,R5,X5,AA5,AD5,U5,AG5,AJ5,AM5,AP5,AS5,AV5)</f>
        <v>0</v>
      </c>
      <c r="D5" s="58">
        <f t="shared" ref="D5:D17" si="2">SUM(G5,J5,M5,P5,S5,Y5,AB5,AE5,V5,AH5,AK5,AN5,AQ5,AT5,AW5)</f>
        <v>0</v>
      </c>
      <c r="E5" s="58">
        <f t="shared" ref="E5:E17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15</v>
      </c>
      <c r="B18" s="149" t="s">
        <v>438</v>
      </c>
      <c r="C18" s="58">
        <f t="shared" ref="C18:C41" si="4">SUM(F18,I18,L18,O18,R18,X18,AA18,AD18,U18,AG18,AJ18,AM18,AP18,AS18,AV18)</f>
        <v>0</v>
      </c>
      <c r="D18" s="58">
        <f t="shared" ref="D18:D41" si="5">SUM(G18,J18,M18,P18,S18,Y18,AB18,AE18,V18,AH18,AK18,AN18,AQ18,AT18,AW18)</f>
        <v>0</v>
      </c>
      <c r="E18" s="58">
        <f t="shared" ref="E18:E41" si="6">SUM(H18,K18,N18,Q18,T18,Z18,AC18,AF18,W18,AI18,AL18,AO18,AR18,AU18,AX18)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17</v>
      </c>
      <c r="B19" s="148" t="s">
        <v>344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20</v>
      </c>
      <c r="B20" s="148" t="s">
        <v>316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7">
        <v>23</v>
      </c>
      <c r="B23" s="37" t="s">
        <v>294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29</v>
      </c>
      <c r="B25" s="148" t="s">
        <v>276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33</v>
      </c>
      <c r="B27" s="148" t="s">
        <v>292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36</v>
      </c>
      <c r="B29" s="148" t="s">
        <v>314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41</v>
      </c>
      <c r="B31" s="35" t="s">
        <v>278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298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x14ac:dyDescent="0.25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49"/>
      <c r="G41" s="166"/>
      <c r="H41" s="50"/>
      <c r="I41" s="49"/>
      <c r="J41" s="166"/>
      <c r="K41" s="50"/>
      <c r="L41" s="49"/>
      <c r="M41" s="166"/>
      <c r="N41" s="50"/>
      <c r="O41" s="49"/>
      <c r="P41" s="166"/>
      <c r="Q41" s="50"/>
      <c r="R41" s="49"/>
      <c r="S41" s="166"/>
      <c r="T41" s="50"/>
      <c r="U41" s="49"/>
      <c r="V41" s="166"/>
      <c r="W41" s="50"/>
      <c r="X41" s="49"/>
      <c r="Y41" s="166"/>
      <c r="Z41" s="50"/>
      <c r="AA41" s="49"/>
      <c r="AB41" s="166"/>
      <c r="AC41" s="169"/>
      <c r="AD41" s="49"/>
      <c r="AE41" s="166"/>
      <c r="AF41" s="50"/>
      <c r="AG41" s="49"/>
      <c r="AH41" s="166"/>
      <c r="AI41" s="50"/>
      <c r="AJ41" s="49"/>
      <c r="AK41" s="166"/>
      <c r="AL41" s="50"/>
      <c r="AM41" s="49"/>
      <c r="AN41" s="166"/>
      <c r="AO41" s="50"/>
      <c r="AP41" s="49"/>
      <c r="AQ41" s="166"/>
      <c r="AR41" s="50"/>
      <c r="AS41" s="49"/>
      <c r="AT41" s="166"/>
      <c r="AU41" s="50"/>
      <c r="AV41" s="49"/>
      <c r="AW41" s="166"/>
      <c r="AX41" s="75"/>
    </row>
    <row r="42" spans="1:50" ht="15.75" thickBot="1" x14ac:dyDescent="0.3">
      <c r="F42" s="172">
        <f>SUM(F4:F41)</f>
        <v>0</v>
      </c>
      <c r="G42" s="173">
        <f t="shared" ref="G42:AX42" si="7">SUM(G4:G41)</f>
        <v>0</v>
      </c>
      <c r="H42" s="174">
        <f t="shared" si="7"/>
        <v>0</v>
      </c>
      <c r="I42" s="172">
        <f t="shared" si="7"/>
        <v>0</v>
      </c>
      <c r="J42" s="173">
        <f t="shared" si="7"/>
        <v>0</v>
      </c>
      <c r="K42" s="174">
        <f t="shared" si="7"/>
        <v>0</v>
      </c>
      <c r="L42" s="172">
        <f t="shared" si="7"/>
        <v>0</v>
      </c>
      <c r="M42" s="173">
        <f t="shared" si="7"/>
        <v>0</v>
      </c>
      <c r="N42" s="174">
        <f t="shared" si="7"/>
        <v>0</v>
      </c>
      <c r="O42" s="172">
        <f t="shared" si="7"/>
        <v>0</v>
      </c>
      <c r="P42" s="173">
        <f t="shared" si="7"/>
        <v>0</v>
      </c>
      <c r="Q42" s="174">
        <f t="shared" si="7"/>
        <v>0</v>
      </c>
      <c r="R42" s="172">
        <f t="shared" si="7"/>
        <v>0</v>
      </c>
      <c r="S42" s="173">
        <f t="shared" si="7"/>
        <v>0</v>
      </c>
      <c r="T42" s="174">
        <f t="shared" si="7"/>
        <v>0</v>
      </c>
      <c r="U42" s="172">
        <f t="shared" si="7"/>
        <v>0</v>
      </c>
      <c r="V42" s="173">
        <f t="shared" si="7"/>
        <v>0</v>
      </c>
      <c r="W42" s="174">
        <f t="shared" si="7"/>
        <v>0</v>
      </c>
      <c r="X42" s="172">
        <f t="shared" si="7"/>
        <v>0</v>
      </c>
      <c r="Y42" s="173">
        <f t="shared" si="7"/>
        <v>0</v>
      </c>
      <c r="Z42" s="174">
        <f t="shared" si="7"/>
        <v>0</v>
      </c>
      <c r="AA42" s="172">
        <f t="shared" si="7"/>
        <v>0</v>
      </c>
      <c r="AB42" s="173">
        <f t="shared" si="7"/>
        <v>0</v>
      </c>
      <c r="AC42" s="175">
        <f t="shared" si="7"/>
        <v>0</v>
      </c>
      <c r="AD42" s="172">
        <f t="shared" si="7"/>
        <v>0</v>
      </c>
      <c r="AE42" s="173">
        <f t="shared" si="7"/>
        <v>0</v>
      </c>
      <c r="AF42" s="174">
        <f t="shared" si="7"/>
        <v>0</v>
      </c>
      <c r="AG42" s="172">
        <f t="shared" si="7"/>
        <v>0</v>
      </c>
      <c r="AH42" s="173">
        <f t="shared" si="7"/>
        <v>0</v>
      </c>
      <c r="AI42" s="174">
        <f t="shared" si="7"/>
        <v>0</v>
      </c>
      <c r="AJ42" s="172">
        <f t="shared" si="7"/>
        <v>0</v>
      </c>
      <c r="AK42" s="173">
        <f t="shared" si="7"/>
        <v>0</v>
      </c>
      <c r="AL42" s="174">
        <f t="shared" si="7"/>
        <v>0</v>
      </c>
      <c r="AM42" s="172">
        <f t="shared" si="7"/>
        <v>0</v>
      </c>
      <c r="AN42" s="173">
        <f t="shared" si="7"/>
        <v>0</v>
      </c>
      <c r="AO42" s="174">
        <f t="shared" si="7"/>
        <v>0</v>
      </c>
      <c r="AP42" s="172">
        <f t="shared" si="7"/>
        <v>0</v>
      </c>
      <c r="AQ42" s="173">
        <f t="shared" si="7"/>
        <v>0</v>
      </c>
      <c r="AR42" s="174">
        <f t="shared" si="7"/>
        <v>0</v>
      </c>
      <c r="AS42" s="172">
        <f t="shared" si="7"/>
        <v>0</v>
      </c>
      <c r="AT42" s="173">
        <f t="shared" si="7"/>
        <v>0</v>
      </c>
      <c r="AU42" s="174">
        <f t="shared" si="7"/>
        <v>0</v>
      </c>
      <c r="AV42" s="172">
        <f t="shared" si="7"/>
        <v>0</v>
      </c>
      <c r="AW42" s="173">
        <f t="shared" si="7"/>
        <v>0</v>
      </c>
      <c r="AX42" s="174">
        <f t="shared" si="7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41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2"/>
  <sheetViews>
    <sheetView zoomScale="85" zoomScaleNormal="85" zoomScalePageLayoutView="130" workbookViewId="0">
      <selection activeCell="E5" sqref="E5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0" t="s">
        <v>397</v>
      </c>
      <c r="D1" s="230" t="s">
        <v>398</v>
      </c>
      <c r="E1" s="230" t="s">
        <v>399</v>
      </c>
      <c r="F1" s="270" t="s">
        <v>87</v>
      </c>
      <c r="G1" s="271"/>
      <c r="H1" s="272"/>
      <c r="I1" s="273" t="s">
        <v>88</v>
      </c>
      <c r="J1" s="274"/>
      <c r="K1" s="275"/>
      <c r="L1" s="240" t="s">
        <v>89</v>
      </c>
      <c r="M1" s="241"/>
      <c r="N1" s="242"/>
      <c r="O1" s="243" t="s">
        <v>199</v>
      </c>
      <c r="P1" s="244"/>
      <c r="Q1" s="245"/>
      <c r="R1" s="246" t="s">
        <v>200</v>
      </c>
      <c r="S1" s="247"/>
      <c r="T1" s="248"/>
      <c r="U1" s="249" t="s">
        <v>307</v>
      </c>
      <c r="V1" s="250"/>
      <c r="W1" s="251"/>
    </row>
    <row r="2" spans="1:23" x14ac:dyDescent="0.25">
      <c r="A2" s="3"/>
      <c r="B2" s="5"/>
      <c r="C2" s="231"/>
      <c r="D2" s="231"/>
      <c r="E2" s="231"/>
      <c r="F2" s="252"/>
      <c r="G2" s="253"/>
      <c r="H2" s="254"/>
      <c r="I2" s="267"/>
      <c r="J2" s="268"/>
      <c r="K2" s="269"/>
      <c r="L2" s="264"/>
      <c r="M2" s="265"/>
      <c r="N2" s="266"/>
      <c r="O2" s="261"/>
      <c r="P2" s="262"/>
      <c r="Q2" s="263"/>
      <c r="R2" s="258"/>
      <c r="S2" s="259"/>
      <c r="T2" s="260"/>
      <c r="U2" s="255"/>
      <c r="V2" s="256"/>
      <c r="W2" s="257"/>
    </row>
    <row r="3" spans="1:23" ht="15.75" thickBot="1" x14ac:dyDescent="0.3">
      <c r="A3" s="3" t="s">
        <v>48</v>
      </c>
      <c r="B3" s="17" t="s">
        <v>1</v>
      </c>
      <c r="C3" s="239"/>
      <c r="D3" s="239"/>
      <c r="E3" s="239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ref="C6:C40" si="2">SUM(F6,I6,L6,O6,R6,U6)</f>
        <v>0</v>
      </c>
      <c r="D6" s="58">
        <f t="shared" ref="D6:D40" si="3">SUM(G6,J6,M6,P6,S6,V6)</f>
        <v>0</v>
      </c>
      <c r="E6" s="58">
        <f t="shared" ref="E6:E40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438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8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8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8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A41" s="28">
        <v>92</v>
      </c>
      <c r="B41" s="37" t="s">
        <v>302</v>
      </c>
      <c r="C41" s="164">
        <f t="shared" ref="C41" si="5">SUM(F41,I41,L41,O41,R41,U41)</f>
        <v>0</v>
      </c>
      <c r="D41" s="192">
        <f t="shared" ref="D41:E41" si="6">SUM(G41,J41,M41,P41,S41,V41)</f>
        <v>0</v>
      </c>
      <c r="E41" s="192">
        <f t="shared" si="6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U42" si="7">SUM(F4:F41)</f>
        <v>0</v>
      </c>
      <c r="G42" s="173">
        <f t="shared" si="7"/>
        <v>0</v>
      </c>
      <c r="H42" s="174">
        <f>SUM(H4:H41)</f>
        <v>0</v>
      </c>
      <c r="I42" s="172">
        <f t="shared" si="7"/>
        <v>0</v>
      </c>
      <c r="J42" s="173">
        <f t="shared" si="7"/>
        <v>0</v>
      </c>
      <c r="K42" s="174">
        <f>SUM(K4:K41)</f>
        <v>0</v>
      </c>
      <c r="L42" s="172">
        <f t="shared" si="7"/>
        <v>0</v>
      </c>
      <c r="M42" s="173">
        <f t="shared" si="7"/>
        <v>0</v>
      </c>
      <c r="N42" s="174">
        <f>SUM(N4:N41)</f>
        <v>0</v>
      </c>
      <c r="O42" s="172">
        <f t="shared" si="7"/>
        <v>0</v>
      </c>
      <c r="P42" s="173">
        <f t="shared" si="7"/>
        <v>0</v>
      </c>
      <c r="Q42" s="174">
        <f>SUM(Q4:Q41)</f>
        <v>0</v>
      </c>
      <c r="R42" s="172">
        <f t="shared" si="7"/>
        <v>0</v>
      </c>
      <c r="S42" s="173">
        <f t="shared" si="7"/>
        <v>0</v>
      </c>
      <c r="T42" s="174">
        <f>SUM(T4:T41)</f>
        <v>0</v>
      </c>
      <c r="U42" s="172">
        <f t="shared" si="7"/>
        <v>0</v>
      </c>
      <c r="V42" s="173">
        <f t="shared" ref="V42" si="8">SUM(V4:V41)</f>
        <v>0</v>
      </c>
      <c r="W42" s="174">
        <f>SUM(W4:W41)</f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41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2"/>
  <sheetViews>
    <sheetView zoomScale="83" zoomScaleNormal="85" workbookViewId="0">
      <selection activeCell="F3" sqref="F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0" t="s">
        <v>397</v>
      </c>
      <c r="D1" s="230" t="s">
        <v>398</v>
      </c>
      <c r="E1" s="230" t="s">
        <v>399</v>
      </c>
      <c r="F1" s="270" t="s">
        <v>87</v>
      </c>
      <c r="G1" s="271"/>
      <c r="H1" s="272"/>
      <c r="I1" s="273" t="s">
        <v>88</v>
      </c>
      <c r="J1" s="274"/>
      <c r="K1" s="275"/>
      <c r="L1" s="240" t="s">
        <v>89</v>
      </c>
      <c r="M1" s="241"/>
      <c r="N1" s="242"/>
      <c r="O1" s="243" t="s">
        <v>199</v>
      </c>
      <c r="P1" s="244"/>
      <c r="Q1" s="245"/>
      <c r="R1" s="246" t="s">
        <v>200</v>
      </c>
      <c r="S1" s="247"/>
      <c r="T1" s="248"/>
      <c r="U1" s="249" t="s">
        <v>307</v>
      </c>
      <c r="V1" s="250"/>
      <c r="W1" s="251"/>
    </row>
    <row r="2" spans="1:23" x14ac:dyDescent="0.25">
      <c r="A2" s="3"/>
      <c r="B2" s="17"/>
      <c r="C2" s="231"/>
      <c r="D2" s="231"/>
      <c r="E2" s="231"/>
      <c r="F2" s="252" t="s">
        <v>439</v>
      </c>
      <c r="G2" s="253"/>
      <c r="H2" s="254"/>
      <c r="I2" s="267"/>
      <c r="J2" s="268"/>
      <c r="K2" s="269"/>
      <c r="L2" s="264"/>
      <c r="M2" s="265"/>
      <c r="N2" s="266"/>
      <c r="O2" s="261"/>
      <c r="P2" s="262"/>
      <c r="Q2" s="263"/>
      <c r="R2" s="258"/>
      <c r="S2" s="259"/>
      <c r="T2" s="260"/>
      <c r="U2" s="255"/>
      <c r="V2" s="256"/>
      <c r="W2" s="257"/>
    </row>
    <row r="3" spans="1:23" ht="15.75" thickBot="1" x14ac:dyDescent="0.3">
      <c r="A3" s="3" t="s">
        <v>48</v>
      </c>
      <c r="B3" s="17" t="s">
        <v>1</v>
      </c>
      <c r="C3" s="239"/>
      <c r="D3" s="239"/>
      <c r="E3" s="239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7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1"/>
        <v>0</v>
      </c>
      <c r="D17" s="51">
        <f t="shared" si="1"/>
        <v>0</v>
      </c>
      <c r="E17" s="58">
        <f t="shared" si="1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438</v>
      </c>
      <c r="C18" s="58">
        <f t="shared" ref="C18:C41" si="2">SUM(F18,I18,L18,O18,R18,U18)</f>
        <v>0</v>
      </c>
      <c r="D18" s="51">
        <f t="shared" ref="D18:D41" si="3">SUM(G18,J18,M18,P18,S18,V18)</f>
        <v>0</v>
      </c>
      <c r="E18" s="58">
        <f t="shared" ref="E18:E41" si="4">SUM(H18,K18,N18,Q18,T18,W18)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1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1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1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x14ac:dyDescent="0.25">
      <c r="A41" s="28">
        <v>92</v>
      </c>
      <c r="B41" s="37" t="s">
        <v>302</v>
      </c>
      <c r="C41" s="58">
        <f t="shared" si="2"/>
        <v>0</v>
      </c>
      <c r="D41" s="51">
        <f t="shared" si="3"/>
        <v>0</v>
      </c>
      <c r="E41" s="58">
        <f t="shared" si="4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V42" si="5">SUM(F4:F41)</f>
        <v>0</v>
      </c>
      <c r="G42" s="173">
        <f t="shared" si="5"/>
        <v>0</v>
      </c>
      <c r="H42" s="174">
        <f>SUM(H4:H41)</f>
        <v>0</v>
      </c>
      <c r="I42" s="172">
        <f t="shared" si="5"/>
        <v>0</v>
      </c>
      <c r="J42" s="173">
        <f t="shared" si="5"/>
        <v>0</v>
      </c>
      <c r="K42" s="174">
        <f>SUM(K4:K41)</f>
        <v>0</v>
      </c>
      <c r="L42" s="172">
        <f t="shared" si="5"/>
        <v>0</v>
      </c>
      <c r="M42" s="173">
        <f t="shared" si="5"/>
        <v>0</v>
      </c>
      <c r="N42" s="174">
        <f>SUM(N4:N41)</f>
        <v>0</v>
      </c>
      <c r="O42" s="172">
        <f t="shared" si="5"/>
        <v>0</v>
      </c>
      <c r="P42" s="173">
        <f t="shared" si="5"/>
        <v>0</v>
      </c>
      <c r="Q42" s="174">
        <f>SUM(Q4:Q41)</f>
        <v>0</v>
      </c>
      <c r="R42" s="172">
        <f t="shared" si="5"/>
        <v>0</v>
      </c>
      <c r="S42" s="173">
        <f t="shared" si="5"/>
        <v>0</v>
      </c>
      <c r="T42" s="174">
        <f>SUM(T4:T41)</f>
        <v>0</v>
      </c>
      <c r="U42" s="172">
        <f t="shared" si="5"/>
        <v>0</v>
      </c>
      <c r="V42" s="173">
        <f t="shared" si="5"/>
        <v>0</v>
      </c>
      <c r="W42" s="174">
        <f>SUM(W4:W41)</f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41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0"/>
  <sheetViews>
    <sheetView zoomScale="85" zoomScaleNormal="85" workbookViewId="0">
      <selection activeCell="Q15" sqref="Q15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6" t="s">
        <v>341</v>
      </c>
      <c r="D1" s="277"/>
      <c r="E1" s="277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15</v>
      </c>
      <c r="B17" s="149" t="s">
        <v>438</v>
      </c>
      <c r="C17" s="20"/>
      <c r="D17" s="20"/>
      <c r="E17" s="20"/>
    </row>
    <row r="18" spans="1:5" x14ac:dyDescent="0.25">
      <c r="A18" s="27">
        <v>17</v>
      </c>
      <c r="B18" s="148" t="s">
        <v>344</v>
      </c>
      <c r="C18" s="20">
        <v>1</v>
      </c>
      <c r="D18" s="20"/>
      <c r="E18" s="20">
        <v>2</v>
      </c>
    </row>
    <row r="19" spans="1:5" x14ac:dyDescent="0.25">
      <c r="A19" s="27">
        <v>20</v>
      </c>
      <c r="B19" s="148" t="s">
        <v>316</v>
      </c>
      <c r="C19" s="20">
        <v>1</v>
      </c>
      <c r="D19" s="20"/>
      <c r="E19" s="20"/>
    </row>
    <row r="20" spans="1:5" x14ac:dyDescent="0.25">
      <c r="A20" s="27">
        <v>21</v>
      </c>
      <c r="B20" s="148" t="s">
        <v>259</v>
      </c>
      <c r="C20" s="20"/>
      <c r="D20" s="20"/>
      <c r="E20" s="20"/>
    </row>
    <row r="21" spans="1:5" x14ac:dyDescent="0.25">
      <c r="A21" s="28">
        <v>22</v>
      </c>
      <c r="B21" s="158" t="s">
        <v>264</v>
      </c>
      <c r="C21" s="20"/>
      <c r="D21" s="20"/>
      <c r="E21" s="20"/>
    </row>
    <row r="22" spans="1:5" x14ac:dyDescent="0.25">
      <c r="A22" s="27">
        <v>23</v>
      </c>
      <c r="B22" s="148" t="s">
        <v>294</v>
      </c>
      <c r="C22" s="20"/>
      <c r="D22" s="20"/>
      <c r="E22" s="20"/>
    </row>
    <row r="23" spans="1:5" x14ac:dyDescent="0.25">
      <c r="A23" s="28">
        <v>24</v>
      </c>
      <c r="B23" s="148" t="s">
        <v>115</v>
      </c>
      <c r="C23" s="20"/>
      <c r="D23" s="20"/>
      <c r="E23" s="20"/>
    </row>
    <row r="24" spans="1:5" x14ac:dyDescent="0.25">
      <c r="A24" s="28">
        <v>29</v>
      </c>
      <c r="B24" s="148" t="s">
        <v>276</v>
      </c>
      <c r="C24" s="20">
        <v>1</v>
      </c>
      <c r="D24" s="20">
        <v>1</v>
      </c>
      <c r="E24" s="20"/>
    </row>
    <row r="25" spans="1:5" x14ac:dyDescent="0.25">
      <c r="A25" s="28">
        <v>30</v>
      </c>
      <c r="B25" s="148" t="s">
        <v>345</v>
      </c>
      <c r="C25" s="20"/>
      <c r="D25" s="20"/>
      <c r="E25" s="20"/>
    </row>
    <row r="26" spans="1:5" x14ac:dyDescent="0.25">
      <c r="A26" s="28">
        <v>33</v>
      </c>
      <c r="B26" s="148" t="s">
        <v>292</v>
      </c>
      <c r="C26" s="20">
        <v>1</v>
      </c>
      <c r="D26" s="20">
        <v>1</v>
      </c>
      <c r="E26" s="20"/>
    </row>
    <row r="27" spans="1:5" x14ac:dyDescent="0.25">
      <c r="A27" s="28">
        <v>35</v>
      </c>
      <c r="B27" s="148" t="s">
        <v>304</v>
      </c>
      <c r="C27" s="20"/>
      <c r="D27" s="20"/>
      <c r="E27" s="20"/>
    </row>
    <row r="28" spans="1:5" x14ac:dyDescent="0.25">
      <c r="A28" s="28">
        <v>36</v>
      </c>
      <c r="B28" s="148" t="s">
        <v>314</v>
      </c>
      <c r="C28" s="20">
        <v>1</v>
      </c>
      <c r="D28" s="20"/>
      <c r="E28" s="20"/>
    </row>
    <row r="29" spans="1:5" x14ac:dyDescent="0.25">
      <c r="A29" s="28">
        <v>39</v>
      </c>
      <c r="B29" s="148" t="s">
        <v>346</v>
      </c>
      <c r="C29" s="20">
        <v>1</v>
      </c>
      <c r="D29" s="20"/>
      <c r="E29" s="20"/>
    </row>
    <row r="30" spans="1:5" x14ac:dyDescent="0.25">
      <c r="A30" s="27">
        <v>41</v>
      </c>
      <c r="B30" s="149" t="s">
        <v>278</v>
      </c>
      <c r="C30" s="20">
        <v>1</v>
      </c>
      <c r="D30" s="20"/>
      <c r="E30" s="20"/>
    </row>
    <row r="31" spans="1:5" x14ac:dyDescent="0.25">
      <c r="A31" s="27">
        <v>46</v>
      </c>
      <c r="B31" s="159" t="s">
        <v>299</v>
      </c>
      <c r="C31" s="20"/>
      <c r="D31" s="20"/>
      <c r="E31" s="20"/>
    </row>
    <row r="32" spans="1:5" x14ac:dyDescent="0.25">
      <c r="A32" s="27">
        <v>49</v>
      </c>
      <c r="B32" s="149" t="s">
        <v>298</v>
      </c>
      <c r="C32" s="20">
        <v>1</v>
      </c>
      <c r="D32" s="20"/>
      <c r="E32" s="20">
        <v>1</v>
      </c>
    </row>
    <row r="33" spans="1:5" x14ac:dyDescent="0.25">
      <c r="A33" s="27">
        <v>52</v>
      </c>
      <c r="B33" s="149" t="s">
        <v>342</v>
      </c>
      <c r="C33" s="20"/>
      <c r="D33" s="20"/>
      <c r="E33" s="20"/>
    </row>
    <row r="34" spans="1:5" x14ac:dyDescent="0.25">
      <c r="A34" s="28">
        <v>53</v>
      </c>
      <c r="B34" s="148" t="s">
        <v>293</v>
      </c>
      <c r="C34" s="20"/>
      <c r="D34" s="20"/>
      <c r="E34" s="20"/>
    </row>
    <row r="35" spans="1:5" x14ac:dyDescent="0.25">
      <c r="A35" s="27">
        <v>56</v>
      </c>
      <c r="B35" s="149" t="s">
        <v>323</v>
      </c>
      <c r="C35" s="20"/>
      <c r="D35" s="20"/>
      <c r="E35" s="20"/>
    </row>
    <row r="36" spans="1:5" x14ac:dyDescent="0.25">
      <c r="A36" s="28">
        <v>71</v>
      </c>
      <c r="B36" s="148" t="s">
        <v>328</v>
      </c>
      <c r="C36" s="20"/>
      <c r="D36" s="20"/>
      <c r="E36" s="20"/>
    </row>
    <row r="37" spans="1:5" x14ac:dyDescent="0.25">
      <c r="A37" s="28">
        <v>72</v>
      </c>
      <c r="B37" s="148" t="s">
        <v>339</v>
      </c>
      <c r="C37" s="20"/>
      <c r="D37" s="20"/>
      <c r="E37" s="20"/>
    </row>
    <row r="38" spans="1:5" x14ac:dyDescent="0.25">
      <c r="A38" s="28">
        <v>81</v>
      </c>
      <c r="B38" s="148" t="s">
        <v>340</v>
      </c>
      <c r="C38" s="20"/>
      <c r="D38" s="20"/>
      <c r="E38" s="20"/>
    </row>
    <row r="39" spans="1:5" x14ac:dyDescent="0.25">
      <c r="A39" s="28">
        <v>89</v>
      </c>
      <c r="B39" s="148" t="s">
        <v>334</v>
      </c>
      <c r="C39" s="20"/>
      <c r="D39" s="20"/>
      <c r="E39" s="20"/>
    </row>
    <row r="40" spans="1:5" x14ac:dyDescent="0.25">
      <c r="A40" s="28">
        <v>92</v>
      </c>
      <c r="B40" s="148" t="s">
        <v>302</v>
      </c>
      <c r="C40" s="20"/>
      <c r="D40" s="20"/>
      <c r="E40" s="20"/>
    </row>
  </sheetData>
  <mergeCells count="1">
    <mergeCell ref="C1:E1"/>
  </mergeCells>
  <conditionalFormatting sqref="C3:E40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4" t="s">
        <v>202</v>
      </c>
      <c r="D1" s="285"/>
      <c r="E1" s="285"/>
      <c r="F1" s="285"/>
      <c r="G1" s="285"/>
      <c r="H1" s="285"/>
      <c r="I1" s="286"/>
      <c r="J1" s="114" t="s">
        <v>195</v>
      </c>
      <c r="K1" s="115" t="s">
        <v>194</v>
      </c>
      <c r="L1" s="278" t="s">
        <v>288</v>
      </c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3"/>
      <c r="AH1" s="278" t="s">
        <v>175</v>
      </c>
      <c r="AI1" s="279"/>
      <c r="AJ1" s="279"/>
      <c r="AK1" s="280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8" t="s">
        <v>175</v>
      </c>
      <c r="L80" s="309"/>
      <c r="M80" s="310"/>
      <c r="O80" s="133"/>
      <c r="P80" s="133"/>
      <c r="W80" s="281"/>
      <c r="X80" s="281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1"/>
      <c r="L81" s="312"/>
      <c r="M81" s="313"/>
      <c r="O81" s="133"/>
      <c r="P81" s="133"/>
      <c r="W81" s="281" t="s">
        <v>209</v>
      </c>
      <c r="X81" s="281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1"/>
      <c r="L82" s="312"/>
      <c r="M82" s="313"/>
      <c r="O82" s="133"/>
      <c r="P82" s="133"/>
      <c r="W82" s="281" t="s">
        <v>210</v>
      </c>
      <c r="X82" s="281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14"/>
      <c r="L83" s="315"/>
      <c r="M83" s="316"/>
      <c r="O83" s="133"/>
      <c r="P83" s="133"/>
      <c r="W83" s="281" t="s">
        <v>211</v>
      </c>
      <c r="X83" s="281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9" t="s">
        <v>285</v>
      </c>
      <c r="L84" s="300"/>
      <c r="M84" s="301"/>
      <c r="O84" s="141"/>
      <c r="P84" s="141"/>
      <c r="W84" s="281" t="s">
        <v>97</v>
      </c>
      <c r="X84" s="281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2"/>
      <c r="L85" s="303"/>
      <c r="M85" s="304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2"/>
      <c r="L86" s="303"/>
      <c r="M86" s="304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2"/>
      <c r="L87" s="303"/>
      <c r="M87" s="304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2"/>
      <c r="L88" s="303"/>
      <c r="M88" s="304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2"/>
      <c r="L89" s="303"/>
      <c r="M89" s="304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2"/>
      <c r="L90" s="303"/>
      <c r="M90" s="304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2"/>
      <c r="L91" s="303"/>
      <c r="M91" s="304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2"/>
      <c r="L92" s="303"/>
      <c r="M92" s="304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2"/>
      <c r="L93" s="303"/>
      <c r="M93" s="304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2"/>
      <c r="L94" s="303"/>
      <c r="M94" s="304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2"/>
      <c r="L95" s="303"/>
      <c r="M95" s="304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2"/>
      <c r="L96" s="303"/>
      <c r="M96" s="304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2"/>
      <c r="L97" s="303"/>
      <c r="M97" s="304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2"/>
      <c r="L98" s="303"/>
      <c r="M98" s="304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2"/>
      <c r="L99" s="303"/>
      <c r="M99" s="304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2"/>
      <c r="L100" s="303"/>
      <c r="M100" s="304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2"/>
      <c r="L101" s="303"/>
      <c r="M101" s="304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2"/>
      <c r="L102" s="303"/>
      <c r="M102" s="304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2"/>
      <c r="L103" s="303"/>
      <c r="M103" s="304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2"/>
      <c r="L104" s="303"/>
      <c r="M104" s="304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5"/>
      <c r="L105" s="306"/>
      <c r="M105" s="307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6" t="s">
        <v>287</v>
      </c>
      <c r="L106" s="297"/>
      <c r="M106" s="298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6" t="s">
        <v>289</v>
      </c>
      <c r="L107" s="297"/>
      <c r="M107" s="298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7" t="s">
        <v>290</v>
      </c>
      <c r="L108" s="288"/>
      <c r="M108" s="289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90"/>
      <c r="L109" s="291"/>
      <c r="M109" s="292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90"/>
      <c r="L110" s="291"/>
      <c r="M110" s="292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90"/>
      <c r="L111" s="291"/>
      <c r="M111" s="292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90"/>
      <c r="L112" s="291"/>
      <c r="M112" s="292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93"/>
      <c r="L113" s="294"/>
      <c r="M113" s="295"/>
    </row>
  </sheetData>
  <autoFilter ref="A79:J112" xr:uid="{9C81160F-C24B-449F-8F5A-CB622AB71070}"/>
  <mergeCells count="13">
    <mergeCell ref="W84:X84"/>
    <mergeCell ref="C1:I1"/>
    <mergeCell ref="K108:M113"/>
    <mergeCell ref="K106:M106"/>
    <mergeCell ref="K107:M107"/>
    <mergeCell ref="K84:M105"/>
    <mergeCell ref="K80:M83"/>
    <mergeCell ref="AH1:AK1"/>
    <mergeCell ref="W80:X80"/>
    <mergeCell ref="W81:X81"/>
    <mergeCell ref="W82:X82"/>
    <mergeCell ref="W83:X83"/>
    <mergeCell ref="L1:AG1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196" t="s">
        <v>407</v>
      </c>
      <c r="B1" s="196"/>
      <c r="C1" s="196"/>
      <c r="D1" s="196"/>
      <c r="E1" s="196"/>
      <c r="F1" s="196" t="s">
        <v>408</v>
      </c>
      <c r="G1" s="196"/>
      <c r="H1" s="196"/>
      <c r="I1" s="196"/>
      <c r="J1" s="196"/>
    </row>
    <row r="2" spans="1:21" x14ac:dyDescent="0.25">
      <c r="A2" s="196"/>
      <c r="B2" s="196"/>
      <c r="C2" s="196"/>
      <c r="D2" s="196"/>
      <c r="E2" s="196"/>
      <c r="F2" s="196"/>
      <c r="G2" s="196"/>
      <c r="H2" s="196"/>
      <c r="I2" s="196"/>
      <c r="J2" s="196"/>
      <c r="L2" t="s">
        <v>411</v>
      </c>
      <c r="M2" t="s">
        <v>412</v>
      </c>
      <c r="N2" t="s">
        <v>413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414</v>
      </c>
    </row>
    <row r="3" spans="1:21" x14ac:dyDescent="0.25">
      <c r="A3" t="s">
        <v>400</v>
      </c>
      <c r="B3" t="s">
        <v>401</v>
      </c>
      <c r="C3" t="s">
        <v>402</v>
      </c>
      <c r="D3" t="s">
        <v>403</v>
      </c>
      <c r="E3" t="s">
        <v>404</v>
      </c>
      <c r="F3" t="s">
        <v>400</v>
      </c>
      <c r="G3" t="s">
        <v>409</v>
      </c>
      <c r="H3" t="s">
        <v>402</v>
      </c>
      <c r="I3" t="s">
        <v>403</v>
      </c>
      <c r="J3" t="s">
        <v>404</v>
      </c>
      <c r="L3">
        <v>1</v>
      </c>
      <c r="M3" t="s">
        <v>410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442</v>
      </c>
      <c r="B4" s="194">
        <v>0.72916666666666663</v>
      </c>
      <c r="C4" t="s">
        <v>4</v>
      </c>
      <c r="D4" t="s">
        <v>420</v>
      </c>
      <c r="E4" t="s">
        <v>405</v>
      </c>
      <c r="F4" t="s">
        <v>436</v>
      </c>
      <c r="G4" s="194" t="s">
        <v>441</v>
      </c>
      <c r="H4" t="s">
        <v>4</v>
      </c>
      <c r="I4" t="s">
        <v>416</v>
      </c>
      <c r="J4" t="s">
        <v>437</v>
      </c>
      <c r="L4">
        <v>2</v>
      </c>
      <c r="M4" t="s">
        <v>415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424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420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418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429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422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426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419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428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431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425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434</v>
      </c>
      <c r="U14" s="195">
        <v>3</v>
      </c>
    </row>
    <row r="15" spans="1:21" x14ac:dyDescent="0.25">
      <c r="L15">
        <v>13</v>
      </c>
      <c r="M15" t="s">
        <v>427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417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433</v>
      </c>
      <c r="U16" s="195">
        <v>1</v>
      </c>
    </row>
    <row r="17" spans="12:21" x14ac:dyDescent="0.25">
      <c r="L17">
        <v>15</v>
      </c>
      <c r="M17" t="s">
        <v>430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433</v>
      </c>
      <c r="U17" s="195">
        <v>1</v>
      </c>
    </row>
    <row r="18" spans="12:21" x14ac:dyDescent="0.25">
      <c r="L18">
        <v>16</v>
      </c>
      <c r="M18" t="s">
        <v>423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434</v>
      </c>
      <c r="U18" s="195">
        <v>0</v>
      </c>
    </row>
    <row r="19" spans="12:21" x14ac:dyDescent="0.25">
      <c r="L19">
        <v>17</v>
      </c>
      <c r="M19" t="s">
        <v>406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435</v>
      </c>
      <c r="U19" s="195">
        <v>0</v>
      </c>
    </row>
    <row r="20" spans="12:21" x14ac:dyDescent="0.25">
      <c r="L20">
        <v>18</v>
      </c>
      <c r="M20" t="s">
        <v>421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440</v>
      </c>
      <c r="U20" s="195">
        <v>0</v>
      </c>
    </row>
    <row r="21" spans="12:21" x14ac:dyDescent="0.25">
      <c r="L21">
        <v>19</v>
      </c>
      <c r="M21" t="s">
        <v>416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440</v>
      </c>
      <c r="U21" s="195">
        <v>0</v>
      </c>
    </row>
    <row r="22" spans="12:21" x14ac:dyDescent="0.25">
      <c r="L22">
        <v>20</v>
      </c>
      <c r="M22" t="s">
        <v>432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440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1" t="s">
        <v>46</v>
      </c>
      <c r="B1" s="317"/>
      <c r="C1" s="318" t="s">
        <v>44</v>
      </c>
      <c r="D1" s="204"/>
      <c r="E1" s="319"/>
      <c r="H1" s="201" t="s">
        <v>47</v>
      </c>
      <c r="I1" s="317"/>
      <c r="J1" s="318" t="s">
        <v>44</v>
      </c>
      <c r="K1" s="204"/>
      <c r="L1" s="31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2026-09-01T08:44:19Z</dcterms:modified>
</cp:coreProperties>
</file>