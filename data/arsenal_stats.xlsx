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387" documentId="13_ncr:1_{662DAA9A-C5C7-8346-85AE-B86E329139C8}" xr6:coauthVersionLast="47" xr6:coauthVersionMax="47" xr10:uidLastSave="{A4E88830-3FD1-4E8E-9A42-072633E2BCEE}"/>
  <bookViews>
    <workbookView xWindow="-120" yWindow="-120" windowWidth="29040" windowHeight="15720" tabRatio="799" firstSheet="1" activeTab="23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Goals'!$A$3:$U$37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Q19" i="30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Q25" i="30"/>
  <c r="O26" i="30"/>
  <c r="BC28" i="10" s="1"/>
  <c r="BF28" i="10" s="1"/>
  <c r="Q26" i="1" s="1"/>
  <c r="P26" i="30"/>
  <c r="Q26" i="30"/>
  <c r="O28" i="30"/>
  <c r="BC30" i="10" s="1"/>
  <c r="BF30" i="10" s="1"/>
  <c r="Q28" i="1" s="1"/>
  <c r="P28" i="30"/>
  <c r="BD30" i="10" s="1"/>
  <c r="BG30" i="10" s="1"/>
  <c r="R28" i="1" s="1"/>
  <c r="Q28" i="30"/>
  <c r="BE30" i="10" s="1"/>
  <c r="BH30" i="10" s="1"/>
  <c r="S28" i="1" s="1"/>
  <c r="O31" i="30"/>
  <c r="BC33" i="10" s="1"/>
  <c r="BF33" i="10" s="1"/>
  <c r="Q31" i="1" s="1"/>
  <c r="P31" i="30"/>
  <c r="BD33" i="10" s="1"/>
  <c r="BG33" i="10" s="1"/>
  <c r="R31" i="1" s="1"/>
  <c r="Q31" i="30"/>
  <c r="BE33" i="10" s="1"/>
  <c r="BH33" i="10" s="1"/>
  <c r="S31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27" i="30"/>
  <c r="BC29" i="10" s="1"/>
  <c r="BF29" i="10" s="1"/>
  <c r="Q27" i="1" s="1"/>
  <c r="P27" i="30"/>
  <c r="BD29" i="10" s="1"/>
  <c r="BG29" i="10" s="1"/>
  <c r="R27" i="1" s="1"/>
  <c r="Q27" i="30"/>
  <c r="O33" i="30"/>
  <c r="BC35" i="10" s="1"/>
  <c r="BF35" i="10" s="1"/>
  <c r="Q33" i="1" s="1"/>
  <c r="P33" i="30"/>
  <c r="BD35" i="10" s="1"/>
  <c r="BG35" i="10" s="1"/>
  <c r="R33" i="1" s="1"/>
  <c r="Q33" i="30"/>
  <c r="O35" i="30"/>
  <c r="BC37" i="10" s="1"/>
  <c r="BF37" i="10" s="1"/>
  <c r="Q35" i="1" s="1"/>
  <c r="P35" i="30"/>
  <c r="BD37" i="10" s="1"/>
  <c r="BG37" i="10" s="1"/>
  <c r="R35" i="1" s="1"/>
  <c r="Q35" i="30"/>
  <c r="BE37" i="10" s="1"/>
  <c r="BH37" i="10" s="1"/>
  <c r="S35" i="1" s="1"/>
  <c r="O29" i="30"/>
  <c r="P29" i="30"/>
  <c r="BD31" i="10" s="1"/>
  <c r="BG31" i="10" s="1"/>
  <c r="R29" i="1" s="1"/>
  <c r="Q29" i="30"/>
  <c r="O30" i="30"/>
  <c r="P30" i="30"/>
  <c r="BD32" i="10" s="1"/>
  <c r="BG32" i="10" s="1"/>
  <c r="R30" i="1" s="1"/>
  <c r="Q30" i="30"/>
  <c r="BE32" i="10" s="1"/>
  <c r="BH32" i="10" s="1"/>
  <c r="S30" i="1" s="1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4" i="30"/>
  <c r="P34" i="30"/>
  <c r="BD36" i="10" s="1"/>
  <c r="BG36" i="10" s="1"/>
  <c r="R34" i="1" s="1"/>
  <c r="Q34" i="30"/>
  <c r="BE36" i="10" s="1"/>
  <c r="BH36" i="10" s="1"/>
  <c r="S34" i="1" s="1"/>
  <c r="C16" i="7"/>
  <c r="L16" i="30" s="1"/>
  <c r="AQ18" i="10" s="1"/>
  <c r="AT18" i="10" s="1"/>
  <c r="N16" i="1" s="1"/>
  <c r="D16" i="7"/>
  <c r="M16" i="30" s="1"/>
  <c r="AR18" i="10" s="1"/>
  <c r="AU18" i="10" s="1"/>
  <c r="O16" i="1" s="1"/>
  <c r="E16" i="7"/>
  <c r="N16" i="30" s="1"/>
  <c r="AS18" i="10" s="1"/>
  <c r="AV18" i="10" s="1"/>
  <c r="P16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27" i="7"/>
  <c r="L27" i="30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4" i="7"/>
  <c r="L34" i="30" s="1"/>
  <c r="AQ36" i="10" s="1"/>
  <c r="AT36" i="10" s="1"/>
  <c r="N34" i="1" s="1"/>
  <c r="D34" i="7"/>
  <c r="M34" i="30" s="1"/>
  <c r="E34" i="7"/>
  <c r="N34" i="30" s="1"/>
  <c r="AS36" i="10" s="1"/>
  <c r="AV36" i="10" s="1"/>
  <c r="P34" i="1" s="1"/>
  <c r="E4" i="7"/>
  <c r="N4" i="30" s="1"/>
  <c r="AS6" i="10" s="1"/>
  <c r="AV6" i="10" s="1"/>
  <c r="P4" i="1" s="1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D5" i="7"/>
  <c r="M5" i="30" s="1"/>
  <c r="AR7" i="10" s="1"/>
  <c r="AU7" i="10" s="1"/>
  <c r="O5" i="1" s="1"/>
  <c r="D4" i="7"/>
  <c r="E34" i="8"/>
  <c r="K34" i="30" s="1"/>
  <c r="AG36" i="10" s="1"/>
  <c r="AJ36" i="10" s="1"/>
  <c r="M34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J10" i="30" s="1"/>
  <c r="AF12" i="10" s="1"/>
  <c r="AI12" i="10" s="1"/>
  <c r="L10" i="1" s="1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C14" i="8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27" i="8"/>
  <c r="I27" i="30" s="1"/>
  <c r="AE29" i="10" s="1"/>
  <c r="AH29" i="10" s="1"/>
  <c r="K27" i="1" s="1"/>
  <c r="D27" i="8"/>
  <c r="J27" i="30" s="1"/>
  <c r="E27" i="8"/>
  <c r="K27" i="30" s="1"/>
  <c r="AG29" i="10" s="1"/>
  <c r="AJ29" i="10" s="1"/>
  <c r="M27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16" i="5"/>
  <c r="C16" i="30" s="1"/>
  <c r="D16" i="5"/>
  <c r="D16" i="30" s="1"/>
  <c r="H18" i="10" s="1"/>
  <c r="K18" i="10" s="1"/>
  <c r="F16" i="1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D18" i="5"/>
  <c r="D18" i="30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C21" i="5"/>
  <c r="C21" i="30" s="1"/>
  <c r="G23" i="10" s="1"/>
  <c r="J23" i="10" s="1"/>
  <c r="E21" i="1" s="1"/>
  <c r="D21" i="5"/>
  <c r="D21" i="30" s="1"/>
  <c r="E21" i="5"/>
  <c r="E21" i="30" s="1"/>
  <c r="I23" i="10" s="1"/>
  <c r="L23" i="10" s="1"/>
  <c r="G21" i="1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H26" i="10" s="1"/>
  <c r="K26" i="10" s="1"/>
  <c r="F24" i="1" s="1"/>
  <c r="E24" i="5"/>
  <c r="E24" i="30" s="1"/>
  <c r="I26" i="10" s="1"/>
  <c r="L26" i="10" s="1"/>
  <c r="G24" i="1" s="1"/>
  <c r="C25" i="5"/>
  <c r="C25" i="30" s="1"/>
  <c r="G27" i="10" s="1"/>
  <c r="J27" i="10" s="1"/>
  <c r="E25" i="1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8" i="5"/>
  <c r="C28" i="30" s="1"/>
  <c r="D28" i="5"/>
  <c r="D28" i="30" s="1"/>
  <c r="H30" i="10" s="1"/>
  <c r="K30" i="10" s="1"/>
  <c r="F28" i="1" s="1"/>
  <c r="E28" i="5"/>
  <c r="E28" i="30" s="1"/>
  <c r="C31" i="5"/>
  <c r="C31" i="30" s="1"/>
  <c r="G33" i="10" s="1"/>
  <c r="J33" i="10" s="1"/>
  <c r="E31" i="1" s="1"/>
  <c r="D31" i="5"/>
  <c r="D31" i="30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33" i="5"/>
  <c r="C33" i="30" s="1"/>
  <c r="D33" i="5"/>
  <c r="D33" i="30" s="1"/>
  <c r="E33" i="5"/>
  <c r="E33" i="30" s="1"/>
  <c r="I35" i="10" s="1"/>
  <c r="L35" i="10" s="1"/>
  <c r="G33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I37" i="10" s="1"/>
  <c r="L37" i="10" s="1"/>
  <c r="G35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6" i="5"/>
  <c r="C36" i="30" s="1"/>
  <c r="D36" i="5"/>
  <c r="D36" i="30" s="1"/>
  <c r="E36" i="5"/>
  <c r="E36" i="30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P4" i="30"/>
  <c r="BD6" i="10" s="1"/>
  <c r="Q4" i="30"/>
  <c r="BE6" i="10" s="1"/>
  <c r="BH6" i="10" s="1"/>
  <c r="S4" i="1" s="1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8" i="8"/>
  <c r="T38" i="8"/>
  <c r="Q38" i="8"/>
  <c r="N38" i="8"/>
  <c r="K38" i="8"/>
  <c r="H38" i="8"/>
  <c r="G38" i="8"/>
  <c r="I38" i="8"/>
  <c r="J38" i="8"/>
  <c r="L38" i="8"/>
  <c r="M38" i="8"/>
  <c r="O38" i="8"/>
  <c r="P38" i="8"/>
  <c r="R38" i="8"/>
  <c r="S38" i="8"/>
  <c r="U38" i="8"/>
  <c r="V38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D4" i="9"/>
  <c r="G4" i="30" s="1"/>
  <c r="T6" i="10" s="1"/>
  <c r="E4" i="9"/>
  <c r="H4" i="30" s="1"/>
  <c r="U6" i="10" s="1"/>
  <c r="X6" i="10" s="1"/>
  <c r="J4" i="1" s="1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D4" i="5"/>
  <c r="D4" i="30" s="1"/>
  <c r="E4" i="5"/>
  <c r="E4" i="30" s="1"/>
  <c r="C4" i="5"/>
  <c r="DO38" i="5"/>
  <c r="DN38" i="5"/>
  <c r="DM38" i="5"/>
  <c r="DL38" i="5"/>
  <c r="DK38" i="5"/>
  <c r="DJ38" i="5"/>
  <c r="DI38" i="5"/>
  <c r="DH38" i="5"/>
  <c r="DG38" i="5"/>
  <c r="DF38" i="5"/>
  <c r="DE38" i="5"/>
  <c r="DD38" i="5"/>
  <c r="DC38" i="5"/>
  <c r="DB38" i="5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O4" i="30"/>
  <c r="BC6" i="10" s="1"/>
  <c r="E3" i="4"/>
  <c r="F38" i="8"/>
  <c r="C4" i="9"/>
  <c r="F4" i="30" s="1"/>
  <c r="S6" i="10" s="1"/>
  <c r="F38" i="9"/>
  <c r="G38" i="5"/>
  <c r="F38" i="5"/>
  <c r="I6" i="30"/>
  <c r="AE8" i="10" s="1"/>
  <c r="AH8" i="10" s="1"/>
  <c r="K6" i="1" s="1"/>
  <c r="I14" i="30"/>
  <c r="AE16" i="10" s="1"/>
  <c r="AH16" i="10" s="1"/>
  <c r="K14" i="1" s="1"/>
  <c r="J15" i="30"/>
  <c r="AF17" i="10" s="1"/>
  <c r="AI17" i="10" s="1"/>
  <c r="L15" i="1" s="1"/>
  <c r="J114" i="21" l="1"/>
  <c r="D114" i="21"/>
  <c r="T36" i="30"/>
  <c r="S36" i="30"/>
  <c r="R33" i="30"/>
  <c r="R16" i="30"/>
  <c r="S20" i="30"/>
  <c r="V32" i="1"/>
  <c r="R27" i="30"/>
  <c r="S18" i="30"/>
  <c r="S37" i="30"/>
  <c r="S21" i="30"/>
  <c r="U30" i="1"/>
  <c r="T20" i="30"/>
  <c r="S33" i="30"/>
  <c r="T35" i="30"/>
  <c r="R35" i="30"/>
  <c r="R34" i="30"/>
  <c r="T33" i="30"/>
  <c r="R36" i="30"/>
  <c r="S31" i="30"/>
  <c r="I30" i="10"/>
  <c r="L30" i="10" s="1"/>
  <c r="G28" i="1" s="1"/>
  <c r="V28" i="1" s="1"/>
  <c r="T28" i="30"/>
  <c r="H24" i="10"/>
  <c r="K24" i="10" s="1"/>
  <c r="F22" i="1" s="1"/>
  <c r="U22" i="1" s="1"/>
  <c r="S22" i="30"/>
  <c r="R18" i="30"/>
  <c r="G20" i="10"/>
  <c r="J20" i="10" s="1"/>
  <c r="E18" i="1" s="1"/>
  <c r="T18" i="1" s="1"/>
  <c r="R24" i="30"/>
  <c r="G26" i="10"/>
  <c r="J26" i="10" s="1"/>
  <c r="E24" i="1" s="1"/>
  <c r="T24" i="1" s="1"/>
  <c r="I36" i="10"/>
  <c r="L36" i="10" s="1"/>
  <c r="G34" i="1" s="1"/>
  <c r="V34" i="1" s="1"/>
  <c r="T34" i="30"/>
  <c r="S34" i="30"/>
  <c r="S17" i="30"/>
  <c r="H33" i="10"/>
  <c r="K33" i="10" s="1"/>
  <c r="F31" i="1" s="1"/>
  <c r="U31" i="1" s="1"/>
  <c r="S27" i="30"/>
  <c r="R30" i="30"/>
  <c r="I38" i="10"/>
  <c r="L38" i="10" s="1"/>
  <c r="G36" i="1" s="1"/>
  <c r="V36" i="1" s="1"/>
  <c r="T35" i="1"/>
  <c r="V35" i="1"/>
  <c r="U35" i="1"/>
  <c r="T22" i="1"/>
  <c r="V18" i="1"/>
  <c r="V24" i="1"/>
  <c r="V21" i="1"/>
  <c r="V37" i="1"/>
  <c r="T37" i="30"/>
  <c r="R29" i="30"/>
  <c r="T26" i="30"/>
  <c r="R22" i="30"/>
  <c r="S16" i="30"/>
  <c r="H38" i="10"/>
  <c r="K38" i="10" s="1"/>
  <c r="F36" i="1" s="1"/>
  <c r="U36" i="1" s="1"/>
  <c r="H35" i="10"/>
  <c r="K35" i="10" s="1"/>
  <c r="F33" i="1" s="1"/>
  <c r="U33" i="1" s="1"/>
  <c r="H23" i="10"/>
  <c r="K23" i="10" s="1"/>
  <c r="F21" i="1" s="1"/>
  <c r="U21" i="1" s="1"/>
  <c r="BC31" i="10"/>
  <c r="BF31" i="10" s="1"/>
  <c r="Q29" i="1" s="1"/>
  <c r="T29" i="1" s="1"/>
  <c r="BE28" i="10"/>
  <c r="BH28" i="10" s="1"/>
  <c r="S26" i="1" s="1"/>
  <c r="V26" i="1" s="1"/>
  <c r="T32" i="30"/>
  <c r="S26" i="30"/>
  <c r="T22" i="30"/>
  <c r="T16" i="30"/>
  <c r="G38" i="10"/>
  <c r="J38" i="10" s="1"/>
  <c r="E36" i="1" s="1"/>
  <c r="T36" i="1" s="1"/>
  <c r="G35" i="10"/>
  <c r="J35" i="10" s="1"/>
  <c r="E33" i="1" s="1"/>
  <c r="T33" i="1" s="1"/>
  <c r="BD28" i="10"/>
  <c r="BG28" i="10" s="1"/>
  <c r="R26" i="1" s="1"/>
  <c r="U26" i="1" s="1"/>
  <c r="S35" i="30"/>
  <c r="S32" i="30"/>
  <c r="AQ29" i="10"/>
  <c r="AT29" i="10" s="1"/>
  <c r="N27" i="1" s="1"/>
  <c r="T27" i="1" s="1"/>
  <c r="T25" i="30"/>
  <c r="T19" i="30"/>
  <c r="H20" i="10"/>
  <c r="K20" i="10" s="1"/>
  <c r="F18" i="1" s="1"/>
  <c r="U18" i="1" s="1"/>
  <c r="AR36" i="10"/>
  <c r="AU36" i="10" s="1"/>
  <c r="O34" i="1" s="1"/>
  <c r="U34" i="1" s="1"/>
  <c r="R37" i="30"/>
  <c r="S25" i="30"/>
  <c r="T21" i="30"/>
  <c r="S19" i="30"/>
  <c r="BE27" i="10"/>
  <c r="BH27" i="10" s="1"/>
  <c r="S25" i="1" s="1"/>
  <c r="V25" i="1" s="1"/>
  <c r="BE24" i="10"/>
  <c r="BH24" i="10" s="1"/>
  <c r="S22" i="1" s="1"/>
  <c r="V22" i="1" s="1"/>
  <c r="T31" i="30"/>
  <c r="T24" i="30"/>
  <c r="T18" i="30"/>
  <c r="BD27" i="10"/>
  <c r="BG27" i="10" s="1"/>
  <c r="R25" i="1" s="1"/>
  <c r="U25" i="1" s="1"/>
  <c r="S24" i="30"/>
  <c r="I22" i="10"/>
  <c r="L22" i="10" s="1"/>
  <c r="G20" i="1" s="1"/>
  <c r="V20" i="1" s="1"/>
  <c r="BE21" i="10"/>
  <c r="BH21" i="10" s="1"/>
  <c r="S19" i="1" s="1"/>
  <c r="V19" i="1" s="1"/>
  <c r="H22" i="10"/>
  <c r="K22" i="10" s="1"/>
  <c r="F20" i="1" s="1"/>
  <c r="U20" i="1" s="1"/>
  <c r="AF29" i="10"/>
  <c r="AI29" i="10" s="1"/>
  <c r="L27" i="1" s="1"/>
  <c r="U27" i="1" s="1"/>
  <c r="BD21" i="10"/>
  <c r="BG21" i="10" s="1"/>
  <c r="R19" i="1" s="1"/>
  <c r="U19" i="1" s="1"/>
  <c r="AF19" i="10"/>
  <c r="AI19" i="10" s="1"/>
  <c r="L17" i="1" s="1"/>
  <c r="U17" i="1" s="1"/>
  <c r="BE35" i="10"/>
  <c r="BH35" i="10" s="1"/>
  <c r="S33" i="1" s="1"/>
  <c r="V33" i="1" s="1"/>
  <c r="BC32" i="10"/>
  <c r="BF32" i="10" s="1"/>
  <c r="Q30" i="1" s="1"/>
  <c r="T30" i="1" s="1"/>
  <c r="S30" i="30"/>
  <c r="S28" i="30"/>
  <c r="T29" i="30"/>
  <c r="T27" i="30"/>
  <c r="BC36" i="10"/>
  <c r="BF36" i="10" s="1"/>
  <c r="Q34" i="1" s="1"/>
  <c r="T34" i="1" s="1"/>
  <c r="BE31" i="10"/>
  <c r="BH31" i="10" s="1"/>
  <c r="S29" i="1" s="1"/>
  <c r="V29" i="1" s="1"/>
  <c r="BE29" i="10"/>
  <c r="BH29" i="10" s="1"/>
  <c r="S27" i="1" s="1"/>
  <c r="V27" i="1" s="1"/>
  <c r="T31" i="1"/>
  <c r="T26" i="1"/>
  <c r="T21" i="1"/>
  <c r="U24" i="1"/>
  <c r="V16" i="1"/>
  <c r="U16" i="1"/>
  <c r="U37" i="1"/>
  <c r="V31" i="1"/>
  <c r="U28" i="1"/>
  <c r="V17" i="1"/>
  <c r="T25" i="1"/>
  <c r="T37" i="1"/>
  <c r="U29" i="1"/>
  <c r="T32" i="1"/>
  <c r="V23" i="1"/>
  <c r="V30" i="1"/>
  <c r="U32" i="1"/>
  <c r="T19" i="1"/>
  <c r="R26" i="30"/>
  <c r="R25" i="30"/>
  <c r="G22" i="10"/>
  <c r="J22" i="10" s="1"/>
  <c r="E20" i="1" s="1"/>
  <c r="T20" i="1" s="1"/>
  <c r="R20" i="30"/>
  <c r="G18" i="10"/>
  <c r="J18" i="10" s="1"/>
  <c r="E16" i="1" s="1"/>
  <c r="T16" i="1" s="1"/>
  <c r="T23" i="30"/>
  <c r="H25" i="10"/>
  <c r="K25" i="10" s="1"/>
  <c r="F23" i="1" s="1"/>
  <c r="U23" i="1" s="1"/>
  <c r="S23" i="30"/>
  <c r="R17" i="30"/>
  <c r="T17" i="1"/>
  <c r="R28" i="30"/>
  <c r="G30" i="10"/>
  <c r="J30" i="10" s="1"/>
  <c r="E28" i="1" s="1"/>
  <c r="T28" i="1" s="1"/>
  <c r="R23" i="30"/>
  <c r="G25" i="10"/>
  <c r="J25" i="10" s="1"/>
  <c r="E23" i="1" s="1"/>
  <c r="T23" i="1" s="1"/>
  <c r="T30" i="30"/>
  <c r="R32" i="30"/>
  <c r="R21" i="30"/>
  <c r="R19" i="30"/>
  <c r="T17" i="30"/>
  <c r="R31" i="30"/>
  <c r="S29" i="30"/>
  <c r="S16" i="10"/>
  <c r="V16" i="10" s="1"/>
  <c r="H14" i="1" s="1"/>
  <c r="T14" i="1" s="1"/>
  <c r="R14" i="30"/>
  <c r="U9" i="1"/>
  <c r="V14" i="1"/>
  <c r="T9" i="1"/>
  <c r="S14" i="30"/>
  <c r="T15" i="1"/>
  <c r="T8" i="30"/>
  <c r="U12" i="1"/>
  <c r="U13" i="1"/>
  <c r="T5" i="1"/>
  <c r="T12" i="1"/>
  <c r="T4" i="30"/>
  <c r="T14" i="30"/>
  <c r="T13" i="1"/>
  <c r="U15" i="1"/>
  <c r="V6" i="1"/>
  <c r="T9" i="30"/>
  <c r="U7" i="1"/>
  <c r="U11" i="1"/>
  <c r="T13" i="30"/>
  <c r="T7" i="1"/>
  <c r="U6" i="1"/>
  <c r="V8" i="1"/>
  <c r="U10" i="1"/>
  <c r="U5" i="1"/>
  <c r="T6" i="1"/>
  <c r="T11" i="1"/>
  <c r="T10" i="1"/>
  <c r="I17" i="10"/>
  <c r="L17" i="10" s="1"/>
  <c r="G15" i="1" s="1"/>
  <c r="V15" i="1" s="1"/>
  <c r="T15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6" i="10"/>
  <c r="K16" i="10" s="1"/>
  <c r="F14" i="1" s="1"/>
  <c r="U14" i="1" s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<sst xmlns="http://schemas.openxmlformats.org/spreadsheetml/2006/main" count="2264" uniqueCount="490">
  <si>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</si>
  <si>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</si>
  <si>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</si>
  <si>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</si>
  <si>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</si>
  <si>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</si>
  <si>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</si>
  <si>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</si>
  <si>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</si>
  <si>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</si>
  <si>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</si>
  <si>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</si>
  <si>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</si>
  <si>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</si>
  <si>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</si>
  <si>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</si>
  <si>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</si>
  <si>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</si>
  <si>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</si>
  <si>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</si>
  <si>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</si>
  <si>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</si>
  <si>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</si>
  <si>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</si>
  <si>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</si>
  <si>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</si>
  <si>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</si>
  <si>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</si>
  <si>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</si>
  <si>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</si>
  <si>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</si>
  <si>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</si>
  <si>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</si>
  <si>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</si>
  <si>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</si>
  <si>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</si>
  <si>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</si>
  <si>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</si>
  <si>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</si>
  <si>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</si>
  <si>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</si>
  <si>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</si>
  <si>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</si>
  <si>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</si>
  <si>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</si>
  <si>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</si>
  <si>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</si>
  <si>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</si>
  <si>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</si>
  <si>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</si>
  <si>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</si>
  <si>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</si>
  <si>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</si>
  <si>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</si>
  <si>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</si>
  <si>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</si>
  <si>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</si>
  <si>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</si>
  <si>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</si>
  <si>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</si>
  <si>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</si>
  <si>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</si>
  <si>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</si>
  <si>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</si>
  <si>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</si>
  <si>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</si>
  <si>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</si>
  <si>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</si>
  <si>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</si>
  <si>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</si>
  <si>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</si>
  <si>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</si>
  <si>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</si>
  <si>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</si>
  <si>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</si>
  <si>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</si>
  <si>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</si>
  <si>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</si>
  <si>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</si>
  <si>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</si>
  <si>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</si>
  <si>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</si>
  <si>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</si>
  <si>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</si>
  <si>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</si>
  <si>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</si>
  <si>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</si>
  <si>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</si>
  <si>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</si>
  <si>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</si>
  <si>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</si>
  <si>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</si>
  <si>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</si>
  <si>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</si>
  <si>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</si>
  <si>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</si>
  <si>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</si>
  <si>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</si>
  <si>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</si>
  <si>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</si>
  <si>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</si>
  <si>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</si>
  <si>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</si>
  <si>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</si>
  <si>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</si>
  <si>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</si>
  <si>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</si>
  <si>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</si>
  <si>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</si>
  <si>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</si>
  <si>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</si>
  <si>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</si>
  <si>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</si>
  <si>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</si>
  <si>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</si>
  <si>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</si>
  <si>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</si>
  <si>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</si>
  <si>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</si>
  <si>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</si>
  <si>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</si>
  <si>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</si>
  <si>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</si>
  <si>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</si>
  <si>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</si>
  <si>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</si>
  <si>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</si>
  <si>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</si>
  <si>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</si>
  <si>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</si>
  <si>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</si>
  <si>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</si>
  <si>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</si>
  <si>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</si>
  <si>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</si>
  <si>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</si>
  <si>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</si>
  <si>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</si>
  <si>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</si>
  <si>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</si>
  <si>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</si>
  <si>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</si>
  <si>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</si>
  <si>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</si>
  <si>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</si>
  <si>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</si>
  <si>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</si>
  <si>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</si>
  <si>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</si>
  <si>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</si>
  <si>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</si>
  <si>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</si>
  <si>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</si>
  <si>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</si>
  <si>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</si>
  <si>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</si>
  <si>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</si>
  <si>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</si>
  <si>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</si>
  <si>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</si>
  <si>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</si>
  <si>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</si>
  <si>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</si>
  <si>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</si>
  <si>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</si>
  <si>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</si>
  <si>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</si>
  <si>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</si>
  <si>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</si>
  <si>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</si>
  <si>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</si>
  <si>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</si>
  <si>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</si>
  <si>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</si>
  <si>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</si>
  <si>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</si>
  <si>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</si>
  <si>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</si>
  <si>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</si>
  <si>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</si>
  <si>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</si>
  <si>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</si>
  <si>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</si>
  <si>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</si>
  <si>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</si>
  <si>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</si>
  <si>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</si>
  <si>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</si>
  <si>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</si>
  <si>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</si>
  <si>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</si>
  <si>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</si>
  <si>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</si>
  <si>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</si>
  <si>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</si>
  <si>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</si>
  <si>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</si>
  <si>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</si>
  <si>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</si>
  <si>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</si>
  <si>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</si>
  <si>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</si>
  <si>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</si>
  <si>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</si>
  <si>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</si>
  <si>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</si>
  <si>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</si>
  <si>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</si>
  <si>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</si>
  <si>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</si>
  <si>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</si>
  <si>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</si>
  <si>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</si>
  <si>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</si>
  <si>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</si>
  <si>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</si>
  <si>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</si>
  <si>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</si>
  <si>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</si>
  <si>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</si>
  <si>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</si>
  <si>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</si>
  <si>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</si>
  <si>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</si>
  <si>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</si>
  <si>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</si>
  <si>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</si>
  <si>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</si>
  <si>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</si>
  <si>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</si>
  <si>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</si>
  <si>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</si>
  <si>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</si>
  <si>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</si>
  <si>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</si>
  <si>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</si>
  <si>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</si>
  <si>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</si>
  <si>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</si>
  <si>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</si>
  <si>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</si>
  <si>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</si>
  <si>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</si>
  <si>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</si>
  <si>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</si>
  <si>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</si>
  <si>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</si>
  <si>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</si>
  <si>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</si>
  <si>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</si>
  <si>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</si>
  <si>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</si>
  <si>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</si>
  <si>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</si>
  <si>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</si>
  <si>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</si>
  <si>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</si>
  <si>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</si>
  <si>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</si>
  <si>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</si>
  <si>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</si>
  <si>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</si>
  <si>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</si>
  <si>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</si>
  <si>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</si>
  <si>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</si>
  <si>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</si>
  <si>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</si>
  <si>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</si>
  <si>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</si>
  <si>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</si>
  <si>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</si>
  <si>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</si>
  <si>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</si>
  <si>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</si>
  <si>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</si>
  <si>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</si>
  <si>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</si>
  <si>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</si>
  <si>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</si>
  <si>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</si>
  <si>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</si>
  <si>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</si>
  <si>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</si>
  <si>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</si>
  <si>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</si>
  <si>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</si>
  <si>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</si>
  <si>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</si>
  <si>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</si>
  <si>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</si>
  <si>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</si>
  <si>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</si>
  <si>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</si>
  <si>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</si>
  <si>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</si>
  <si>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</si>
  <si>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</si>
  <si>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</si>
  <si>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</si>
  <si>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</si>
  <si>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</si>
  <si>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</si>
  <si>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</si>
  <si>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</si>
  <si>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</si>
  <si>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</si>
  <si>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</si>
  <si>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</si>
  <si>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</si>
  <si>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</si>
  <si>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</si>
  <si>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</si>
  <si>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</si>
  <si>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</si>
  <si>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</si>
  <si>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</si>
  <si>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</si>
  <si>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</si>
  <si>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</si>
  <si>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</si>
  <si>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</si>
  <si>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</si>
  <si>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</si>
  <si>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</si>
  <si>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</si>
  <si>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</si>
  <si>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</si>
  <si>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</si>
  <si>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</si>
  <si>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</si>
  <si>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</si>
  <si>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</si>
  <si>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</si>
  <si>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</si>
  <si>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</si>
  <si>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</si>
  <si>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</si>
  <si>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</si>
  <si>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</si>
  <si>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</si>
  <si>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</si>
  <si>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</si>
  <si>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</si>
  <si>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</si>
  <si>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</si>
  <si>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</si>
  <si>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</si>
  <si>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</si>
  <si>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</si>
  <si>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</si>
  <si>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</si>
  <si>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</si>
  <si>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</si>
  <si>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</si>
  <si>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</si>
  <si>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</si>
  <si>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</si>
  <si>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</si>
  <si>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</si>
  <si>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</si>
  <si>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</si>
  <si>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</si>
  <si>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</si>
  <si>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</si>
  <si>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</si>
  <si>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</si>
  <si>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</si>
  <si>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</si>
  <si>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</si>
  <si>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</si>
  <si>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</si>
  <si>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</si>
  <si>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</si>
  <si>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</si>
  <si>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</si>
  <si>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</si>
  <si>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</si>
  <si>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</si>
  <si>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</si>
  <si>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</si>
  <si>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</si>
  <si>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</si>
  <si>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</si>
  <si>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</si>
  <si>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</si>
  <si>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</si>
  <si>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</si>
  <si>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</si>
  <si>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</si>
  <si>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</si>
  <si>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</si>
  <si>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</si>
  <si>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</si>
  <si>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</si>
  <si>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</si>
  <si>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</si>
  <si>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</si>
  <si>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</si>
  <si>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</si>
  <si>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</si>
  <si>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</si>
  <si>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</si>
  <si>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</si>
  <si>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</si>
  <si>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</si>
  <si>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</si>
  <si>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</si>
  <si>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</si>
  <si>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</si>
  <si>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</si>
  <si>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</si>
  <si>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</si>
  <si>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</si>
  <si>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</si>
  <si>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</si>
  <si>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</si>
  <si>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</si>
  <si>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</si>
  <si>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</si>
  <si>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</si>
  <si>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</si>
  <si>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</si>
  <si>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</si>
  <si>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</si>
  <si>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</si>
  <si>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</si>
  <si>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</si>
  <si>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</si>
  <si>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</si>
  <si>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</si>
  <si>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</si>
  <si>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</si>
  <si>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</si>
  <si>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</si>
  <si>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</si>
  <si>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</si>
  <si>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</si>
  <si>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</si>
  <si>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</si>
  <si>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</si>
  <si>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</si>
  <si>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</si>
  <si>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</si>
  <si>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</si>
  <si>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</si>
  <si>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</si>
  <si>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</si>
  <si>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</si>
  <si>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</si>
  <si>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</si>
  <si>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</si>
  <si>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Gabriel</t>
  </si>
  <si>
    <t>White</t>
  </si>
  <si>
    <t>Rice</t>
  </si>
  <si>
    <t>Odegaard</t>
  </si>
  <si>
    <t>Tzolis</t>
  </si>
  <si>
    <t>Saka</t>
  </si>
  <si>
    <t>Havertz</t>
  </si>
  <si>
    <t>Sub</t>
  </si>
  <si>
    <t>Subbed</t>
  </si>
  <si>
    <t>Merino</t>
  </si>
  <si>
    <t>Konsa</t>
  </si>
  <si>
    <t>Zubimendi</t>
  </si>
  <si>
    <t>Goal/Assist</t>
  </si>
  <si>
    <t>G</t>
  </si>
  <si>
    <t>A</t>
  </si>
  <si>
    <t>−3</t>
  </si>
  <si>
    <t>SSC Napoli</t>
  </si>
  <si>
    <t>12.09.2026</t>
  </si>
  <si>
    <t>Stadium of Light (A)</t>
  </si>
  <si>
    <t>Eze</t>
  </si>
  <si>
    <t>Bruno</t>
  </si>
  <si>
    <t>Calafiori</t>
  </si>
  <si>
    <t>Lewis-Skelly</t>
  </si>
  <si>
    <t>Timber</t>
  </si>
  <si>
    <t>2-0 (W)</t>
  </si>
  <si>
    <t>Ipswitch</t>
  </si>
  <si>
    <t>Portman Road (A)</t>
  </si>
  <si>
    <t>−2</t>
  </si>
  <si>
    <t>−6</t>
  </si>
  <si>
    <t>−10</t>
  </si>
  <si>
    <t>15.09.2026</t>
  </si>
  <si>
    <t>Lille</t>
  </si>
  <si>
    <t>Bayern</t>
  </si>
  <si>
    <t>Slavia</t>
  </si>
  <si>
    <t>BVB</t>
  </si>
  <si>
    <t>Real</t>
  </si>
  <si>
    <t>Betis</t>
  </si>
  <si>
    <t>Sabah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</si>
</sst>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6</c:v>
                </c:pt>
                <c:pt idx="14">
                  <c:v>4</c:v>
                </c:pt>
                <c:pt idx="15">
                  <c:v>0</c:v>
                </c:pt>
                <c:pt idx="16">
                  <c:v>5</c:v>
                </c:pt>
                <c:pt idx="17">
                  <c:v>6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F035618-6D36-417B-9A71-82371B2CC50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AD5E3CA-4761-445A-81D8-5DA62B5ADA9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FDE118A-B800-46D0-9718-7D79088A7E0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C57C183-D711-42D6-8B65-E3F2527BED6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DC55111-0B66-4DAD-8FCA-28E00EC7FCB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C4932CD-FEF3-4665-8722-4BE60EBB97D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2294881-C3D1-4A1F-A951-CADE7809F31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2C05114-3695-4C4E-94E0-061D9301D16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C3B752-2EC7-4B96-900E-C7103524BE4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C09915B-9EF9-4A2D-ADA1-1480CD934E6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660311-12BE-4C39-BDED-B5848FBB42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501924C-828A-4B61-A822-8B2FD1F67CD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C12A00-B16D-419E-936D-48212C03DED9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7DF5A90-EA4C-497A-9E82-C5224D1525B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31C18A6-780E-473B-8673-80845D1CCE4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32598A8-BFE3-4E17-9276-23EDD7D6512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7EF83EA-DEB5-49A9-9931-FBA9766717B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196</c:v>
                </c:pt>
                <c:pt idx="1">
                  <c:v>43</c:v>
                </c:pt>
                <c:pt idx="2">
                  <c:v>267</c:v>
                </c:pt>
                <c:pt idx="3">
                  <c:v>318</c:v>
                </c:pt>
                <c:pt idx="4">
                  <c:v>240</c:v>
                </c:pt>
                <c:pt idx="5">
                  <c:v>57</c:v>
                </c:pt>
                <c:pt idx="6">
                  <c:v>96</c:v>
                </c:pt>
                <c:pt idx="7">
                  <c:v>12</c:v>
                </c:pt>
                <c:pt idx="8">
                  <c:v>58</c:v>
                </c:pt>
                <c:pt idx="9">
                  <c:v>4</c:v>
                </c:pt>
                <c:pt idx="10">
                  <c:v>6</c:v>
                </c:pt>
                <c:pt idx="11">
                  <c:v>46</c:v>
                </c:pt>
                <c:pt idx="12">
                  <c:v>51</c:v>
                </c:pt>
                <c:pt idx="13">
                  <c:v>83</c:v>
                </c:pt>
                <c:pt idx="14">
                  <c:v>117</c:v>
                </c:pt>
                <c:pt idx="15">
                  <c:v>0</c:v>
                </c:pt>
                <c:pt idx="16">
                  <c:v>70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10</c:v>
                </c:pt>
                <c:pt idx="13">
                  <c:v>15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8</c:v>
                      </c:pt>
                      <c:pt idx="12">
                        <c:v>10</c:v>
                      </c:pt>
                      <c:pt idx="13">
                        <c:v>15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4" t="s">
        <v>4</v>
      </c>
      <c r="D1" s="214"/>
      <c r="E1" s="215" t="s">
        <v>120</v>
      </c>
      <c r="F1" s="215"/>
      <c r="G1" s="214" t="s">
        <v>108</v>
      </c>
      <c r="H1" s="214"/>
      <c r="I1" s="215" t="s">
        <v>110</v>
      </c>
      <c r="J1" s="215"/>
      <c r="K1" s="214" t="s">
        <v>39</v>
      </c>
      <c r="L1" s="214"/>
      <c r="M1" s="212" t="s">
        <v>7</v>
      </c>
      <c r="N1" s="213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39"/>
  <sheetViews>
    <sheetView topLeftCell="M1" zoomScale="70" zoomScaleNormal="70" zoomScalePageLayoutView="140" workbookViewId="0">
      <selection activeCell="M15" sqref="A15:XFD15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4</v>
      </c>
      <c r="H6" s="21">
        <f>'Apps &amp; Goals 26-27'!D4</f>
        <v>0</v>
      </c>
      <c r="I6" s="21">
        <f>'Apps &amp; Goals 26-27'!E4</f>
        <v>0</v>
      </c>
      <c r="J6" s="25">
        <f>G6+C6</f>
        <v>111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7" si="0">G7+C7</f>
        <v>131</v>
      </c>
      <c r="K7" s="25">
        <f t="shared" ref="K7:K17" si="1">H7+D7</f>
        <v>7</v>
      </c>
      <c r="L7" s="25">
        <f t="shared" ref="L7:L17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7" si="3">S7+O7</f>
        <v>37</v>
      </c>
      <c r="W7" s="26">
        <f t="shared" ref="W7:W17" si="4">T7+P7</f>
        <v>1</v>
      </c>
      <c r="X7" s="26">
        <f t="shared" ref="X7:X17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7" si="6">AE7+AA7</f>
        <v>5</v>
      </c>
      <c r="AI7" s="24">
        <f t="shared" ref="AI7:AI17" si="7">AF7+AB7</f>
        <v>0</v>
      </c>
      <c r="AJ7" s="24">
        <f t="shared" ref="AJ7:AJ17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7" si="9">AQ7+AM7</f>
        <v>10</v>
      </c>
      <c r="AU7" s="18">
        <f t="shared" ref="AU7:AU17" si="10">AR7+AN7</f>
        <v>0</v>
      </c>
      <c r="AV7" s="18">
        <f t="shared" ref="AV7:AV17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7" si="12">BC7+AY7</f>
        <v>1</v>
      </c>
      <c r="BG7" s="33">
        <f t="shared" ref="BG7:BG17" si="13">BD7+AZ7</f>
        <v>0</v>
      </c>
      <c r="BH7" s="33">
        <f t="shared" ref="BH7:BH17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4</v>
      </c>
      <c r="H9" s="21">
        <f>'Apps &amp; Goals 26-27'!D7</f>
        <v>0</v>
      </c>
      <c r="I9" s="21">
        <f>'Apps &amp; Goals 26-27'!E7</f>
        <v>1</v>
      </c>
      <c r="J9" s="25">
        <f t="shared" si="0"/>
        <v>140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4</v>
      </c>
      <c r="H11" s="21">
        <f>'Apps &amp; Goals 26-27'!D9</f>
        <v>0</v>
      </c>
      <c r="I11" s="21">
        <f>'Apps &amp; Goals 26-27'!E9</f>
        <v>0</v>
      </c>
      <c r="J11" s="25">
        <f t="shared" si="0"/>
        <v>196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4</v>
      </c>
      <c r="H12" s="21">
        <f>'Apps &amp; Goals 26-27'!D10</f>
        <v>3</v>
      </c>
      <c r="I12" s="21">
        <f>'Apps &amp; Goals 26-27'!E10</f>
        <v>0</v>
      </c>
      <c r="J12" s="25">
        <f t="shared" si="0"/>
        <v>230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4</v>
      </c>
      <c r="H13" s="21">
        <f>'Apps &amp; Goals 26-27'!D11</f>
        <v>2</v>
      </c>
      <c r="I13" s="21">
        <f>'Apps &amp; Goals 26-27'!E11</f>
        <v>0</v>
      </c>
      <c r="J13" s="25">
        <f t="shared" si="0"/>
        <v>180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3</v>
      </c>
      <c r="H14" s="21">
        <f>'Apps &amp; Goals 26-27'!D12</f>
        <v>0</v>
      </c>
      <c r="I14" s="21">
        <f>'Apps &amp; Goals 26-27'!E12</f>
        <v>0</v>
      </c>
      <c r="J14" s="25">
        <f t="shared" si="0"/>
        <v>35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63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6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1</v>
      </c>
      <c r="H17" s="21">
        <f>'Apps &amp; Goals 26-27'!D15</f>
        <v>0</v>
      </c>
      <c r="I17" s="21">
        <f>'Apps &amp; Goals 26-27'!E15</f>
        <v>0</v>
      </c>
      <c r="J17" s="25">
        <f t="shared" si="0"/>
        <v>37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4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432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3</v>
      </c>
      <c r="H18" s="21">
        <f>'Apps &amp; Goals 26-27'!D16</f>
        <v>0</v>
      </c>
      <c r="I18" s="21">
        <f>'Apps &amp; Goals 26-27'!E16</f>
        <v>0</v>
      </c>
      <c r="J18" s="25">
        <f t="shared" ref="J18:J39" si="15">G18+C18</f>
        <v>3</v>
      </c>
      <c r="K18" s="25">
        <f t="shared" ref="K18:K39" si="16">H18+D18</f>
        <v>0</v>
      </c>
      <c r="L18" s="25">
        <f t="shared" ref="L18:L39" si="17">I18+E18</f>
        <v>0</v>
      </c>
      <c r="M18">
        <v>15</v>
      </c>
      <c r="N18" s="45" t="s">
        <v>432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ref="V18:V39" si="18">S18+O18</f>
        <v>1</v>
      </c>
      <c r="W18" s="26">
        <f t="shared" ref="W18:W39" si="19">T18+P18</f>
        <v>0</v>
      </c>
      <c r="X18" s="26">
        <f t="shared" ref="X18:X39" si="20">U18+Q18</f>
        <v>0</v>
      </c>
      <c r="Z18" s="57" t="s">
        <v>432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ref="AH18:AH39" si="21">AE18+AA18</f>
        <v>0</v>
      </c>
      <c r="AI18" s="24">
        <f t="shared" ref="AI18:AI39" si="22">AF18+AB18</f>
        <v>0</v>
      </c>
      <c r="AJ18" s="24">
        <f t="shared" ref="AJ18:AJ39" si="23">AG18+AC18</f>
        <v>0</v>
      </c>
      <c r="AL18" s="63" t="s">
        <v>432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ref="AT18:AT39" si="24">AQ18+AM18</f>
        <v>0</v>
      </c>
      <c r="AU18" s="18">
        <f t="shared" ref="AU18:AU39" si="25">AR18+AN18</f>
        <v>0</v>
      </c>
      <c r="AV18" s="18">
        <f t="shared" ref="AV18:AV39" si="26">AS18+AO18</f>
        <v>0</v>
      </c>
      <c r="AX18" s="32" t="s">
        <v>432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ref="BF18:BF39" si="27">BC18+AY18</f>
        <v>0</v>
      </c>
      <c r="BG18" s="33">
        <f t="shared" ref="BG18:BG39" si="28">BD18+AZ18</f>
        <v>0</v>
      </c>
      <c r="BH18" s="33">
        <f t="shared" ref="BH18:BH39" si="29">BE18+BA18</f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4</v>
      </c>
      <c r="H19" s="21">
        <f>'Apps &amp; Goals 26-27'!D17</f>
        <v>0</v>
      </c>
      <c r="I19" s="21">
        <f>'Apps &amp; Goals 26-27'!E17</f>
        <v>1</v>
      </c>
      <c r="J19" s="25">
        <f t="shared" si="15"/>
        <v>4</v>
      </c>
      <c r="K19" s="25">
        <f t="shared" si="16"/>
        <v>0</v>
      </c>
      <c r="L19" s="25">
        <f t="shared" si="17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18"/>
        <v>1</v>
      </c>
      <c r="W19" s="26">
        <f t="shared" si="19"/>
        <v>0</v>
      </c>
      <c r="X19" s="26">
        <f t="shared" si="20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21"/>
        <v>0</v>
      </c>
      <c r="AI19" s="24">
        <f t="shared" si="22"/>
        <v>0</v>
      </c>
      <c r="AJ19" s="24">
        <f t="shared" si="23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24"/>
        <v>0</v>
      </c>
      <c r="AU19" s="18">
        <f t="shared" si="25"/>
        <v>0</v>
      </c>
      <c r="AV19" s="18">
        <f t="shared" si="26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27"/>
        <v>1</v>
      </c>
      <c r="BG19" s="33">
        <f t="shared" si="28"/>
        <v>0</v>
      </c>
      <c r="BH19" s="33">
        <f t="shared" si="29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28</v>
      </c>
      <c r="K20" s="25">
        <f t="shared" si="16"/>
        <v>3</v>
      </c>
      <c r="L20" s="25">
        <f t="shared" si="17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18"/>
        <v>10</v>
      </c>
      <c r="W20" s="26">
        <f t="shared" si="19"/>
        <v>3</v>
      </c>
      <c r="X20" s="26">
        <f t="shared" si="20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4</v>
      </c>
      <c r="AI20" s="24">
        <f t="shared" si="22"/>
        <v>2</v>
      </c>
      <c r="AJ20" s="24">
        <f t="shared" si="23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3</v>
      </c>
      <c r="AU20" s="18">
        <f t="shared" si="25"/>
        <v>0</v>
      </c>
      <c r="AV20" s="18">
        <f t="shared" si="26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27"/>
        <v>1</v>
      </c>
      <c r="BG20" s="33">
        <f t="shared" si="28"/>
        <v>0</v>
      </c>
      <c r="BH20" s="33">
        <f t="shared" si="29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15"/>
        <v>34</v>
      </c>
      <c r="K21" s="25">
        <f t="shared" si="16"/>
        <v>4</v>
      </c>
      <c r="L21" s="25">
        <f t="shared" si="17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10</v>
      </c>
      <c r="W21" s="26">
        <f t="shared" si="19"/>
        <v>2</v>
      </c>
      <c r="X21" s="26">
        <f t="shared" si="20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1</v>
      </c>
      <c r="AI21" s="24">
        <f t="shared" si="22"/>
        <v>0</v>
      </c>
      <c r="AJ21" s="24">
        <f t="shared" si="23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6</v>
      </c>
      <c r="AU21" s="18">
        <f t="shared" si="25"/>
        <v>4</v>
      </c>
      <c r="AV21" s="18">
        <f t="shared" si="26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0</v>
      </c>
      <c r="BG21" s="33">
        <f t="shared" si="28"/>
        <v>0</v>
      </c>
      <c r="BH21" s="33">
        <f t="shared" si="29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4</v>
      </c>
      <c r="H22" s="21">
        <f>'Apps &amp; Goals 26-27'!D20</f>
        <v>0</v>
      </c>
      <c r="I22" s="21">
        <f>'Apps &amp; Goals 26-27'!E20</f>
        <v>0</v>
      </c>
      <c r="J22" s="25">
        <f t="shared" si="15"/>
        <v>54</v>
      </c>
      <c r="K22" s="25">
        <f t="shared" si="16"/>
        <v>11</v>
      </c>
      <c r="L22" s="25">
        <f t="shared" si="17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18"/>
        <v>20</v>
      </c>
      <c r="W22" s="26">
        <f t="shared" si="19"/>
        <v>4</v>
      </c>
      <c r="X22" s="26">
        <f t="shared" si="20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2</v>
      </c>
      <c r="AI22" s="24">
        <f t="shared" si="22"/>
        <v>0</v>
      </c>
      <c r="AJ22" s="24">
        <f t="shared" si="23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7</v>
      </c>
      <c r="AU22" s="18">
        <f t="shared" si="25"/>
        <v>0</v>
      </c>
      <c r="AV22" s="18">
        <f t="shared" si="26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4</v>
      </c>
      <c r="H23" s="21">
        <f>'Apps &amp; Goals 26-27'!D21</f>
        <v>2</v>
      </c>
      <c r="I23" s="21">
        <f>'Apps &amp; Goals 26-27'!E21</f>
        <v>0</v>
      </c>
      <c r="J23" s="25">
        <f t="shared" si="15"/>
        <v>76</v>
      </c>
      <c r="K23" s="25">
        <f t="shared" si="16"/>
        <v>26</v>
      </c>
      <c r="L23" s="25">
        <f t="shared" si="17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18"/>
        <v>25</v>
      </c>
      <c r="W23" s="26">
        <f t="shared" si="19"/>
        <v>9</v>
      </c>
      <c r="X23" s="26">
        <f t="shared" si="20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5</v>
      </c>
      <c r="AI23" s="24">
        <f t="shared" si="22"/>
        <v>0</v>
      </c>
      <c r="AJ23" s="24">
        <f t="shared" si="23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9</v>
      </c>
      <c r="AU23" s="18">
        <f t="shared" si="25"/>
        <v>3</v>
      </c>
      <c r="AV23" s="18">
        <f t="shared" si="26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27"/>
        <v>2</v>
      </c>
      <c r="BG23" s="33">
        <f t="shared" si="28"/>
        <v>1</v>
      </c>
      <c r="BH23" s="33">
        <f t="shared" si="29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0</v>
      </c>
      <c r="K24" s="25">
        <f t="shared" si="16"/>
        <v>0</v>
      </c>
      <c r="L24" s="25">
        <f t="shared" si="17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0</v>
      </c>
      <c r="W24" s="26">
        <f t="shared" si="19"/>
        <v>0</v>
      </c>
      <c r="X24" s="26">
        <f t="shared" si="20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0</v>
      </c>
      <c r="AI24" s="24">
        <f t="shared" si="22"/>
        <v>0</v>
      </c>
      <c r="AJ24" s="24">
        <f t="shared" si="23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0</v>
      </c>
      <c r="AU24" s="18">
        <f t="shared" si="25"/>
        <v>0</v>
      </c>
      <c r="AV24" s="18">
        <f t="shared" si="26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4</v>
      </c>
      <c r="H25" s="21">
        <f>'Apps &amp; Goals 26-27'!D23</f>
        <v>0</v>
      </c>
      <c r="I25" s="21">
        <f>'Apps &amp; Goals 26-27'!E23</f>
        <v>2</v>
      </c>
      <c r="J25" s="25">
        <f t="shared" si="15"/>
        <v>49</v>
      </c>
      <c r="K25" s="25">
        <f t="shared" si="16"/>
        <v>3</v>
      </c>
      <c r="L25" s="25">
        <f t="shared" si="17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14</v>
      </c>
      <c r="W25" s="26">
        <f t="shared" si="19"/>
        <v>1</v>
      </c>
      <c r="X25" s="26">
        <f t="shared" si="20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4</v>
      </c>
      <c r="AU25" s="18">
        <f t="shared" si="25"/>
        <v>0</v>
      </c>
      <c r="AV25" s="18">
        <f t="shared" si="26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1</v>
      </c>
      <c r="BG25" s="33">
        <f t="shared" si="28"/>
        <v>1</v>
      </c>
      <c r="BH25" s="33">
        <f t="shared" si="29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1</v>
      </c>
      <c r="AI26" s="24">
        <f t="shared" si="22"/>
        <v>0</v>
      </c>
      <c r="AJ26" s="24">
        <f t="shared" si="23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1</v>
      </c>
      <c r="AU26" s="18">
        <f t="shared" si="25"/>
        <v>0</v>
      </c>
      <c r="AV26" s="18">
        <f t="shared" si="26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4</v>
      </c>
      <c r="H27" s="21">
        <f>'Apps &amp; Goals 26-27'!D25</f>
        <v>0</v>
      </c>
      <c r="I27" s="21">
        <f>'Apps &amp; Goals 26-27'!E25</f>
        <v>0</v>
      </c>
      <c r="J27" s="25">
        <f t="shared" si="15"/>
        <v>42</v>
      </c>
      <c r="K27" s="25">
        <f t="shared" si="16"/>
        <v>5</v>
      </c>
      <c r="L27" s="25">
        <f t="shared" si="17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18"/>
        <v>14</v>
      </c>
      <c r="W27" s="26">
        <f t="shared" si="19"/>
        <v>0</v>
      </c>
      <c r="X27" s="26">
        <f t="shared" si="20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3</v>
      </c>
      <c r="AI27" s="24">
        <f t="shared" si="22"/>
        <v>0</v>
      </c>
      <c r="AJ27" s="24">
        <f t="shared" si="23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3</v>
      </c>
      <c r="AU27" s="18">
        <f t="shared" si="25"/>
        <v>1</v>
      </c>
      <c r="AV27" s="18">
        <f t="shared" si="26"/>
        <v>0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1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2</v>
      </c>
      <c r="H28" s="21">
        <f>'Apps &amp; Goals 26-27'!D26</f>
        <v>1</v>
      </c>
      <c r="I28" s="21">
        <f>'Apps &amp; Goals 26-27'!E26</f>
        <v>0</v>
      </c>
      <c r="J28" s="25">
        <f t="shared" si="15"/>
        <v>2</v>
      </c>
      <c r="K28" s="25">
        <f t="shared" si="16"/>
        <v>1</v>
      </c>
      <c r="L28" s="25">
        <f t="shared" si="17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18"/>
        <v>1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>G29+C29</f>
        <v>0</v>
      </c>
      <c r="K29" s="25">
        <f>H29+D29</f>
        <v>0</v>
      </c>
      <c r="L29" s="25">
        <f>I29+E29</f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>S29+O29</f>
        <v>0</v>
      </c>
      <c r="W29" s="26">
        <f>T29+P29</f>
        <v>0</v>
      </c>
      <c r="X29" s="26">
        <f>U29+Q29</f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>AE29+AA29</f>
        <v>1</v>
      </c>
      <c r="AI29" s="24">
        <f>AF29+AB29</f>
        <v>0</v>
      </c>
      <c r="AJ29" s="24">
        <f>AG29+AC29</f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>AQ29+AM29</f>
        <v>0</v>
      </c>
      <c r="AU29" s="18">
        <f>AR29+AN29</f>
        <v>0</v>
      </c>
      <c r="AV29" s="18">
        <f>AS29+AO29</f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>BC29+AY29</f>
        <v>0</v>
      </c>
      <c r="BG29" s="33">
        <f>BD29+AZ29</f>
        <v>0</v>
      </c>
      <c r="BH29" s="33">
        <f>BE29+BA29</f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4</v>
      </c>
      <c r="H30" s="21">
        <f>'Apps &amp; Goals 26-27'!D28</f>
        <v>0</v>
      </c>
      <c r="I30" s="21">
        <f>'Apps &amp; Goals 26-27'!E28</f>
        <v>2</v>
      </c>
      <c r="J30" s="25">
        <f t="shared" si="15"/>
        <v>113</v>
      </c>
      <c r="K30" s="25">
        <f t="shared" si="16"/>
        <v>15</v>
      </c>
      <c r="L30" s="25">
        <f t="shared" si="17"/>
        <v>22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18"/>
        <v>37</v>
      </c>
      <c r="W30" s="26">
        <f t="shared" si="19"/>
        <v>5</v>
      </c>
      <c r="X30" s="26">
        <f t="shared" si="20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2</v>
      </c>
      <c r="AI30" s="24">
        <f t="shared" si="22"/>
        <v>0</v>
      </c>
      <c r="AJ30" s="24">
        <f t="shared" si="23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10</v>
      </c>
      <c r="AU30" s="18">
        <f t="shared" si="25"/>
        <v>1</v>
      </c>
      <c r="AV30" s="18">
        <f t="shared" si="26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2</v>
      </c>
      <c r="BG30" s="33">
        <f t="shared" si="28"/>
        <v>0</v>
      </c>
      <c r="BH30" s="33">
        <f t="shared" si="29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ref="J31:L32" si="30">G31+C31</f>
        <v>0</v>
      </c>
      <c r="K31" s="25">
        <f t="shared" si="30"/>
        <v>0</v>
      </c>
      <c r="L31" s="25">
        <f t="shared" si="30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ref="V31:X32" si="31">S31+O31</f>
        <v>1</v>
      </c>
      <c r="W31" s="26">
        <f t="shared" si="31"/>
        <v>0</v>
      </c>
      <c r="X31" s="26">
        <f t="shared" si="31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ref="AH31:AJ32" si="32">AE31+AA31</f>
        <v>0</v>
      </c>
      <c r="AI31" s="24">
        <f t="shared" si="32"/>
        <v>0</v>
      </c>
      <c r="AJ31" s="24">
        <f t="shared" si="32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ref="AT31:AV32" si="33">AQ31+AM31</f>
        <v>1</v>
      </c>
      <c r="AU31" s="18">
        <f t="shared" si="33"/>
        <v>0</v>
      </c>
      <c r="AV31" s="18">
        <f t="shared" si="33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ref="BF31:BH32" si="34">BC31+AY31</f>
        <v>0</v>
      </c>
      <c r="BG31" s="33">
        <f t="shared" si="34"/>
        <v>0</v>
      </c>
      <c r="BH31" s="33">
        <f t="shared" si="3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30"/>
        <v>0</v>
      </c>
      <c r="K32" s="25">
        <f t="shared" si="30"/>
        <v>0</v>
      </c>
      <c r="L32" s="25">
        <f t="shared" si="30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1"/>
        <v>1</v>
      </c>
      <c r="W32" s="26">
        <f t="shared" si="31"/>
        <v>0</v>
      </c>
      <c r="X32" s="26">
        <f t="shared" si="31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32"/>
        <v>0</v>
      </c>
      <c r="AI32" s="24">
        <f t="shared" si="32"/>
        <v>0</v>
      </c>
      <c r="AJ32" s="24">
        <f t="shared" si="32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33"/>
        <v>0</v>
      </c>
      <c r="AU32" s="18">
        <f t="shared" si="33"/>
        <v>0</v>
      </c>
      <c r="AV32" s="18">
        <f t="shared" si="33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34"/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4">
        <v>46</v>
      </c>
      <c r="B33" s="22" t="s">
        <v>298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15"/>
        <v>0</v>
      </c>
      <c r="K33" s="25">
        <f t="shared" si="16"/>
        <v>0</v>
      </c>
      <c r="L33" s="25">
        <f t="shared" si="17"/>
        <v>0</v>
      </c>
      <c r="M33">
        <v>46</v>
      </c>
      <c r="N33" s="45" t="s">
        <v>298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0</v>
      </c>
      <c r="W33" s="26">
        <f t="shared" si="19"/>
        <v>0</v>
      </c>
      <c r="X33" s="26">
        <f t="shared" si="20"/>
        <v>0</v>
      </c>
      <c r="Z33" s="57" t="s">
        <v>298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0</v>
      </c>
      <c r="AI33" s="24">
        <f t="shared" si="22"/>
        <v>0</v>
      </c>
      <c r="AJ33" s="24">
        <f t="shared" si="23"/>
        <v>0</v>
      </c>
      <c r="AL33" s="63" t="s">
        <v>298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</v>
      </c>
      <c r="AU33" s="18">
        <f t="shared" si="25"/>
        <v>0</v>
      </c>
      <c r="AV33" s="18">
        <f t="shared" si="26"/>
        <v>0</v>
      </c>
      <c r="AX33" s="32" t="s">
        <v>298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0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49</v>
      </c>
      <c r="B34" s="22" t="s">
        <v>297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4</v>
      </c>
      <c r="H34" s="21">
        <f>'Apps &amp; Goals 26-27'!D32</f>
        <v>0</v>
      </c>
      <c r="I34" s="21">
        <f>'Apps &amp; Goals 26-27'!E32</f>
        <v>0</v>
      </c>
      <c r="J34" s="25">
        <f t="shared" si="15"/>
        <v>47</v>
      </c>
      <c r="K34" s="25">
        <f t="shared" si="16"/>
        <v>1</v>
      </c>
      <c r="L34" s="25">
        <f t="shared" si="17"/>
        <v>0</v>
      </c>
      <c r="M34">
        <v>49</v>
      </c>
      <c r="N34" s="45" t="s">
        <v>297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20</v>
      </c>
      <c r="W34" s="26">
        <f t="shared" si="19"/>
        <v>0</v>
      </c>
      <c r="X34" s="26">
        <f t="shared" si="20"/>
        <v>3</v>
      </c>
      <c r="Z34" s="57" t="s">
        <v>297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4</v>
      </c>
      <c r="AI34" s="24">
        <f t="shared" si="22"/>
        <v>0</v>
      </c>
      <c r="AJ34" s="24">
        <f t="shared" si="23"/>
        <v>0</v>
      </c>
      <c r="AL34" s="63" t="s">
        <v>297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8</v>
      </c>
      <c r="AU34" s="18">
        <f t="shared" si="25"/>
        <v>0</v>
      </c>
      <c r="AV34" s="18">
        <f t="shared" si="26"/>
        <v>2</v>
      </c>
      <c r="AX34" s="32" t="s">
        <v>297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27"/>
        <v>1</v>
      </c>
      <c r="BG34" s="33">
        <f t="shared" si="28"/>
        <v>0</v>
      </c>
      <c r="BH34" s="33">
        <f t="shared" si="29"/>
        <v>1</v>
      </c>
    </row>
    <row r="35" spans="1:60" x14ac:dyDescent="0.25">
      <c r="A35" s="56">
        <v>53</v>
      </c>
      <c r="B35" s="22" t="s">
        <v>292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53</v>
      </c>
      <c r="N35" s="45" t="s">
        <v>292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23" t="s">
        <v>292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19" t="s">
        <v>292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56">
        <v>92</v>
      </c>
      <c r="B36" s="22" t="s">
        <v>301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>G36+C36</f>
        <v>0</v>
      </c>
      <c r="K36" s="25">
        <f>H36+D36</f>
        <v>0</v>
      </c>
      <c r="L36" s="25">
        <f>I36+E36</f>
        <v>0</v>
      </c>
      <c r="M36">
        <v>55</v>
      </c>
      <c r="N36" s="45" t="s">
        <v>301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>S36+O36</f>
        <v>0</v>
      </c>
      <c r="W36" s="26">
        <f>T36+P36</f>
        <v>0</v>
      </c>
      <c r="X36" s="26">
        <f>U36+Q36</f>
        <v>0</v>
      </c>
      <c r="Z36" s="23" t="s">
        <v>301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>AE36+AA36</f>
        <v>0</v>
      </c>
      <c r="AI36" s="24">
        <f>AF36+AB36</f>
        <v>0</v>
      </c>
      <c r="AJ36" s="24">
        <f>AG36+AC36</f>
        <v>0</v>
      </c>
      <c r="AL36" s="19" t="s">
        <v>301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>AQ36+AM36</f>
        <v>1</v>
      </c>
      <c r="AU36" s="18">
        <f>AR36+AN36</f>
        <v>0</v>
      </c>
      <c r="AV36" s="18">
        <f>AS36+AO36</f>
        <v>0</v>
      </c>
      <c r="AX36" s="32" t="s">
        <v>301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>BC36+AY36</f>
        <v>0</v>
      </c>
      <c r="BG36" s="33">
        <f>BD36+AZ36</f>
        <v>0</v>
      </c>
      <c r="BH36" s="33">
        <f>BE36+BA36</f>
        <v>0</v>
      </c>
    </row>
    <row r="37" spans="1:60" x14ac:dyDescent="0.25">
      <c r="A37" s="4">
        <v>56</v>
      </c>
      <c r="B37" s="22" t="s">
        <v>322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6</v>
      </c>
      <c r="K37" s="25">
        <f t="shared" si="16"/>
        <v>1</v>
      </c>
      <c r="L37" s="25">
        <f t="shared" si="17"/>
        <v>0</v>
      </c>
      <c r="M37">
        <v>56</v>
      </c>
      <c r="N37" s="45" t="s">
        <v>322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3</v>
      </c>
      <c r="W37" s="26">
        <f t="shared" si="19"/>
        <v>0</v>
      </c>
      <c r="X37" s="26">
        <f t="shared" si="20"/>
        <v>0</v>
      </c>
      <c r="Z37" s="57" t="s">
        <v>322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2</v>
      </c>
      <c r="AI37" s="24">
        <f t="shared" si="22"/>
        <v>0</v>
      </c>
      <c r="AJ37" s="24">
        <f t="shared" si="23"/>
        <v>0</v>
      </c>
      <c r="AL37" s="63" t="s">
        <v>322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2</v>
      </c>
      <c r="AU37" s="18">
        <f t="shared" si="25"/>
        <v>0</v>
      </c>
      <c r="AV37" s="18">
        <f t="shared" si="26"/>
        <v>0</v>
      </c>
      <c r="AX37" s="32" t="s">
        <v>322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81</v>
      </c>
      <c r="B38" s="22" t="s">
        <v>339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0</v>
      </c>
      <c r="K38" s="25">
        <f t="shared" si="16"/>
        <v>0</v>
      </c>
      <c r="L38" s="25">
        <f t="shared" si="17"/>
        <v>0</v>
      </c>
      <c r="M38">
        <v>71</v>
      </c>
      <c r="N38" s="45" t="s">
        <v>339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1</v>
      </c>
      <c r="W38" s="26">
        <f t="shared" si="19"/>
        <v>0</v>
      </c>
      <c r="X38" s="26">
        <f t="shared" si="20"/>
        <v>0</v>
      </c>
      <c r="Z38" s="23" t="s">
        <v>339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0</v>
      </c>
      <c r="AI38" s="24">
        <f t="shared" si="22"/>
        <v>0</v>
      </c>
      <c r="AJ38" s="24">
        <f t="shared" si="23"/>
        <v>0</v>
      </c>
      <c r="AL38" s="19" t="s">
        <v>339</v>
      </c>
      <c r="AM38" s="18">
        <v>0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0</v>
      </c>
      <c r="AU38" s="18">
        <f t="shared" si="25"/>
        <v>0</v>
      </c>
      <c r="AV38" s="18">
        <f t="shared" si="26"/>
        <v>0</v>
      </c>
      <c r="AX38" s="32" t="s">
        <v>339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89</v>
      </c>
      <c r="B39" s="22" t="s">
        <v>333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89</v>
      </c>
      <c r="N39" s="45" t="s">
        <v>333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333</v>
      </c>
      <c r="AA39" s="24">
        <v>3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3</v>
      </c>
      <c r="AI39" s="24">
        <f t="shared" si="22"/>
        <v>0</v>
      </c>
      <c r="AJ39" s="24">
        <f t="shared" si="23"/>
        <v>0</v>
      </c>
      <c r="AL39" s="19" t="s">
        <v>333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39"/>
  <sheetViews>
    <sheetView zoomScale="90" zoomScaleNormal="90" zoomScalePageLayoutView="110" workbookViewId="0">
      <selection activeCell="V25" sqref="V25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8"/>
      <c r="G1" s="208"/>
      <c r="H1" s="20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4" t="s">
        <v>4</v>
      </c>
      <c r="F2" s="205"/>
      <c r="G2" s="206"/>
      <c r="H2" s="209" t="s">
        <v>120</v>
      </c>
      <c r="I2" s="210"/>
      <c r="J2" s="211"/>
      <c r="K2" s="204" t="s">
        <v>108</v>
      </c>
      <c r="L2" s="205"/>
      <c r="M2" s="206"/>
      <c r="N2" s="209" t="s">
        <v>110</v>
      </c>
      <c r="O2" s="210"/>
      <c r="P2" s="211"/>
      <c r="Q2" s="204" t="s">
        <v>39</v>
      </c>
      <c r="R2" s="205"/>
      <c r="S2" s="206"/>
      <c r="T2" s="207" t="s">
        <v>7</v>
      </c>
      <c r="U2" s="207"/>
      <c r="V2" s="207"/>
      <c r="Z2" s="125">
        <v>46279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439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111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153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140</v>
      </c>
      <c r="F7" s="6">
        <f>'#'!K9</f>
        <v>6</v>
      </c>
      <c r="G7" s="6">
        <f>'#'!L9</f>
        <v>13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196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43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196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267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230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318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180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240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35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57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63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96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6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12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37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4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58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432</v>
      </c>
      <c r="E16" s="6">
        <f>'#'!J18</f>
        <v>3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0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7" si="5">SUM(E16,H16,K16,N16,Q16)</f>
        <v>4</v>
      </c>
      <c r="U16" s="2">
        <f t="shared" ref="U16:U37" si="6">SUM(F16,I16,L16,O16,R16)</f>
        <v>0</v>
      </c>
      <c r="V16" s="2">
        <f t="shared" ref="V16:V37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4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6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3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46</v>
      </c>
      <c r="U18" s="2">
        <f t="shared" si="6"/>
        <v>8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440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54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7</v>
      </c>
      <c r="O20" s="4">
        <f>'#'!AU22</f>
        <v>0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83</v>
      </c>
      <c r="U20" s="2">
        <f t="shared" si="6"/>
        <v>15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76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117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49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70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440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42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3</v>
      </c>
      <c r="O25" s="4">
        <f>'#'!AU27</f>
        <v>1</v>
      </c>
      <c r="P25" s="4">
        <f>'#'!AV27</f>
        <v>0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63</v>
      </c>
      <c r="U25" s="2">
        <f t="shared" si="6"/>
        <v>6</v>
      </c>
      <c r="V25" s="2">
        <f t="shared" si="7"/>
        <v>3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2</v>
      </c>
      <c r="F26" s="6">
        <f>'#'!K28</f>
        <v>1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4</v>
      </c>
      <c r="U26" s="2">
        <f t="shared" si="6"/>
        <v>1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113</v>
      </c>
      <c r="F28" s="6">
        <f>'#'!K30</f>
        <v>15</v>
      </c>
      <c r="G28" s="6">
        <f>'#'!L30</f>
        <v>22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164</v>
      </c>
      <c r="U28" s="2">
        <f t="shared" si="6"/>
        <v>21</v>
      </c>
      <c r="V28" s="2">
        <f t="shared" si="7"/>
        <v>30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1</v>
      </c>
      <c r="U30" s="2">
        <f t="shared" si="8"/>
        <v>0</v>
      </c>
      <c r="V30" s="2">
        <f t="shared" si="8"/>
        <v>0</v>
      </c>
    </row>
    <row r="31" spans="1:23" x14ac:dyDescent="0.25">
      <c r="A31" s="4">
        <v>46</v>
      </c>
      <c r="B31" s="4" t="s">
        <v>356</v>
      </c>
      <c r="C31" s="4" t="s">
        <v>354</v>
      </c>
      <c r="D31" s="34" t="s">
        <v>298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5"/>
        <v>1</v>
      </c>
      <c r="U31" s="2">
        <f t="shared" si="6"/>
        <v>0</v>
      </c>
      <c r="V31" s="2">
        <f t="shared" si="7"/>
        <v>0</v>
      </c>
      <c r="W31" t="s">
        <v>440</v>
      </c>
    </row>
    <row r="32" spans="1:23" x14ac:dyDescent="0.25">
      <c r="A32" s="56">
        <v>49</v>
      </c>
      <c r="B32" s="56" t="s">
        <v>355</v>
      </c>
      <c r="C32" s="4" t="s">
        <v>352</v>
      </c>
      <c r="D32" s="35" t="s">
        <v>297</v>
      </c>
      <c r="E32" s="6">
        <f>'#'!J34</f>
        <v>47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5"/>
        <v>80</v>
      </c>
      <c r="U32" s="2">
        <f t="shared" si="6"/>
        <v>1</v>
      </c>
      <c r="V32" s="2">
        <f t="shared" si="7"/>
        <v>6</v>
      </c>
    </row>
    <row r="33" spans="1:23" x14ac:dyDescent="0.25">
      <c r="A33" s="56">
        <v>53</v>
      </c>
      <c r="B33" s="56" t="s">
        <v>355</v>
      </c>
      <c r="C33" s="28" t="s">
        <v>354</v>
      </c>
      <c r="D33" s="148" t="s">
        <v>292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  <c r="W33" t="s">
        <v>440</v>
      </c>
    </row>
    <row r="34" spans="1:23" x14ac:dyDescent="0.25">
      <c r="A34" s="56">
        <v>55</v>
      </c>
      <c r="B34" s="56" t="s">
        <v>355</v>
      </c>
      <c r="C34" s="56" t="s">
        <v>350</v>
      </c>
      <c r="D34" s="37" t="s">
        <v>301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>SUM(E34,H34,K34,N34,Q34)</f>
        <v>1</v>
      </c>
      <c r="U34" s="2">
        <f>SUM(F34,I34,L34,O34,R34)</f>
        <v>0</v>
      </c>
      <c r="V34" s="2">
        <f>SUM(G34,J34,M34,P34,S34)</f>
        <v>0</v>
      </c>
    </row>
    <row r="35" spans="1:23" x14ac:dyDescent="0.25">
      <c r="A35" s="56">
        <v>56</v>
      </c>
      <c r="B35" s="56" t="s">
        <v>355</v>
      </c>
      <c r="C35" s="28" t="s">
        <v>354</v>
      </c>
      <c r="D35" s="149" t="s">
        <v>322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13</v>
      </c>
      <c r="U35" s="2">
        <f t="shared" si="6"/>
        <v>1</v>
      </c>
      <c r="V35" s="2">
        <f t="shared" si="7"/>
        <v>0</v>
      </c>
    </row>
    <row r="36" spans="1:23" x14ac:dyDescent="0.25">
      <c r="A36" s="28">
        <v>71</v>
      </c>
      <c r="B36" s="56" t="s">
        <v>355</v>
      </c>
      <c r="C36" s="28" t="s">
        <v>354</v>
      </c>
      <c r="D36" s="148" t="s">
        <v>339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0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</v>
      </c>
      <c r="U36" s="2">
        <f t="shared" si="6"/>
        <v>0</v>
      </c>
      <c r="V36" s="2">
        <f t="shared" si="7"/>
        <v>0</v>
      </c>
    </row>
    <row r="37" spans="1:23" x14ac:dyDescent="0.25">
      <c r="A37" s="28">
        <v>89</v>
      </c>
      <c r="B37" s="56" t="s">
        <v>355</v>
      </c>
      <c r="C37" s="28" t="s">
        <v>352</v>
      </c>
      <c r="D37" s="148" t="s">
        <v>333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3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4</v>
      </c>
      <c r="U37" s="2">
        <f t="shared" si="6"/>
        <v>0</v>
      </c>
      <c r="V37" s="2">
        <f t="shared" si="7"/>
        <v>0</v>
      </c>
    </row>
    <row r="39" spans="1:23" x14ac:dyDescent="0.25">
      <c r="F39" t="s">
        <v>308</v>
      </c>
    </row>
  </sheetData>
  <autoFilter ref="A3:U37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7 V4:V37">
    <cfRule type="cellIs" dxfId="37" priority="20" operator="greaterThan">
      <formula>396</formula>
    </cfRule>
  </conditionalFormatting>
  <conditionalFormatting sqref="U4:U37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T4:T37 V4:V37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4" t="s">
        <v>4</v>
      </c>
      <c r="E2" s="214"/>
      <c r="F2" s="215" t="s">
        <v>6</v>
      </c>
      <c r="G2" s="215"/>
      <c r="H2" s="214" t="s">
        <v>108</v>
      </c>
      <c r="I2" s="214"/>
      <c r="J2" s="215" t="s">
        <v>110</v>
      </c>
      <c r="K2" s="215"/>
      <c r="L2" s="214" t="s">
        <v>39</v>
      </c>
      <c r="M2" s="214"/>
      <c r="N2" s="207" t="s">
        <v>7</v>
      </c>
      <c r="O2" s="207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4" t="s">
        <v>4</v>
      </c>
      <c r="E2" s="214"/>
      <c r="F2" s="215" t="s">
        <v>113</v>
      </c>
      <c r="G2" s="215"/>
      <c r="H2" s="214" t="s">
        <v>108</v>
      </c>
      <c r="I2" s="214"/>
      <c r="J2" s="215" t="s">
        <v>110</v>
      </c>
      <c r="K2" s="215"/>
      <c r="L2" s="214" t="s">
        <v>39</v>
      </c>
      <c r="M2" s="214"/>
      <c r="N2" s="207" t="s">
        <v>7</v>
      </c>
      <c r="O2" s="207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4" t="s">
        <v>4</v>
      </c>
      <c r="E2" s="214"/>
      <c r="F2" s="215" t="s">
        <v>113</v>
      </c>
      <c r="G2" s="215"/>
      <c r="H2" s="214" t="s">
        <v>108</v>
      </c>
      <c r="I2" s="214"/>
      <c r="J2" s="215" t="s">
        <v>110</v>
      </c>
      <c r="K2" s="215"/>
      <c r="L2" s="214" t="s">
        <v>39</v>
      </c>
      <c r="M2" s="214"/>
      <c r="N2" s="207" t="s">
        <v>7</v>
      </c>
      <c r="O2" s="207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4" t="s">
        <v>4</v>
      </c>
      <c r="E2" s="214"/>
      <c r="F2" s="215" t="s">
        <v>113</v>
      </c>
      <c r="G2" s="215"/>
      <c r="H2" s="214" t="s">
        <v>108</v>
      </c>
      <c r="I2" s="214"/>
      <c r="J2" s="215" t="s">
        <v>110</v>
      </c>
      <c r="K2" s="215"/>
      <c r="L2" s="214" t="s">
        <v>39</v>
      </c>
      <c r="M2" s="214"/>
      <c r="N2" s="207" t="s">
        <v>7</v>
      </c>
      <c r="O2" s="207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113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113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113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120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120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120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7"/>
  <sheetViews>
    <sheetView zoomScale="75" zoomScaleNormal="75" zoomScalePageLayoutView="110" workbookViewId="0">
      <selection activeCell="N42" sqref="N4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4" t="s">
        <v>4</v>
      </c>
      <c r="D2" s="205"/>
      <c r="E2" s="206"/>
      <c r="F2" s="209" t="s">
        <v>120</v>
      </c>
      <c r="G2" s="210"/>
      <c r="H2" s="211"/>
      <c r="I2" s="204" t="s">
        <v>108</v>
      </c>
      <c r="J2" s="205"/>
      <c r="K2" s="206"/>
      <c r="L2" s="209" t="s">
        <v>110</v>
      </c>
      <c r="M2" s="210"/>
      <c r="N2" s="211"/>
      <c r="O2" s="204" t="s">
        <v>39</v>
      </c>
      <c r="P2" s="205"/>
      <c r="Q2" s="206"/>
      <c r="R2" s="207" t="s">
        <v>7</v>
      </c>
      <c r="S2" s="207"/>
      <c r="T2" s="207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4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6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4</v>
      </c>
      <c r="D7" s="6">
        <f>'Premier League'!D7</f>
        <v>0</v>
      </c>
      <c r="E7" s="6">
        <f>'Premier League'!E7</f>
        <v>1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6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4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4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6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4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6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4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6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3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5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1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3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432</v>
      </c>
      <c r="C16" s="6">
        <f>'Premier League'!C16</f>
        <v>3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7" si="4">SUM(C16,F16,I16,L16,O16)</f>
        <v>4</v>
      </c>
      <c r="S16" s="2">
        <f t="shared" ref="S16:S37" si="5">SUM(D16,G16,J16,M16,P16)</f>
        <v>0</v>
      </c>
      <c r="T16" s="2">
        <f t="shared" ref="T16:T37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4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6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4</v>
      </c>
      <c r="S18" s="2">
        <f t="shared" si="5"/>
        <v>0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4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5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4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6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4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5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4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6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2</v>
      </c>
      <c r="D26" s="6">
        <f>'Premier League'!D26</f>
        <v>1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4</v>
      </c>
      <c r="S26" s="2">
        <f t="shared" si="5"/>
        <v>1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4</v>
      </c>
      <c r="D28" s="6">
        <f>'Premier League'!D28</f>
        <v>0</v>
      </c>
      <c r="E28" s="6">
        <f>'Premier League'!E28</f>
        <v>2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6</v>
      </c>
      <c r="S28" s="2">
        <f t="shared" si="5"/>
        <v>0</v>
      </c>
      <c r="T28" s="2">
        <f t="shared" si="6"/>
        <v>2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7">
        <v>46</v>
      </c>
      <c r="B31" s="34" t="s">
        <v>298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4"/>
        <v>0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8">
        <v>49</v>
      </c>
      <c r="B32" s="35" t="s">
        <v>297</v>
      </c>
      <c r="C32" s="6">
        <f>'Premier League'!C32</f>
        <v>4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4"/>
        <v>5</v>
      </c>
      <c r="S32" s="2">
        <f t="shared" si="5"/>
        <v>0</v>
      </c>
      <c r="T32" s="2">
        <f t="shared" si="6"/>
        <v>1</v>
      </c>
    </row>
    <row r="33" spans="1:20" x14ac:dyDescent="0.25">
      <c r="A33" s="28">
        <v>53</v>
      </c>
      <c r="B33" s="148" t="s">
        <v>292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</row>
    <row r="34" spans="1:20" x14ac:dyDescent="0.25">
      <c r="A34" s="28">
        <v>55</v>
      </c>
      <c r="B34" s="37" t="s">
        <v>301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>SUM(C34,F34,I34,L34,O34)</f>
        <v>0</v>
      </c>
      <c r="S34" s="2">
        <f>SUM(D34,G34,J34,M34,P34)</f>
        <v>0</v>
      </c>
      <c r="T34" s="2">
        <f>SUM(E34,H34,K34,N34,Q34)</f>
        <v>0</v>
      </c>
    </row>
    <row r="35" spans="1:20" x14ac:dyDescent="0.25">
      <c r="A35" s="28">
        <v>56</v>
      </c>
      <c r="B35" s="149" t="s">
        <v>322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71</v>
      </c>
      <c r="B36" s="148" t="s">
        <v>339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89</v>
      </c>
      <c r="B37" s="148" t="s">
        <v>333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7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4" t="s">
        <v>4</v>
      </c>
      <c r="F1" s="205"/>
      <c r="G1" s="206"/>
      <c r="H1" s="209" t="s">
        <v>120</v>
      </c>
      <c r="I1" s="210"/>
      <c r="J1" s="211"/>
      <c r="K1" s="204" t="s">
        <v>108</v>
      </c>
      <c r="L1" s="205"/>
      <c r="M1" s="206"/>
      <c r="N1" s="209" t="s">
        <v>110</v>
      </c>
      <c r="O1" s="210"/>
      <c r="P1" s="211"/>
      <c r="Q1" s="204" t="s">
        <v>39</v>
      </c>
      <c r="R1" s="205"/>
      <c r="S1" s="206"/>
      <c r="T1" s="207" t="s">
        <v>7</v>
      </c>
      <c r="U1" s="207"/>
      <c r="V1" s="207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6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6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6"/>
      <c r="H8" s="31">
        <v>48</v>
      </c>
      <c r="I8" s="31">
        <v>9</v>
      </c>
      <c r="J8" s="31"/>
      <c r="K8" s="6">
        <v>17</v>
      </c>
      <c r="L8" s="6">
        <v>2</v>
      </c>
      <c r="M8" s="176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6"/>
      <c r="H9" s="30">
        <v>38</v>
      </c>
      <c r="I9" s="30">
        <v>16</v>
      </c>
      <c r="J9" s="30"/>
      <c r="K9" s="6">
        <v>23</v>
      </c>
      <c r="L9" s="6">
        <v>13</v>
      </c>
      <c r="M9" s="176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6"/>
      <c r="H10" s="30">
        <v>42</v>
      </c>
      <c r="I10" s="30">
        <v>1</v>
      </c>
      <c r="J10" s="30"/>
      <c r="K10" s="6">
        <v>13</v>
      </c>
      <c r="L10" s="6">
        <v>2</v>
      </c>
      <c r="M10" s="176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6"/>
      <c r="H11" s="29">
        <v>46</v>
      </c>
      <c r="I11" s="29">
        <v>4</v>
      </c>
      <c r="J11" s="29"/>
      <c r="K11" s="6">
        <v>21</v>
      </c>
      <c r="L11" s="6">
        <v>5</v>
      </c>
      <c r="M11" s="176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6"/>
      <c r="H12" s="30">
        <v>47</v>
      </c>
      <c r="I12" s="30">
        <v>1</v>
      </c>
      <c r="J12" s="30"/>
      <c r="K12" s="6">
        <v>29</v>
      </c>
      <c r="L12" s="6">
        <v>2</v>
      </c>
      <c r="M12" s="176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6"/>
      <c r="H13" s="31">
        <v>33</v>
      </c>
      <c r="I13" s="31">
        <v>1</v>
      </c>
      <c r="J13" s="31"/>
      <c r="K13" s="6">
        <v>12</v>
      </c>
      <c r="L13" s="6">
        <v>0</v>
      </c>
      <c r="M13" s="176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6"/>
      <c r="H14" s="29">
        <v>43</v>
      </c>
      <c r="I14" s="29">
        <v>2</v>
      </c>
      <c r="J14" s="29"/>
      <c r="K14" s="6">
        <v>30</v>
      </c>
      <c r="L14" s="6">
        <v>1</v>
      </c>
      <c r="M14" s="176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6"/>
      <c r="H15" s="30">
        <v>39</v>
      </c>
      <c r="I15" s="30">
        <v>0</v>
      </c>
      <c r="J15" s="30"/>
      <c r="K15" s="6">
        <v>19</v>
      </c>
      <c r="L15" s="6">
        <v>4</v>
      </c>
      <c r="M15" s="176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6"/>
      <c r="H16" s="31">
        <v>27</v>
      </c>
      <c r="I16" s="31">
        <v>13</v>
      </c>
      <c r="J16" s="31"/>
      <c r="K16" s="6">
        <v>9</v>
      </c>
      <c r="L16" s="6">
        <v>0</v>
      </c>
      <c r="M16" s="176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6"/>
      <c r="H17" s="29">
        <v>31</v>
      </c>
      <c r="I17" s="29">
        <v>4</v>
      </c>
      <c r="J17" s="29"/>
      <c r="K17" s="6">
        <v>21</v>
      </c>
      <c r="L17" s="6">
        <v>1</v>
      </c>
      <c r="M17" s="176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6"/>
      <c r="H18" s="30">
        <v>40</v>
      </c>
      <c r="I18" s="30">
        <v>5</v>
      </c>
      <c r="J18" s="30"/>
      <c r="K18" s="6">
        <v>13</v>
      </c>
      <c r="L18" s="6">
        <v>1</v>
      </c>
      <c r="M18" s="176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6"/>
      <c r="H19" s="31">
        <v>29</v>
      </c>
      <c r="I19" s="31">
        <v>0</v>
      </c>
      <c r="J19" s="31"/>
      <c r="K19" s="6">
        <v>12</v>
      </c>
      <c r="L19" s="6">
        <v>0</v>
      </c>
      <c r="M19" s="176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6"/>
      <c r="H20" s="30">
        <v>32</v>
      </c>
      <c r="I20" s="30">
        <v>0</v>
      </c>
      <c r="J20" s="30"/>
      <c r="K20" s="6">
        <v>14</v>
      </c>
      <c r="L20" s="6">
        <v>3</v>
      </c>
      <c r="M20" s="176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6"/>
      <c r="H21" s="30">
        <v>29</v>
      </c>
      <c r="I21" s="30">
        <v>4</v>
      </c>
      <c r="J21" s="30"/>
      <c r="K21" s="6">
        <v>19</v>
      </c>
      <c r="L21" s="6">
        <v>1</v>
      </c>
      <c r="M21" s="176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6"/>
      <c r="H22" s="31">
        <v>35</v>
      </c>
      <c r="I22" s="31">
        <v>7</v>
      </c>
      <c r="J22" s="31"/>
      <c r="K22" s="6">
        <v>5</v>
      </c>
      <c r="L22" s="6">
        <v>0</v>
      </c>
      <c r="M22" s="176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8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Q29" sqref="Q29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9">
        <v>1</v>
      </c>
      <c r="G1" s="220"/>
      <c r="H1" s="221"/>
      <c r="I1" s="219">
        <v>2</v>
      </c>
      <c r="J1" s="220"/>
      <c r="K1" s="221"/>
      <c r="L1" s="219">
        <v>3</v>
      </c>
      <c r="M1" s="220"/>
      <c r="N1" s="221"/>
      <c r="O1" s="219">
        <v>4</v>
      </c>
      <c r="P1" s="220"/>
      <c r="Q1" s="221"/>
      <c r="R1" s="219">
        <v>5</v>
      </c>
      <c r="S1" s="220"/>
      <c r="T1" s="221"/>
      <c r="U1" s="219">
        <v>6</v>
      </c>
      <c r="V1" s="220"/>
      <c r="W1" s="221"/>
      <c r="X1" s="219">
        <v>7</v>
      </c>
      <c r="Y1" s="220"/>
      <c r="Z1" s="221"/>
      <c r="AA1" s="219">
        <v>8</v>
      </c>
      <c r="AB1" s="220"/>
      <c r="AC1" s="221"/>
      <c r="AD1" s="219">
        <v>9</v>
      </c>
      <c r="AE1" s="220"/>
      <c r="AF1" s="221"/>
      <c r="AG1" s="219">
        <v>10</v>
      </c>
      <c r="AH1" s="220"/>
      <c r="AI1" s="221"/>
      <c r="AJ1" s="219">
        <v>11</v>
      </c>
      <c r="AK1" s="220"/>
      <c r="AL1" s="221"/>
      <c r="AM1" s="219">
        <v>12</v>
      </c>
      <c r="AN1" s="220"/>
      <c r="AO1" s="221"/>
      <c r="AP1" s="219">
        <v>13</v>
      </c>
      <c r="AQ1" s="220"/>
      <c r="AR1" s="221"/>
      <c r="AS1" s="219">
        <v>14</v>
      </c>
      <c r="AT1" s="220"/>
      <c r="AU1" s="221"/>
      <c r="AV1" s="219">
        <v>15</v>
      </c>
      <c r="AW1" s="220"/>
      <c r="AX1" s="221"/>
      <c r="AY1" s="219">
        <v>16</v>
      </c>
      <c r="AZ1" s="220"/>
      <c r="BA1" s="221"/>
      <c r="BB1" s="219">
        <v>17</v>
      </c>
      <c r="BC1" s="220"/>
      <c r="BD1" s="221"/>
      <c r="BE1" s="219">
        <v>18</v>
      </c>
      <c r="BF1" s="220"/>
      <c r="BG1" s="221"/>
      <c r="BH1" s="219">
        <v>19</v>
      </c>
      <c r="BI1" s="220"/>
      <c r="BJ1" s="221"/>
      <c r="BK1" s="219">
        <v>20</v>
      </c>
      <c r="BL1" s="220"/>
      <c r="BM1" s="221"/>
      <c r="BN1" s="219">
        <v>21</v>
      </c>
      <c r="BO1" s="220"/>
      <c r="BP1" s="221"/>
      <c r="BQ1" s="219">
        <v>22</v>
      </c>
      <c r="BR1" s="220"/>
      <c r="BS1" s="221"/>
      <c r="BT1" s="219">
        <v>23</v>
      </c>
      <c r="BU1" s="220"/>
      <c r="BV1" s="221"/>
      <c r="BW1" s="219">
        <v>24</v>
      </c>
      <c r="BX1" s="220"/>
      <c r="BY1" s="221"/>
      <c r="BZ1" s="219">
        <v>25</v>
      </c>
      <c r="CA1" s="220"/>
      <c r="CB1" s="221"/>
      <c r="CC1" s="219">
        <v>26</v>
      </c>
      <c r="CD1" s="220"/>
      <c r="CE1" s="221"/>
      <c r="CF1" s="219">
        <v>27</v>
      </c>
      <c r="CG1" s="220"/>
      <c r="CH1" s="221"/>
      <c r="CI1" s="219">
        <v>28</v>
      </c>
      <c r="CJ1" s="220"/>
      <c r="CK1" s="221"/>
      <c r="CL1" s="219">
        <v>29</v>
      </c>
      <c r="CM1" s="220"/>
      <c r="CN1" s="221"/>
      <c r="CO1" s="219">
        <v>30</v>
      </c>
      <c r="CP1" s="220"/>
      <c r="CQ1" s="221"/>
      <c r="CR1" s="219">
        <v>31</v>
      </c>
      <c r="CS1" s="220"/>
      <c r="CT1" s="221"/>
      <c r="CU1" s="219">
        <v>32</v>
      </c>
      <c r="CV1" s="220"/>
      <c r="CW1" s="221"/>
      <c r="CX1" s="219">
        <v>33</v>
      </c>
      <c r="CY1" s="220"/>
      <c r="CZ1" s="221"/>
      <c r="DA1" s="219">
        <v>34</v>
      </c>
      <c r="DB1" s="220"/>
      <c r="DC1" s="221"/>
      <c r="DD1" s="219">
        <v>35</v>
      </c>
      <c r="DE1" s="220"/>
      <c r="DF1" s="221"/>
      <c r="DG1" s="219">
        <v>36</v>
      </c>
      <c r="DH1" s="220"/>
      <c r="DI1" s="221"/>
      <c r="DJ1" s="219">
        <v>37</v>
      </c>
      <c r="DK1" s="220"/>
      <c r="DL1" s="221"/>
      <c r="DM1" s="219">
        <v>38</v>
      </c>
      <c r="DN1" s="220"/>
      <c r="DO1" s="221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6" t="s">
        <v>346</v>
      </c>
      <c r="G2" s="217"/>
      <c r="H2" s="218"/>
      <c r="I2" s="216" t="s">
        <v>331</v>
      </c>
      <c r="J2" s="217"/>
      <c r="K2" s="218"/>
      <c r="L2" s="216" t="s">
        <v>330</v>
      </c>
      <c r="M2" s="217"/>
      <c r="N2" s="218"/>
      <c r="O2" s="216" t="s">
        <v>328</v>
      </c>
      <c r="P2" s="217"/>
      <c r="Q2" s="218"/>
      <c r="R2" s="216" t="s">
        <v>335</v>
      </c>
      <c r="S2" s="217"/>
      <c r="T2" s="218"/>
      <c r="U2" s="216" t="s">
        <v>320</v>
      </c>
      <c r="V2" s="217"/>
      <c r="W2" s="218"/>
      <c r="X2" s="216" t="s">
        <v>337</v>
      </c>
      <c r="Y2" s="217"/>
      <c r="Z2" s="218"/>
      <c r="AA2" s="216" t="s">
        <v>334</v>
      </c>
      <c r="AB2" s="217"/>
      <c r="AC2" s="218"/>
      <c r="AD2" s="216" t="s">
        <v>321</v>
      </c>
      <c r="AE2" s="217"/>
      <c r="AF2" s="218"/>
      <c r="AG2" s="216" t="s">
        <v>347</v>
      </c>
      <c r="AH2" s="217"/>
      <c r="AI2" s="218"/>
      <c r="AJ2" s="216" t="s">
        <v>324</v>
      </c>
      <c r="AK2" s="217"/>
      <c r="AL2" s="218"/>
      <c r="AM2" s="216" t="s">
        <v>323</v>
      </c>
      <c r="AN2" s="217"/>
      <c r="AO2" s="218"/>
      <c r="AP2" s="216" t="s">
        <v>332</v>
      </c>
      <c r="AQ2" s="217"/>
      <c r="AR2" s="218"/>
      <c r="AS2" s="216" t="s">
        <v>329</v>
      </c>
      <c r="AT2" s="217"/>
      <c r="AU2" s="218"/>
      <c r="AV2" s="216" t="s">
        <v>336</v>
      </c>
      <c r="AW2" s="217"/>
      <c r="AX2" s="218"/>
      <c r="AY2" s="216" t="s">
        <v>305</v>
      </c>
      <c r="AZ2" s="217"/>
      <c r="BA2" s="218"/>
      <c r="BB2" s="216" t="s">
        <v>326</v>
      </c>
      <c r="BC2" s="217"/>
      <c r="BD2" s="218"/>
      <c r="BE2" s="216" t="s">
        <v>325</v>
      </c>
      <c r="BF2" s="217"/>
      <c r="BG2" s="218"/>
      <c r="BH2" s="216" t="s">
        <v>348</v>
      </c>
      <c r="BI2" s="217"/>
      <c r="BJ2" s="218"/>
      <c r="BK2" s="216" t="s">
        <v>332</v>
      </c>
      <c r="BL2" s="217"/>
      <c r="BM2" s="218"/>
      <c r="BN2" s="216" t="s">
        <v>347</v>
      </c>
      <c r="BO2" s="217"/>
      <c r="BP2" s="218"/>
      <c r="BQ2" s="216" t="s">
        <v>324</v>
      </c>
      <c r="BR2" s="217"/>
      <c r="BS2" s="218"/>
      <c r="BT2" s="216" t="s">
        <v>323</v>
      </c>
      <c r="BU2" s="217"/>
      <c r="BV2" s="218"/>
      <c r="BW2" s="216" t="s">
        <v>321</v>
      </c>
      <c r="BX2" s="217"/>
      <c r="BY2" s="218"/>
      <c r="BZ2" s="216" t="s">
        <v>348</v>
      </c>
      <c r="CA2" s="217"/>
      <c r="CB2" s="218"/>
      <c r="CC2" s="216" t="s">
        <v>325</v>
      </c>
      <c r="CD2" s="217"/>
      <c r="CE2" s="218"/>
      <c r="CF2" s="216" t="s">
        <v>305</v>
      </c>
      <c r="CG2" s="217"/>
      <c r="CH2" s="218"/>
      <c r="CI2" s="216" t="s">
        <v>326</v>
      </c>
      <c r="CJ2" s="217"/>
      <c r="CK2" s="218"/>
      <c r="CL2" s="216" t="s">
        <v>330</v>
      </c>
      <c r="CM2" s="217"/>
      <c r="CN2" s="218"/>
      <c r="CO2" s="216" t="s">
        <v>328</v>
      </c>
      <c r="CP2" s="217"/>
      <c r="CQ2" s="218"/>
      <c r="CR2" s="216" t="s">
        <v>346</v>
      </c>
      <c r="CS2" s="217"/>
      <c r="CT2" s="218"/>
      <c r="CU2" s="216" t="s">
        <v>331</v>
      </c>
      <c r="CV2" s="217"/>
      <c r="CW2" s="218"/>
      <c r="CX2" s="216" t="s">
        <v>336</v>
      </c>
      <c r="CY2" s="217"/>
      <c r="CZ2" s="218"/>
      <c r="DA2" s="216" t="s">
        <v>329</v>
      </c>
      <c r="DB2" s="217"/>
      <c r="DC2" s="218"/>
      <c r="DD2" s="216" t="s">
        <v>320</v>
      </c>
      <c r="DE2" s="217"/>
      <c r="DF2" s="218"/>
      <c r="DG2" s="216" t="s">
        <v>337</v>
      </c>
      <c r="DH2" s="217"/>
      <c r="DI2" s="218"/>
      <c r="DJ2" s="216" t="s">
        <v>334</v>
      </c>
      <c r="DK2" s="217"/>
      <c r="DL2" s="218"/>
      <c r="DM2" s="216" t="s">
        <v>335</v>
      </c>
      <c r="DN2" s="217"/>
      <c r="DO2" s="218"/>
    </row>
    <row r="3" spans="1:119" x14ac:dyDescent="0.25">
      <c r="A3" s="3" t="s">
        <v>48</v>
      </c>
      <c r="B3" s="17" t="s">
        <v>1</v>
      </c>
      <c r="C3" s="223"/>
      <c r="D3" s="223"/>
      <c r="E3" s="224"/>
      <c r="F3" s="160" t="s">
        <v>393</v>
      </c>
      <c r="G3" s="161" t="s">
        <v>394</v>
      </c>
      <c r="H3" s="20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4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8"/>
      <c r="I4" s="52">
        <v>1</v>
      </c>
      <c r="J4" s="36"/>
      <c r="K4" s="53"/>
      <c r="L4" s="52">
        <v>1</v>
      </c>
      <c r="M4" s="36"/>
      <c r="N4" s="168"/>
      <c r="O4" s="52">
        <v>1</v>
      </c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8"/>
      <c r="I5" s="52"/>
      <c r="J5" s="36"/>
      <c r="K5" s="53"/>
      <c r="L5" s="52"/>
      <c r="M5" s="36"/>
      <c r="N5" s="168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8"/>
      <c r="I6" s="52">
        <v>1</v>
      </c>
      <c r="J6" s="36"/>
      <c r="K6" s="53"/>
      <c r="L6" s="52"/>
      <c r="M6" s="36"/>
      <c r="N6" s="168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4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8">
        <v>1</v>
      </c>
      <c r="I7" s="52">
        <v>1</v>
      </c>
      <c r="J7" s="36"/>
      <c r="K7" s="53"/>
      <c r="L7" s="52">
        <v>1</v>
      </c>
      <c r="M7" s="36"/>
      <c r="N7" s="168"/>
      <c r="O7" s="52">
        <v>1</v>
      </c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8"/>
      <c r="I8" s="52"/>
      <c r="J8" s="36"/>
      <c r="K8" s="53"/>
      <c r="L8" s="52">
        <v>1</v>
      </c>
      <c r="M8" s="36"/>
      <c r="N8" s="168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4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8"/>
      <c r="I9" s="52">
        <v>1</v>
      </c>
      <c r="J9" s="36"/>
      <c r="K9" s="53"/>
      <c r="L9" s="52">
        <v>1</v>
      </c>
      <c r="M9" s="36"/>
      <c r="N9" s="168"/>
      <c r="O9" s="52">
        <v>1</v>
      </c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4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8"/>
      <c r="I10" s="52">
        <v>1</v>
      </c>
      <c r="J10" s="36">
        <v>1</v>
      </c>
      <c r="K10" s="53"/>
      <c r="L10" s="52">
        <v>1</v>
      </c>
      <c r="M10" s="36"/>
      <c r="N10" s="168"/>
      <c r="O10" s="52">
        <v>1</v>
      </c>
      <c r="P10" s="36">
        <v>1</v>
      </c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4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8"/>
      <c r="I11" s="52">
        <v>1</v>
      </c>
      <c r="J11" s="36"/>
      <c r="K11" s="53"/>
      <c r="L11" s="52">
        <v>1</v>
      </c>
      <c r="M11" s="36">
        <v>1</v>
      </c>
      <c r="N11" s="168"/>
      <c r="O11" s="52">
        <v>1</v>
      </c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8"/>
      <c r="I12" s="52">
        <v>1</v>
      </c>
      <c r="J12" s="36"/>
      <c r="K12" s="53"/>
      <c r="L12" s="52"/>
      <c r="M12" s="36"/>
      <c r="N12" s="168"/>
      <c r="O12" s="52">
        <v>1</v>
      </c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1</v>
      </c>
      <c r="D13" s="58">
        <f t="shared" si="2"/>
        <v>0</v>
      </c>
      <c r="E13" s="51">
        <f t="shared" si="3"/>
        <v>0</v>
      </c>
      <c r="F13" s="52"/>
      <c r="G13" s="36"/>
      <c r="H13" s="168"/>
      <c r="I13" s="52"/>
      <c r="J13" s="36"/>
      <c r="K13" s="53"/>
      <c r="L13" s="52"/>
      <c r="M13" s="36"/>
      <c r="N13" s="168"/>
      <c r="O13" s="52">
        <v>1</v>
      </c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8"/>
      <c r="I14" s="52"/>
      <c r="J14" s="36"/>
      <c r="K14" s="53"/>
      <c r="L14" s="52"/>
      <c r="M14" s="36"/>
      <c r="N14" s="168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1">
        <f t="shared" si="3"/>
        <v>0</v>
      </c>
      <c r="F15" s="52"/>
      <c r="G15" s="36"/>
      <c r="H15" s="168"/>
      <c r="I15" s="52"/>
      <c r="J15" s="36"/>
      <c r="K15" s="53"/>
      <c r="L15" s="52">
        <v>1</v>
      </c>
      <c r="M15" s="36"/>
      <c r="N15" s="168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432</v>
      </c>
      <c r="C16" s="58">
        <f t="shared" ref="C16:C37" si="4">SUM(F16,I16,L16,O16,R16,U16,X16,AA16,AD16,AG16,AJ16,AM16,AP16,AS16,AV16,AY16,BB16,BE16,BH16,BK16,BN16,BQ16,BT16,BW16,BZ16,CC16,CF16,CI16,CL16,CO16,CR16,CU16,CX16,DA16,DD16,DG16,DJ16,DM16)</f>
        <v>3</v>
      </c>
      <c r="D16" s="58">
        <f t="shared" ref="D16:D37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37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8"/>
      <c r="I16" s="52">
        <v>1</v>
      </c>
      <c r="J16" s="36"/>
      <c r="K16" s="53"/>
      <c r="L16" s="52">
        <v>1</v>
      </c>
      <c r="M16" s="36"/>
      <c r="N16" s="168"/>
      <c r="O16" s="52">
        <v>1</v>
      </c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4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8"/>
      <c r="I17" s="52">
        <v>1</v>
      </c>
      <c r="J17" s="36"/>
      <c r="K17" s="53"/>
      <c r="L17" s="52">
        <v>1</v>
      </c>
      <c r="M17" s="36"/>
      <c r="N17" s="168">
        <v>1</v>
      </c>
      <c r="O17" s="52">
        <v>1</v>
      </c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8"/>
      <c r="I18" s="52"/>
      <c r="J18" s="36"/>
      <c r="K18" s="53"/>
      <c r="L18" s="52">
        <v>1</v>
      </c>
      <c r="M18" s="36"/>
      <c r="N18" s="168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8"/>
      <c r="I19" s="52"/>
      <c r="J19" s="36"/>
      <c r="K19" s="53"/>
      <c r="L19" s="52"/>
      <c r="M19" s="36"/>
      <c r="N19" s="168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4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8"/>
      <c r="I20" s="52">
        <v>1</v>
      </c>
      <c r="J20" s="36"/>
      <c r="K20" s="53"/>
      <c r="L20" s="52">
        <v>1</v>
      </c>
      <c r="M20" s="36"/>
      <c r="N20" s="168"/>
      <c r="O20" s="52">
        <v>1</v>
      </c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4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8"/>
      <c r="I21" s="52">
        <v>1</v>
      </c>
      <c r="J21" s="36"/>
      <c r="K21" s="53"/>
      <c r="L21" s="52">
        <v>1</v>
      </c>
      <c r="M21" s="36">
        <v>1</v>
      </c>
      <c r="N21" s="168"/>
      <c r="O21" s="52">
        <v>1</v>
      </c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8"/>
      <c r="I22" s="52"/>
      <c r="J22" s="36"/>
      <c r="K22" s="53"/>
      <c r="L22" s="52"/>
      <c r="M22" s="36"/>
      <c r="N22" s="168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4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8">
        <v>1</v>
      </c>
      <c r="I23" s="52">
        <v>1</v>
      </c>
      <c r="J23" s="36"/>
      <c r="K23" s="53">
        <v>1</v>
      </c>
      <c r="L23" s="52">
        <v>1</v>
      </c>
      <c r="M23" s="36"/>
      <c r="N23" s="168"/>
      <c r="O23" s="52">
        <v>1</v>
      </c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8"/>
      <c r="I24" s="52"/>
      <c r="J24" s="36"/>
      <c r="K24" s="53"/>
      <c r="L24" s="52"/>
      <c r="M24" s="36"/>
      <c r="N24" s="168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4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8"/>
      <c r="I25" s="52">
        <v>1</v>
      </c>
      <c r="J25" s="36"/>
      <c r="K25" s="53"/>
      <c r="L25" s="52">
        <v>1</v>
      </c>
      <c r="M25" s="36"/>
      <c r="N25" s="168"/>
      <c r="O25" s="52">
        <v>1</v>
      </c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2</v>
      </c>
      <c r="D26" s="58">
        <f t="shared" si="5"/>
        <v>1</v>
      </c>
      <c r="E26" s="51">
        <f t="shared" si="6"/>
        <v>0</v>
      </c>
      <c r="F26" s="52"/>
      <c r="G26" s="36"/>
      <c r="H26" s="168"/>
      <c r="I26" s="52">
        <v>1</v>
      </c>
      <c r="J26" s="36"/>
      <c r="K26" s="53"/>
      <c r="L26" s="52"/>
      <c r="M26" s="36"/>
      <c r="N26" s="168"/>
      <c r="O26" s="52">
        <v>1</v>
      </c>
      <c r="P26" s="36">
        <v>1</v>
      </c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8"/>
      <c r="I27" s="52"/>
      <c r="J27" s="36"/>
      <c r="K27" s="53"/>
      <c r="L27" s="52"/>
      <c r="M27" s="36"/>
      <c r="N27" s="168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4</v>
      </c>
      <c r="D28" s="58">
        <f t="shared" si="5"/>
        <v>0</v>
      </c>
      <c r="E28" s="51">
        <f t="shared" si="6"/>
        <v>2</v>
      </c>
      <c r="F28" s="52">
        <v>1</v>
      </c>
      <c r="G28" s="36"/>
      <c r="H28" s="168"/>
      <c r="I28" s="52">
        <v>1</v>
      </c>
      <c r="J28" s="36"/>
      <c r="K28" s="53"/>
      <c r="L28" s="52">
        <v>1</v>
      </c>
      <c r="M28" s="36"/>
      <c r="N28" s="168">
        <v>1</v>
      </c>
      <c r="O28" s="52">
        <v>1</v>
      </c>
      <c r="P28" s="36"/>
      <c r="Q28" s="53">
        <v>1</v>
      </c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8"/>
      <c r="I29" s="52"/>
      <c r="J29" s="36"/>
      <c r="K29" s="53"/>
      <c r="L29" s="52"/>
      <c r="M29" s="36"/>
      <c r="N29" s="168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8"/>
      <c r="I30" s="52"/>
      <c r="J30" s="36"/>
      <c r="K30" s="53"/>
      <c r="L30" s="52"/>
      <c r="M30" s="36"/>
      <c r="N30" s="168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1">
        <f t="shared" si="6"/>
        <v>0</v>
      </c>
      <c r="F31" s="52"/>
      <c r="G31" s="36"/>
      <c r="H31" s="168"/>
      <c r="I31" s="52"/>
      <c r="J31" s="36"/>
      <c r="K31" s="53"/>
      <c r="L31" s="52"/>
      <c r="M31" s="36"/>
      <c r="N31" s="168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297</v>
      </c>
      <c r="C32" s="58">
        <f t="shared" si="4"/>
        <v>4</v>
      </c>
      <c r="D32" s="58">
        <f t="shared" si="5"/>
        <v>0</v>
      </c>
      <c r="E32" s="51">
        <f t="shared" si="6"/>
        <v>0</v>
      </c>
      <c r="F32" s="52">
        <v>1</v>
      </c>
      <c r="G32" s="36"/>
      <c r="H32" s="168"/>
      <c r="I32" s="52">
        <v>1</v>
      </c>
      <c r="J32" s="36"/>
      <c r="K32" s="53"/>
      <c r="L32" s="52">
        <v>1</v>
      </c>
      <c r="M32" s="36"/>
      <c r="N32" s="168"/>
      <c r="O32" s="52">
        <v>1</v>
      </c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1">
        <f t="shared" si="6"/>
        <v>0</v>
      </c>
      <c r="F33" s="52"/>
      <c r="G33" s="36"/>
      <c r="H33" s="168"/>
      <c r="I33" s="52"/>
      <c r="J33" s="36"/>
      <c r="K33" s="53"/>
      <c r="L33" s="52"/>
      <c r="M33" s="36"/>
      <c r="N33" s="168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55</v>
      </c>
      <c r="B34" s="37" t="s">
        <v>301</v>
      </c>
      <c r="C34" s="58">
        <f>SUM(F34,I34,L34,O34,R34,U34,X34,AA34,AD34,AG34,AJ34,AM34,AP34,AS34,AV34,AY34,BB34,BE34,BH34,BK34,BN34,BQ34,BT34,BW34,BZ34,CC34,CF34,CI34,CL34,CO34,CR34,CU34,CX34,DA34,DD34,DG34,DJ34,DM34)</f>
        <v>0</v>
      </c>
      <c r="D34" s="58">
        <f>SUM(G34,J34,M34,P34,S34,V34,Y34,AB34,AE34,AH34,AK34,AN34,AQ34,AT34,AW34,AZ34,BC34,BF34,BI34,BL34,BO34,BR34,BU34,BX34,CA34,CD34,CG34,CJ34,CM34,CP34,CS34,CV34,CY34,DB34,DE34,DH34,DK34,DN34)</f>
        <v>0</v>
      </c>
      <c r="E34" s="51">
        <f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8"/>
      <c r="I34" s="52"/>
      <c r="J34" s="36"/>
      <c r="K34" s="53"/>
      <c r="L34" s="52"/>
      <c r="M34" s="36"/>
      <c r="N34" s="168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1">
        <f t="shared" si="6"/>
        <v>0</v>
      </c>
      <c r="F35" s="52"/>
      <c r="G35" s="36"/>
      <c r="H35" s="168"/>
      <c r="I35" s="52"/>
      <c r="J35" s="36"/>
      <c r="K35" s="53"/>
      <c r="L35" s="52"/>
      <c r="M35" s="36"/>
      <c r="N35" s="168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1">
        <f t="shared" si="6"/>
        <v>0</v>
      </c>
      <c r="F36" s="52"/>
      <c r="G36" s="36"/>
      <c r="H36" s="168"/>
      <c r="I36" s="52"/>
      <c r="J36" s="36"/>
      <c r="K36" s="53"/>
      <c r="L36" s="52"/>
      <c r="M36" s="36"/>
      <c r="N36" s="168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ht="15.75" thickBot="1" x14ac:dyDescent="0.3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1">
        <f t="shared" si="6"/>
        <v>0</v>
      </c>
      <c r="F37" s="146"/>
      <c r="G37" s="163"/>
      <c r="H37" s="203"/>
      <c r="I37" s="146"/>
      <c r="J37" s="163"/>
      <c r="K37" s="147"/>
      <c r="L37" s="146"/>
      <c r="M37" s="163"/>
      <c r="N37" s="203"/>
      <c r="O37" s="146"/>
      <c r="P37" s="163"/>
      <c r="Q37" s="147"/>
      <c r="R37" s="146"/>
      <c r="S37" s="163"/>
      <c r="T37" s="147"/>
      <c r="U37" s="146"/>
      <c r="V37" s="163"/>
      <c r="W37" s="147"/>
      <c r="X37" s="146"/>
      <c r="Y37" s="163"/>
      <c r="Z37" s="147"/>
      <c r="AA37" s="146"/>
      <c r="AB37" s="163"/>
      <c r="AC37" s="147"/>
      <c r="AD37" s="146"/>
      <c r="AE37" s="163"/>
      <c r="AF37" s="147"/>
      <c r="AG37" s="146"/>
      <c r="AH37" s="163"/>
      <c r="AI37" s="147"/>
      <c r="AJ37" s="146"/>
      <c r="AK37" s="163"/>
      <c r="AL37" s="147"/>
      <c r="AM37" s="146"/>
      <c r="AN37" s="163"/>
      <c r="AO37" s="147"/>
      <c r="AP37" s="146"/>
      <c r="AQ37" s="163"/>
      <c r="AR37" s="147"/>
      <c r="AS37" s="146"/>
      <c r="AT37" s="163"/>
      <c r="AU37" s="147"/>
      <c r="AV37" s="146"/>
      <c r="AW37" s="163"/>
      <c r="AX37" s="147"/>
      <c r="AY37" s="146"/>
      <c r="AZ37" s="163"/>
      <c r="BA37" s="147"/>
      <c r="BB37" s="146"/>
      <c r="BC37" s="163"/>
      <c r="BD37" s="147"/>
      <c r="BE37" s="146"/>
      <c r="BF37" s="163"/>
      <c r="BG37" s="147"/>
      <c r="BH37" s="146"/>
      <c r="BI37" s="163"/>
      <c r="BJ37" s="147"/>
      <c r="BK37" s="146"/>
      <c r="BL37" s="163"/>
      <c r="BM37" s="147"/>
      <c r="BN37" s="146"/>
      <c r="BO37" s="163"/>
      <c r="BP37" s="147"/>
      <c r="BQ37" s="146"/>
      <c r="BR37" s="163"/>
      <c r="BS37" s="147"/>
      <c r="BT37" s="146"/>
      <c r="BU37" s="163"/>
      <c r="BV37" s="147"/>
      <c r="BW37" s="146"/>
      <c r="BX37" s="163"/>
      <c r="BY37" s="147"/>
      <c r="BZ37" s="146"/>
      <c r="CA37" s="163"/>
      <c r="CB37" s="147"/>
      <c r="CC37" s="146"/>
      <c r="CD37" s="163"/>
      <c r="CE37" s="147"/>
      <c r="CF37" s="146"/>
      <c r="CG37" s="163"/>
      <c r="CH37" s="147"/>
      <c r="CI37" s="146"/>
      <c r="CJ37" s="163"/>
      <c r="CK37" s="147"/>
      <c r="CL37" s="146"/>
      <c r="CM37" s="163"/>
      <c r="CN37" s="147"/>
      <c r="CO37" s="146"/>
      <c r="CP37" s="163"/>
      <c r="CQ37" s="147"/>
      <c r="CR37" s="146"/>
      <c r="CS37" s="163"/>
      <c r="CT37" s="147"/>
      <c r="CU37" s="146"/>
      <c r="CV37" s="163"/>
      <c r="CW37" s="147"/>
      <c r="CX37" s="146"/>
      <c r="CY37" s="163"/>
      <c r="CZ37" s="147"/>
      <c r="DA37" s="146"/>
      <c r="DB37" s="163"/>
      <c r="DC37" s="147"/>
      <c r="DD37" s="146"/>
      <c r="DE37" s="163"/>
      <c r="DF37" s="147"/>
      <c r="DG37" s="146"/>
      <c r="DH37" s="163"/>
      <c r="DI37" s="147"/>
      <c r="DJ37" s="146"/>
      <c r="DK37" s="163"/>
      <c r="DL37" s="147"/>
      <c r="DM37" s="146"/>
      <c r="DN37" s="163"/>
      <c r="DO37" s="147"/>
    </row>
    <row r="38" spans="1:119" s="54" customFormat="1" x14ac:dyDescent="0.25">
      <c r="A38"/>
      <c r="B38"/>
      <c r="C38"/>
      <c r="D38"/>
      <c r="E38"/>
      <c r="F38" s="73">
        <f t="shared" ref="F38:AK38" si="8">SUM(F4:F37)</f>
        <v>16</v>
      </c>
      <c r="G38" s="73">
        <f t="shared" si="8"/>
        <v>3</v>
      </c>
      <c r="H38" s="73">
        <f t="shared" si="8"/>
        <v>2</v>
      </c>
      <c r="I38" s="73">
        <f t="shared" si="8"/>
        <v>16</v>
      </c>
      <c r="J38" s="73">
        <f t="shared" si="8"/>
        <v>1</v>
      </c>
      <c r="K38" s="73">
        <f t="shared" si="8"/>
        <v>1</v>
      </c>
      <c r="L38" s="73">
        <f t="shared" si="8"/>
        <v>16</v>
      </c>
      <c r="M38" s="73">
        <f t="shared" si="8"/>
        <v>2</v>
      </c>
      <c r="N38" s="73">
        <f t="shared" si="8"/>
        <v>2</v>
      </c>
      <c r="O38" s="73">
        <f t="shared" si="8"/>
        <v>16</v>
      </c>
      <c r="P38" s="73">
        <f t="shared" si="8"/>
        <v>2</v>
      </c>
      <c r="Q38" s="73">
        <f t="shared" si="8"/>
        <v>1</v>
      </c>
      <c r="R38" s="73">
        <f t="shared" si="8"/>
        <v>0</v>
      </c>
      <c r="S38" s="73">
        <f t="shared" si="8"/>
        <v>0</v>
      </c>
      <c r="T38" s="73">
        <f t="shared" si="8"/>
        <v>0</v>
      </c>
      <c r="U38" s="73">
        <f t="shared" si="8"/>
        <v>0</v>
      </c>
      <c r="V38" s="73">
        <f t="shared" si="8"/>
        <v>0</v>
      </c>
      <c r="W38" s="73">
        <f t="shared" si="8"/>
        <v>0</v>
      </c>
      <c r="X38" s="73">
        <f t="shared" si="8"/>
        <v>0</v>
      </c>
      <c r="Y38" s="73">
        <f t="shared" si="8"/>
        <v>0</v>
      </c>
      <c r="Z38" s="73">
        <f t="shared" si="8"/>
        <v>0</v>
      </c>
      <c r="AA38" s="73">
        <f t="shared" si="8"/>
        <v>0</v>
      </c>
      <c r="AB38" s="73">
        <f t="shared" si="8"/>
        <v>0</v>
      </c>
      <c r="AC38" s="73">
        <f t="shared" si="8"/>
        <v>0</v>
      </c>
      <c r="AD38" s="73">
        <f t="shared" si="8"/>
        <v>0</v>
      </c>
      <c r="AE38" s="73">
        <f t="shared" si="8"/>
        <v>0</v>
      </c>
      <c r="AF38" s="73">
        <f t="shared" si="8"/>
        <v>0</v>
      </c>
      <c r="AG38" s="73">
        <f t="shared" si="8"/>
        <v>0</v>
      </c>
      <c r="AH38" s="73">
        <f t="shared" si="8"/>
        <v>0</v>
      </c>
      <c r="AI38" s="73">
        <f t="shared" si="8"/>
        <v>0</v>
      </c>
      <c r="AJ38" s="73">
        <f t="shared" si="8"/>
        <v>0</v>
      </c>
      <c r="AK38" s="73">
        <f t="shared" si="8"/>
        <v>0</v>
      </c>
      <c r="AL38" s="73">
        <f t="shared" ref="AL38:BQ38" si="9">SUM(AL4:AL37)</f>
        <v>0</v>
      </c>
      <c r="AM38" s="73">
        <f t="shared" si="9"/>
        <v>0</v>
      </c>
      <c r="AN38" s="73">
        <f t="shared" si="9"/>
        <v>0</v>
      </c>
      <c r="AO38" s="73">
        <f t="shared" si="9"/>
        <v>0</v>
      </c>
      <c r="AP38" s="73">
        <f t="shared" si="9"/>
        <v>0</v>
      </c>
      <c r="AQ38" s="73">
        <f t="shared" si="9"/>
        <v>0</v>
      </c>
      <c r="AR38" s="73">
        <f t="shared" si="9"/>
        <v>0</v>
      </c>
      <c r="AS38" s="73">
        <f t="shared" si="9"/>
        <v>0</v>
      </c>
      <c r="AT38" s="73">
        <f t="shared" si="9"/>
        <v>0</v>
      </c>
      <c r="AU38" s="73">
        <f t="shared" si="9"/>
        <v>0</v>
      </c>
      <c r="AV38" s="73">
        <f t="shared" si="9"/>
        <v>0</v>
      </c>
      <c r="AW38" s="73">
        <f t="shared" si="9"/>
        <v>0</v>
      </c>
      <c r="AX38" s="73">
        <f t="shared" si="9"/>
        <v>0</v>
      </c>
      <c r="AY38" s="73">
        <f t="shared" si="9"/>
        <v>0</v>
      </c>
      <c r="AZ38" s="73">
        <f t="shared" si="9"/>
        <v>0</v>
      </c>
      <c r="BA38" s="73">
        <f t="shared" si="9"/>
        <v>0</v>
      </c>
      <c r="BB38" s="73">
        <f t="shared" si="9"/>
        <v>0</v>
      </c>
      <c r="BC38" s="73">
        <f t="shared" si="9"/>
        <v>0</v>
      </c>
      <c r="BD38" s="73">
        <f t="shared" si="9"/>
        <v>0</v>
      </c>
      <c r="BE38" s="73">
        <f t="shared" si="9"/>
        <v>0</v>
      </c>
      <c r="BF38" s="73">
        <f t="shared" si="9"/>
        <v>0</v>
      </c>
      <c r="BG38" s="73">
        <f t="shared" si="9"/>
        <v>0</v>
      </c>
      <c r="BH38" s="73">
        <f t="shared" si="9"/>
        <v>0</v>
      </c>
      <c r="BI38" s="73">
        <f t="shared" si="9"/>
        <v>0</v>
      </c>
      <c r="BJ38" s="73">
        <f t="shared" si="9"/>
        <v>0</v>
      </c>
      <c r="BK38" s="73">
        <f t="shared" si="9"/>
        <v>0</v>
      </c>
      <c r="BL38" s="73">
        <f t="shared" si="9"/>
        <v>0</v>
      </c>
      <c r="BM38" s="73">
        <f t="shared" si="9"/>
        <v>0</v>
      </c>
      <c r="BN38" s="73">
        <f t="shared" si="9"/>
        <v>0</v>
      </c>
      <c r="BO38" s="73">
        <f t="shared" si="9"/>
        <v>0</v>
      </c>
      <c r="BP38" s="73">
        <f t="shared" si="9"/>
        <v>0</v>
      </c>
      <c r="BQ38" s="73">
        <f t="shared" si="9"/>
        <v>0</v>
      </c>
      <c r="BR38" s="73">
        <f t="shared" ref="BR38:CW38" si="10">SUM(BR4:BR37)</f>
        <v>0</v>
      </c>
      <c r="BS38" s="73">
        <f t="shared" si="10"/>
        <v>0</v>
      </c>
      <c r="BT38" s="73">
        <f t="shared" si="10"/>
        <v>0</v>
      </c>
      <c r="BU38" s="73">
        <f t="shared" si="10"/>
        <v>0</v>
      </c>
      <c r="BV38" s="73">
        <f t="shared" si="10"/>
        <v>0</v>
      </c>
      <c r="BW38" s="73">
        <f t="shared" si="10"/>
        <v>0</v>
      </c>
      <c r="BX38" s="73">
        <f t="shared" si="10"/>
        <v>0</v>
      </c>
      <c r="BY38" s="73">
        <f t="shared" si="10"/>
        <v>0</v>
      </c>
      <c r="BZ38" s="73">
        <f t="shared" si="10"/>
        <v>0</v>
      </c>
      <c r="CA38" s="73">
        <f t="shared" si="10"/>
        <v>0</v>
      </c>
      <c r="CB38" s="73">
        <f t="shared" si="10"/>
        <v>0</v>
      </c>
      <c r="CC38" s="73">
        <f t="shared" si="10"/>
        <v>0</v>
      </c>
      <c r="CD38" s="73">
        <f t="shared" si="10"/>
        <v>0</v>
      </c>
      <c r="CE38" s="73">
        <f t="shared" si="10"/>
        <v>0</v>
      </c>
      <c r="CF38" s="73">
        <f t="shared" si="10"/>
        <v>0</v>
      </c>
      <c r="CG38" s="73">
        <f t="shared" si="10"/>
        <v>0</v>
      </c>
      <c r="CH38" s="73">
        <f t="shared" si="10"/>
        <v>0</v>
      </c>
      <c r="CI38" s="73">
        <f t="shared" si="10"/>
        <v>0</v>
      </c>
      <c r="CJ38" s="73">
        <f t="shared" si="10"/>
        <v>0</v>
      </c>
      <c r="CK38" s="73">
        <f t="shared" si="10"/>
        <v>0</v>
      </c>
      <c r="CL38" s="73">
        <f t="shared" si="10"/>
        <v>0</v>
      </c>
      <c r="CM38" s="73">
        <f t="shared" si="10"/>
        <v>0</v>
      </c>
      <c r="CN38" s="73">
        <f t="shared" si="10"/>
        <v>0</v>
      </c>
      <c r="CO38" s="73">
        <f t="shared" si="10"/>
        <v>0</v>
      </c>
      <c r="CP38" s="73">
        <f t="shared" si="10"/>
        <v>0</v>
      </c>
      <c r="CQ38" s="73">
        <f t="shared" si="10"/>
        <v>0</v>
      </c>
      <c r="CR38" s="73">
        <f t="shared" si="10"/>
        <v>0</v>
      </c>
      <c r="CS38" s="73">
        <f t="shared" si="10"/>
        <v>0</v>
      </c>
      <c r="CT38" s="73">
        <f t="shared" si="10"/>
        <v>0</v>
      </c>
      <c r="CU38" s="73">
        <f t="shared" si="10"/>
        <v>0</v>
      </c>
      <c r="CV38" s="73">
        <f t="shared" si="10"/>
        <v>0</v>
      </c>
      <c r="CW38" s="73">
        <f t="shared" si="10"/>
        <v>0</v>
      </c>
      <c r="CX38" s="73">
        <f t="shared" ref="CX38:DO38" si="11">SUM(CX4:CX37)</f>
        <v>0</v>
      </c>
      <c r="CY38" s="73">
        <f t="shared" si="11"/>
        <v>0</v>
      </c>
      <c r="CZ38" s="73">
        <f t="shared" si="11"/>
        <v>0</v>
      </c>
      <c r="DA38" s="73">
        <f t="shared" si="11"/>
        <v>0</v>
      </c>
      <c r="DB38" s="73">
        <f t="shared" si="11"/>
        <v>0</v>
      </c>
      <c r="DC38" s="73">
        <f t="shared" si="11"/>
        <v>0</v>
      </c>
      <c r="DD38" s="73">
        <f t="shared" si="11"/>
        <v>0</v>
      </c>
      <c r="DE38" s="73">
        <f t="shared" si="11"/>
        <v>0</v>
      </c>
      <c r="DF38" s="73">
        <f t="shared" si="11"/>
        <v>0</v>
      </c>
      <c r="DG38" s="73">
        <f t="shared" si="11"/>
        <v>0</v>
      </c>
      <c r="DH38" s="73">
        <f t="shared" si="11"/>
        <v>0</v>
      </c>
      <c r="DI38" s="73">
        <f t="shared" si="11"/>
        <v>0</v>
      </c>
      <c r="DJ38" s="73">
        <f t="shared" si="11"/>
        <v>0</v>
      </c>
      <c r="DK38" s="73">
        <f t="shared" si="11"/>
        <v>0</v>
      </c>
      <c r="DL38" s="73">
        <f t="shared" si="11"/>
        <v>0</v>
      </c>
      <c r="DM38" s="73">
        <f t="shared" si="11"/>
        <v>0</v>
      </c>
      <c r="DN38" s="73">
        <f t="shared" si="11"/>
        <v>0</v>
      </c>
      <c r="DO38" s="73">
        <f t="shared" si="11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7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8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8"/>
  <sheetViews>
    <sheetView zoomScale="85" zoomScaleNormal="85" workbookViewId="0">
      <selection activeCell="O3" sqref="O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7" t="s">
        <v>396</v>
      </c>
      <c r="D1" s="237" t="s">
        <v>397</v>
      </c>
      <c r="E1" s="237" t="s">
        <v>398</v>
      </c>
      <c r="F1" s="228" t="s">
        <v>302</v>
      </c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30"/>
      <c r="AD1" s="240" t="s">
        <v>281</v>
      </c>
      <c r="AE1" s="241"/>
      <c r="AF1" s="241"/>
      <c r="AG1" s="241"/>
      <c r="AH1" s="241"/>
      <c r="AI1" s="242"/>
      <c r="AJ1" s="228" t="s">
        <v>282</v>
      </c>
      <c r="AK1" s="229"/>
      <c r="AL1" s="229"/>
      <c r="AM1" s="229"/>
      <c r="AN1" s="229"/>
      <c r="AO1" s="230"/>
      <c r="AP1" s="231" t="s">
        <v>283</v>
      </c>
      <c r="AQ1" s="232"/>
      <c r="AR1" s="232"/>
      <c r="AS1" s="232"/>
      <c r="AT1" s="232"/>
      <c r="AU1" s="233"/>
      <c r="AV1" s="234" t="s">
        <v>86</v>
      </c>
      <c r="AW1" s="235"/>
      <c r="AX1" s="236"/>
    </row>
    <row r="2" spans="1:50" x14ac:dyDescent="0.25">
      <c r="A2" s="3"/>
      <c r="B2" s="5"/>
      <c r="C2" s="238"/>
      <c r="D2" s="238"/>
      <c r="E2" s="238"/>
      <c r="F2" s="225" t="s">
        <v>468</v>
      </c>
      <c r="G2" s="226"/>
      <c r="H2" s="227"/>
      <c r="I2" s="225" t="s">
        <v>483</v>
      </c>
      <c r="J2" s="226"/>
      <c r="K2" s="227"/>
      <c r="L2" s="225" t="s">
        <v>484</v>
      </c>
      <c r="M2" s="226"/>
      <c r="N2" s="227"/>
      <c r="O2" s="225" t="s">
        <v>485</v>
      </c>
      <c r="P2" s="226"/>
      <c r="Q2" s="227"/>
      <c r="R2" s="225" t="s">
        <v>486</v>
      </c>
      <c r="S2" s="226"/>
      <c r="T2" s="227"/>
      <c r="U2" s="225" t="s">
        <v>487</v>
      </c>
      <c r="V2" s="226"/>
      <c r="W2" s="227"/>
      <c r="X2" s="225" t="s">
        <v>488</v>
      </c>
      <c r="Y2" s="226"/>
      <c r="Z2" s="227"/>
      <c r="AA2" s="225" t="s">
        <v>489</v>
      </c>
      <c r="AB2" s="226"/>
      <c r="AC2" s="226"/>
      <c r="AD2" s="225"/>
      <c r="AE2" s="226"/>
      <c r="AF2" s="227"/>
      <c r="AG2" s="225"/>
      <c r="AH2" s="226"/>
      <c r="AI2" s="227"/>
      <c r="AJ2" s="225"/>
      <c r="AK2" s="226"/>
      <c r="AL2" s="227"/>
      <c r="AM2" s="225"/>
      <c r="AN2" s="226"/>
      <c r="AO2" s="227"/>
      <c r="AP2" s="225"/>
      <c r="AQ2" s="226"/>
      <c r="AR2" s="227"/>
      <c r="AS2" s="225"/>
      <c r="AT2" s="226"/>
      <c r="AU2" s="227"/>
      <c r="AV2" s="225"/>
      <c r="AW2" s="226"/>
      <c r="AX2" s="227"/>
    </row>
    <row r="3" spans="1:50" x14ac:dyDescent="0.25">
      <c r="A3" s="3" t="s">
        <v>48</v>
      </c>
      <c r="B3" s="5" t="s">
        <v>1</v>
      </c>
      <c r="C3" s="239"/>
      <c r="D3" s="239"/>
      <c r="E3" s="239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432</v>
      </c>
      <c r="C16" s="58">
        <f t="shared" ref="C16:C37" si="4">SUM(F16,I16,L16,O16,R16,X16,AA16,AD16,U16,AG16,AJ16,AM16,AP16,AS16,AV16)</f>
        <v>1</v>
      </c>
      <c r="D16" s="58">
        <f t="shared" ref="D16:D37" si="5">SUM(G16,J16,M16,P16,S16,Y16,AB16,AE16,V16,AH16,AK16,AN16,AQ16,AT16,AW16)</f>
        <v>0</v>
      </c>
      <c r="E16" s="58">
        <f t="shared" ref="E16:E37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6"/>
      <c r="H27" s="50"/>
      <c r="I27" s="49"/>
      <c r="J27" s="166"/>
      <c r="K27" s="50"/>
      <c r="L27" s="49"/>
      <c r="M27" s="166"/>
      <c r="N27" s="50"/>
      <c r="O27" s="49"/>
      <c r="P27" s="166"/>
      <c r="Q27" s="50"/>
      <c r="R27" s="49"/>
      <c r="S27" s="166"/>
      <c r="T27" s="50"/>
      <c r="U27" s="49"/>
      <c r="V27" s="166"/>
      <c r="W27" s="50"/>
      <c r="X27" s="49"/>
      <c r="Y27" s="166"/>
      <c r="Z27" s="50"/>
      <c r="AA27" s="49"/>
      <c r="AB27" s="166"/>
      <c r="AC27" s="169"/>
      <c r="AD27" s="49"/>
      <c r="AE27" s="166"/>
      <c r="AF27" s="50"/>
      <c r="AG27" s="49"/>
      <c r="AH27" s="166"/>
      <c r="AI27" s="50"/>
      <c r="AJ27" s="49"/>
      <c r="AK27" s="166"/>
      <c r="AL27" s="50"/>
      <c r="AM27" s="49"/>
      <c r="AN27" s="166"/>
      <c r="AO27" s="50"/>
      <c r="AP27" s="49"/>
      <c r="AQ27" s="166"/>
      <c r="AR27" s="50"/>
      <c r="AS27" s="49"/>
      <c r="AT27" s="166"/>
      <c r="AU27" s="50"/>
      <c r="AV27" s="49"/>
      <c r="AW27" s="166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297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55</v>
      </c>
      <c r="B34" s="37" t="s">
        <v>301</v>
      </c>
      <c r="C34" s="58">
        <f>SUM(F34,I34,L34,O34,R34,X34,AA34,AD34,U34,AG34,AJ34,AM34,AP34,AS34,AV34)</f>
        <v>0</v>
      </c>
      <c r="D34" s="58">
        <f>SUM(G34,J34,M34,P34,S34,Y34,AB34,AE34,V34,AH34,AK34,AN34,AQ34,AT34,AW34)</f>
        <v>0</v>
      </c>
      <c r="E34" s="58">
        <f>SUM(H34,K34,N34,Q34,T34,Z34,AC34,AF34,W34,AI34,AL34,AO34,AR34,AU34,AX34)</f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ht="15.75" thickBot="1" x14ac:dyDescent="0.3">
      <c r="F38" s="172">
        <f t="shared" ref="F38:AX38" si="8">SUM(F4:F37)</f>
        <v>16</v>
      </c>
      <c r="G38" s="173">
        <f t="shared" si="8"/>
        <v>1</v>
      </c>
      <c r="H38" s="174">
        <f t="shared" si="8"/>
        <v>1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  <c r="X38" s="172">
        <f t="shared" si="8"/>
        <v>0</v>
      </c>
      <c r="Y38" s="173">
        <f t="shared" si="8"/>
        <v>0</v>
      </c>
      <c r="Z38" s="174">
        <f t="shared" si="8"/>
        <v>0</v>
      </c>
      <c r="AA38" s="172">
        <f t="shared" si="8"/>
        <v>0</v>
      </c>
      <c r="AB38" s="173">
        <f t="shared" si="8"/>
        <v>0</v>
      </c>
      <c r="AC38" s="175">
        <f t="shared" si="8"/>
        <v>0</v>
      </c>
      <c r="AD38" s="172">
        <f t="shared" si="8"/>
        <v>0</v>
      </c>
      <c r="AE38" s="173">
        <f t="shared" si="8"/>
        <v>0</v>
      </c>
      <c r="AF38" s="174">
        <f t="shared" si="8"/>
        <v>0</v>
      </c>
      <c r="AG38" s="172">
        <f t="shared" si="8"/>
        <v>0</v>
      </c>
      <c r="AH38" s="173">
        <f t="shared" si="8"/>
        <v>0</v>
      </c>
      <c r="AI38" s="174">
        <f t="shared" si="8"/>
        <v>0</v>
      </c>
      <c r="AJ38" s="172">
        <f t="shared" si="8"/>
        <v>0</v>
      </c>
      <c r="AK38" s="173">
        <f t="shared" si="8"/>
        <v>0</v>
      </c>
      <c r="AL38" s="174">
        <f t="shared" si="8"/>
        <v>0</v>
      </c>
      <c r="AM38" s="172">
        <f t="shared" si="8"/>
        <v>0</v>
      </c>
      <c r="AN38" s="173">
        <f t="shared" si="8"/>
        <v>0</v>
      </c>
      <c r="AO38" s="174">
        <f t="shared" si="8"/>
        <v>0</v>
      </c>
      <c r="AP38" s="172">
        <f t="shared" si="8"/>
        <v>0</v>
      </c>
      <c r="AQ38" s="173">
        <f t="shared" si="8"/>
        <v>0</v>
      </c>
      <c r="AR38" s="174">
        <f t="shared" si="8"/>
        <v>0</v>
      </c>
      <c r="AS38" s="172">
        <f t="shared" si="8"/>
        <v>0</v>
      </c>
      <c r="AT38" s="173">
        <f t="shared" si="8"/>
        <v>0</v>
      </c>
      <c r="AU38" s="174">
        <f t="shared" si="8"/>
        <v>0</v>
      </c>
      <c r="AV38" s="172">
        <f t="shared" si="8"/>
        <v>0</v>
      </c>
      <c r="AW38" s="173">
        <f t="shared" si="8"/>
        <v>0</v>
      </c>
      <c r="AX38" s="174">
        <f t="shared" si="8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1">
    <cfRule type="cellIs" dxfId="15" priority="1" operator="equal">
      <formula>1</formula>
    </cfRule>
  </conditionalFormatting>
  <conditionalFormatting sqref="F4:AW37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8"/>
  <sheetViews>
    <sheetView zoomScale="85" zoomScaleNormal="85" zoomScalePageLayoutView="130" workbookViewId="0">
      <selection activeCell="A13" sqref="A13:XFD13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7" t="s">
        <v>396</v>
      </c>
      <c r="D1" s="237" t="s">
        <v>397</v>
      </c>
      <c r="E1" s="237" t="s">
        <v>398</v>
      </c>
      <c r="F1" s="267" t="s">
        <v>87</v>
      </c>
      <c r="G1" s="268"/>
      <c r="H1" s="269"/>
      <c r="I1" s="270" t="s">
        <v>88</v>
      </c>
      <c r="J1" s="271"/>
      <c r="K1" s="272"/>
      <c r="L1" s="274" t="s">
        <v>89</v>
      </c>
      <c r="M1" s="275"/>
      <c r="N1" s="276"/>
      <c r="O1" s="277" t="s">
        <v>199</v>
      </c>
      <c r="P1" s="278"/>
      <c r="Q1" s="279"/>
      <c r="R1" s="243" t="s">
        <v>200</v>
      </c>
      <c r="S1" s="244"/>
      <c r="T1" s="245"/>
      <c r="U1" s="246" t="s">
        <v>306</v>
      </c>
      <c r="V1" s="247"/>
      <c r="W1" s="248"/>
    </row>
    <row r="2" spans="1:23" x14ac:dyDescent="0.25">
      <c r="A2" s="3"/>
      <c r="B2" s="5"/>
      <c r="C2" s="238"/>
      <c r="D2" s="238"/>
      <c r="E2" s="238"/>
      <c r="F2" s="249"/>
      <c r="G2" s="250"/>
      <c r="H2" s="251"/>
      <c r="I2" s="264"/>
      <c r="J2" s="265"/>
      <c r="K2" s="266"/>
      <c r="L2" s="261"/>
      <c r="M2" s="262"/>
      <c r="N2" s="263"/>
      <c r="O2" s="258"/>
      <c r="P2" s="259"/>
      <c r="Q2" s="260"/>
      <c r="R2" s="255"/>
      <c r="S2" s="256"/>
      <c r="T2" s="257"/>
      <c r="U2" s="252"/>
      <c r="V2" s="253"/>
      <c r="W2" s="254"/>
    </row>
    <row r="3" spans="1:23" ht="15.75" thickBot="1" x14ac:dyDescent="0.3">
      <c r="A3" s="3" t="s">
        <v>48</v>
      </c>
      <c r="B3" s="17" t="s">
        <v>1</v>
      </c>
      <c r="C3" s="273"/>
      <c r="D3" s="273"/>
      <c r="E3" s="27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7" si="2">SUM(F6,I6,L6,O6,R6,U6)</f>
        <v>0</v>
      </c>
      <c r="D6" s="58">
        <f t="shared" ref="D6:D37" si="3">SUM(G6,J6,M6,P6,S6,V6)</f>
        <v>0</v>
      </c>
      <c r="E6" s="58">
        <f t="shared" ref="E6:E37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ht="15.75" thickBot="1" x14ac:dyDescent="0.3">
      <c r="A34" s="28">
        <v>55</v>
      </c>
      <c r="B34" s="37" t="s">
        <v>301</v>
      </c>
      <c r="C34" s="164">
        <f t="shared" ref="C34" si="6">SUM(F34,I34,L34,O34,R34,U34)</f>
        <v>0</v>
      </c>
      <c r="D34" s="192">
        <f t="shared" ref="D34:E34" si="7">SUM(G34,J34,M34,P34,S34,V34)</f>
        <v>0</v>
      </c>
      <c r="E34" s="192">
        <f t="shared" si="7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1">
    <cfRule type="cellIs" dxfId="13" priority="1" operator="equal">
      <formula>1</formula>
    </cfRule>
  </conditionalFormatting>
  <conditionalFormatting sqref="F4:W37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8"/>
  <sheetViews>
    <sheetView zoomScale="83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7" t="s">
        <v>396</v>
      </c>
      <c r="D1" s="237" t="s">
        <v>397</v>
      </c>
      <c r="E1" s="237" t="s">
        <v>398</v>
      </c>
      <c r="F1" s="267" t="s">
        <v>87</v>
      </c>
      <c r="G1" s="268"/>
      <c r="H1" s="269"/>
      <c r="I1" s="270" t="s">
        <v>88</v>
      </c>
      <c r="J1" s="271"/>
      <c r="K1" s="272"/>
      <c r="L1" s="274" t="s">
        <v>89</v>
      </c>
      <c r="M1" s="275"/>
      <c r="N1" s="276"/>
      <c r="O1" s="277" t="s">
        <v>199</v>
      </c>
      <c r="P1" s="278"/>
      <c r="Q1" s="279"/>
      <c r="R1" s="243" t="s">
        <v>200</v>
      </c>
      <c r="S1" s="244"/>
      <c r="T1" s="245"/>
      <c r="U1" s="246" t="s">
        <v>306</v>
      </c>
      <c r="V1" s="247"/>
      <c r="W1" s="248"/>
    </row>
    <row r="2" spans="1:23" x14ac:dyDescent="0.25">
      <c r="A2" s="3"/>
      <c r="B2" s="17"/>
      <c r="C2" s="238"/>
      <c r="D2" s="238"/>
      <c r="E2" s="238"/>
      <c r="F2" s="249" t="s">
        <v>433</v>
      </c>
      <c r="G2" s="250"/>
      <c r="H2" s="251"/>
      <c r="I2" s="264"/>
      <c r="J2" s="265"/>
      <c r="K2" s="266"/>
      <c r="L2" s="261"/>
      <c r="M2" s="262"/>
      <c r="N2" s="263"/>
      <c r="O2" s="258"/>
      <c r="P2" s="259"/>
      <c r="Q2" s="260"/>
      <c r="R2" s="255"/>
      <c r="S2" s="256"/>
      <c r="T2" s="257"/>
      <c r="U2" s="252"/>
      <c r="V2" s="253"/>
      <c r="W2" s="254"/>
    </row>
    <row r="3" spans="1:23" ht="15.75" thickBot="1" x14ac:dyDescent="0.3">
      <c r="A3" s="3" t="s">
        <v>48</v>
      </c>
      <c r="B3" s="17" t="s">
        <v>1</v>
      </c>
      <c r="C3" s="273"/>
      <c r="D3" s="273"/>
      <c r="E3" s="27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ref="C16:C37" si="2">SUM(F16,I16,L16,O16,R16,U16)</f>
        <v>0</v>
      </c>
      <c r="D16" s="51">
        <f t="shared" ref="D16:D37" si="3">SUM(G16,J16,M16,P16,S16,V16)</f>
        <v>0</v>
      </c>
      <c r="E16" s="58">
        <f t="shared" ref="E16:E37" si="4">SUM(H16,K16,N16,Q16,T16,W16)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1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55</v>
      </c>
      <c r="B34" s="37" t="s">
        <v>301</v>
      </c>
      <c r="C34" s="58">
        <f>SUM(F34,I34,L34,O34,R34,U34)</f>
        <v>0</v>
      </c>
      <c r="D34" s="51">
        <f>SUM(G34,J34,M34,P34,S34,V34)</f>
        <v>0</v>
      </c>
      <c r="E34" s="58">
        <f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6">SUM(F4:F37)</f>
        <v>0</v>
      </c>
      <c r="G38" s="173">
        <f t="shared" si="6"/>
        <v>0</v>
      </c>
      <c r="H38" s="174">
        <f t="shared" si="6"/>
        <v>0</v>
      </c>
      <c r="I38" s="172">
        <f t="shared" si="6"/>
        <v>0</v>
      </c>
      <c r="J38" s="173">
        <f t="shared" si="6"/>
        <v>0</v>
      </c>
      <c r="K38" s="174">
        <f t="shared" si="6"/>
        <v>0</v>
      </c>
      <c r="L38" s="172">
        <f t="shared" si="6"/>
        <v>0</v>
      </c>
      <c r="M38" s="173">
        <f t="shared" si="6"/>
        <v>0</v>
      </c>
      <c r="N38" s="174">
        <f t="shared" si="6"/>
        <v>0</v>
      </c>
      <c r="O38" s="172">
        <f t="shared" si="6"/>
        <v>0</v>
      </c>
      <c r="P38" s="173">
        <f t="shared" si="6"/>
        <v>0</v>
      </c>
      <c r="Q38" s="174">
        <f t="shared" si="6"/>
        <v>0</v>
      </c>
      <c r="R38" s="172">
        <f t="shared" si="6"/>
        <v>0</v>
      </c>
      <c r="S38" s="173">
        <f t="shared" si="6"/>
        <v>0</v>
      </c>
      <c r="T38" s="174">
        <f t="shared" si="6"/>
        <v>0</v>
      </c>
      <c r="U38" s="172">
        <f t="shared" si="6"/>
        <v>0</v>
      </c>
      <c r="V38" s="173">
        <f t="shared" si="6"/>
        <v>0</v>
      </c>
      <c r="W38" s="174">
        <f t="shared" si="6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1">
    <cfRule type="cellIs" dxfId="11" priority="1" operator="equal">
      <formula>1</formula>
    </cfRule>
  </conditionalFormatting>
  <conditionalFormatting sqref="F4:W37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"/>
  <sheetViews>
    <sheetView zoomScale="85" zoomScaleNormal="85" workbookViewId="0">
      <selection activeCell="AR33" sqref="AR33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432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7">
        <v>46</v>
      </c>
      <c r="B30" s="159" t="s">
        <v>298</v>
      </c>
      <c r="C30" s="20"/>
      <c r="D30" s="20"/>
      <c r="E30" s="20"/>
    </row>
    <row r="31" spans="1:5" x14ac:dyDescent="0.25">
      <c r="A31" s="27">
        <v>49</v>
      </c>
      <c r="B31" s="149" t="s">
        <v>297</v>
      </c>
      <c r="C31" s="20">
        <v>1</v>
      </c>
      <c r="D31" s="20"/>
      <c r="E31" s="20">
        <v>1</v>
      </c>
    </row>
    <row r="32" spans="1:5" x14ac:dyDescent="0.25">
      <c r="A32" s="28">
        <v>53</v>
      </c>
      <c r="B32" s="148" t="s">
        <v>292</v>
      </c>
      <c r="C32" s="20"/>
      <c r="D32" s="20"/>
      <c r="E32" s="20"/>
    </row>
    <row r="33" spans="1:5" x14ac:dyDescent="0.25">
      <c r="A33" s="28">
        <v>55</v>
      </c>
      <c r="B33" s="148" t="s">
        <v>301</v>
      </c>
      <c r="C33" s="20"/>
      <c r="D33" s="20"/>
      <c r="E33" s="20"/>
    </row>
    <row r="34" spans="1:5" x14ac:dyDescent="0.25">
      <c r="A34" s="27">
        <v>56</v>
      </c>
      <c r="B34" s="149" t="s">
        <v>322</v>
      </c>
      <c r="C34" s="20"/>
      <c r="D34" s="20"/>
      <c r="E34" s="20"/>
    </row>
    <row r="35" spans="1:5" x14ac:dyDescent="0.25">
      <c r="A35" s="28">
        <v>71</v>
      </c>
      <c r="B35" s="148" t="s">
        <v>339</v>
      </c>
      <c r="C35" s="20"/>
      <c r="D35" s="20"/>
      <c r="E35" s="20"/>
    </row>
    <row r="36" spans="1:5" x14ac:dyDescent="0.25">
      <c r="A36" s="28">
        <v>89</v>
      </c>
      <c r="B36" s="148" t="s">
        <v>333</v>
      </c>
      <c r="C36" s="20"/>
      <c r="D36" s="20"/>
      <c r="E36" s="20"/>
    </row>
  </sheetData>
  <mergeCells count="1">
    <mergeCell ref="C1:E1"/>
  </mergeCells>
  <conditionalFormatting sqref="C3:E36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3" t="s">
        <v>202</v>
      </c>
      <c r="D1" s="284"/>
      <c r="E1" s="284"/>
      <c r="F1" s="284"/>
      <c r="G1" s="284"/>
      <c r="H1" s="284"/>
      <c r="I1" s="285"/>
      <c r="J1" s="114" t="s">
        <v>195</v>
      </c>
      <c r="K1" s="115" t="s">
        <v>194</v>
      </c>
      <c r="L1" s="307" t="s">
        <v>287</v>
      </c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312"/>
      <c r="AE1" s="312"/>
      <c r="AF1" s="312"/>
      <c r="AG1" s="313"/>
      <c r="AH1" s="307" t="s">
        <v>175</v>
      </c>
      <c r="AI1" s="308"/>
      <c r="AJ1" s="308"/>
      <c r="AK1" s="309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4" t="s">
        <v>435</v>
      </c>
      <c r="L80" s="315"/>
      <c r="M80" s="316"/>
      <c r="O80" s="133"/>
      <c r="P80" s="133"/>
      <c r="W80" s="310"/>
      <c r="X80" s="310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7"/>
      <c r="L81" s="318"/>
      <c r="M81" s="319"/>
      <c r="O81" s="133"/>
      <c r="P81" s="133"/>
      <c r="W81" s="310" t="s">
        <v>209</v>
      </c>
      <c r="X81" s="310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20" t="s">
        <v>436</v>
      </c>
      <c r="L82" s="321"/>
      <c r="M82" s="322"/>
      <c r="O82" s="133"/>
      <c r="P82" s="133"/>
      <c r="W82" s="310" t="s">
        <v>210</v>
      </c>
      <c r="X82" s="310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3" t="s">
        <v>437</v>
      </c>
      <c r="L83" s="324"/>
      <c r="M83" s="325"/>
      <c r="O83" s="133"/>
      <c r="P83" s="133"/>
      <c r="W83" s="311" t="s">
        <v>97</v>
      </c>
      <c r="X83" s="311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8" t="s">
        <v>284</v>
      </c>
      <c r="L84" s="299"/>
      <c r="M84" s="300"/>
      <c r="O84" s="141"/>
      <c r="P84" s="141"/>
      <c r="W84" s="282"/>
      <c r="X84" s="282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1"/>
      <c r="L85" s="302"/>
      <c r="M85" s="30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1"/>
      <c r="L86" s="302"/>
      <c r="M86" s="30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1"/>
      <c r="L87" s="302"/>
      <c r="M87" s="30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1"/>
      <c r="L88" s="302"/>
      <c r="M88" s="30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1"/>
      <c r="L89" s="302"/>
      <c r="M89" s="30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1"/>
      <c r="L90" s="302"/>
      <c r="M90" s="30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1"/>
      <c r="L91" s="302"/>
      <c r="M91" s="30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1"/>
      <c r="L92" s="302"/>
      <c r="M92" s="30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1"/>
      <c r="L93" s="302"/>
      <c r="M93" s="30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1"/>
      <c r="L94" s="302"/>
      <c r="M94" s="30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1"/>
      <c r="L95" s="302"/>
      <c r="M95" s="30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1"/>
      <c r="L96" s="302"/>
      <c r="M96" s="30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1"/>
      <c r="L97" s="302"/>
      <c r="M97" s="30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1"/>
      <c r="L98" s="302"/>
      <c r="M98" s="30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1"/>
      <c r="L99" s="302"/>
      <c r="M99" s="30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1"/>
      <c r="L100" s="302"/>
      <c r="M100" s="30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1"/>
      <c r="L101" s="302"/>
      <c r="M101" s="30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1"/>
      <c r="L102" s="302"/>
      <c r="M102" s="30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1"/>
      <c r="L103" s="302"/>
      <c r="M103" s="30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1"/>
      <c r="L104" s="302"/>
      <c r="M104" s="30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4"/>
      <c r="L105" s="305"/>
      <c r="M105" s="30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5" t="s">
        <v>286</v>
      </c>
      <c r="L106" s="296"/>
      <c r="M106" s="29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5" t="s">
        <v>288</v>
      </c>
      <c r="L107" s="296"/>
      <c r="M107" s="297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6" t="s">
        <v>289</v>
      </c>
      <c r="L108" s="287"/>
      <c r="M108" s="288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9"/>
      <c r="L109" s="290"/>
      <c r="M109" s="291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9"/>
      <c r="L110" s="290"/>
      <c r="M110" s="291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9"/>
      <c r="L111" s="290"/>
      <c r="M111" s="291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89"/>
      <c r="L112" s="290"/>
      <c r="M112" s="291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2"/>
      <c r="L113" s="293"/>
      <c r="M113" s="294"/>
    </row>
    <row r="114" spans="1:13" ht="15.75" x14ac:dyDescent="0.25">
      <c r="A114" s="93" t="s">
        <v>438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8</v>
      </c>
      <c r="I114" s="122">
        <f>Match!S4</f>
        <v>2</v>
      </c>
      <c r="J114" s="122">
        <f t="shared" si="6"/>
        <v>6</v>
      </c>
    </row>
  </sheetData>
  <autoFilter ref="A79:J112" xr:uid="{9C81160F-C24B-449F-8F5A-CB622AB71070}"/>
  <mergeCells count="15"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  <mergeCell ref="C1:I1"/>
    <mergeCell ref="K108:M113"/>
    <mergeCell ref="K106:M106"/>
    <mergeCell ref="K107:M107"/>
    <mergeCell ref="K84:M105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13.85546875" bestFit="1" customWidth="1"/>
    <col min="5" max="5" width="18.71093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6" t="s">
        <v>405</v>
      </c>
      <c r="B1" s="326"/>
      <c r="C1" s="326"/>
      <c r="D1" s="326"/>
      <c r="E1" s="326"/>
      <c r="F1" s="326" t="s">
        <v>406</v>
      </c>
      <c r="G1" s="326"/>
      <c r="H1" s="326"/>
      <c r="I1" s="326"/>
      <c r="J1" s="326"/>
    </row>
    <row r="2" spans="1:21" x14ac:dyDescent="0.25">
      <c r="A2" s="326"/>
      <c r="B2" s="326"/>
      <c r="C2" s="326"/>
      <c r="D2" s="326"/>
      <c r="E2" s="326"/>
      <c r="F2" s="326"/>
      <c r="G2" s="326"/>
      <c r="H2" s="326"/>
      <c r="I2" s="326"/>
      <c r="J2" s="326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413</v>
      </c>
      <c r="N3" s="195">
        <v>4</v>
      </c>
      <c r="O3" s="195">
        <v>4</v>
      </c>
      <c r="P3" s="195">
        <v>0</v>
      </c>
      <c r="Q3" s="195">
        <v>0</v>
      </c>
      <c r="R3" s="195">
        <v>8</v>
      </c>
      <c r="S3" s="195">
        <v>1</v>
      </c>
      <c r="T3" s="195">
        <v>7</v>
      </c>
      <c r="U3" s="195">
        <v>12</v>
      </c>
    </row>
    <row r="4" spans="1:21" x14ac:dyDescent="0.25">
      <c r="A4" t="s">
        <v>482</v>
      </c>
      <c r="B4" s="194">
        <v>0.875</v>
      </c>
      <c r="C4" t="s">
        <v>110</v>
      </c>
      <c r="D4" t="s">
        <v>477</v>
      </c>
      <c r="E4" t="s">
        <v>478</v>
      </c>
      <c r="F4" t="s">
        <v>469</v>
      </c>
      <c r="G4" s="194" t="s">
        <v>476</v>
      </c>
      <c r="H4" t="s">
        <v>4</v>
      </c>
      <c r="I4" t="s">
        <v>429</v>
      </c>
      <c r="J4" t="s">
        <v>470</v>
      </c>
      <c r="L4">
        <v>2</v>
      </c>
      <c r="M4" t="s">
        <v>408</v>
      </c>
      <c r="N4" s="195">
        <v>4</v>
      </c>
      <c r="O4" s="195">
        <v>4</v>
      </c>
      <c r="P4" s="195">
        <v>0</v>
      </c>
      <c r="Q4" s="195">
        <v>0</v>
      </c>
      <c r="R4" s="195">
        <v>8</v>
      </c>
      <c r="S4" s="195">
        <v>2</v>
      </c>
      <c r="T4" s="195">
        <v>6</v>
      </c>
      <c r="U4" s="195">
        <v>12</v>
      </c>
    </row>
    <row r="5" spans="1:21" x14ac:dyDescent="0.25">
      <c r="L5">
        <v>3</v>
      </c>
      <c r="M5" t="s">
        <v>422</v>
      </c>
      <c r="N5" s="195">
        <v>4</v>
      </c>
      <c r="O5" s="195">
        <v>2</v>
      </c>
      <c r="P5" s="195">
        <v>2</v>
      </c>
      <c r="Q5" s="195">
        <v>0</v>
      </c>
      <c r="R5" s="195">
        <v>5</v>
      </c>
      <c r="S5" s="195">
        <v>2</v>
      </c>
      <c r="T5" s="195">
        <v>3</v>
      </c>
      <c r="U5" s="195">
        <v>8</v>
      </c>
    </row>
    <row r="6" spans="1:21" x14ac:dyDescent="0.25">
      <c r="L6">
        <v>4</v>
      </c>
      <c r="M6" t="s">
        <v>417</v>
      </c>
      <c r="N6" s="195">
        <v>4</v>
      </c>
      <c r="O6" s="195">
        <v>2</v>
      </c>
      <c r="P6" s="195">
        <v>1</v>
      </c>
      <c r="Q6" s="195">
        <v>1</v>
      </c>
      <c r="R6" s="195">
        <v>13</v>
      </c>
      <c r="S6" s="195">
        <v>5</v>
      </c>
      <c r="T6" s="195">
        <v>8</v>
      </c>
      <c r="U6" s="195">
        <v>7</v>
      </c>
    </row>
    <row r="7" spans="1:21" x14ac:dyDescent="0.25">
      <c r="L7">
        <v>5</v>
      </c>
      <c r="M7" t="s">
        <v>418</v>
      </c>
      <c r="N7" s="195">
        <v>4</v>
      </c>
      <c r="O7" s="195">
        <v>2</v>
      </c>
      <c r="P7" s="195">
        <v>1</v>
      </c>
      <c r="Q7" s="195">
        <v>1</v>
      </c>
      <c r="R7" s="195">
        <v>10</v>
      </c>
      <c r="S7" s="195">
        <v>9</v>
      </c>
      <c r="T7" s="195">
        <v>1</v>
      </c>
      <c r="U7" s="195">
        <v>7</v>
      </c>
    </row>
    <row r="8" spans="1:21" x14ac:dyDescent="0.25">
      <c r="L8">
        <v>6</v>
      </c>
      <c r="M8" t="s">
        <v>416</v>
      </c>
      <c r="N8" s="195">
        <v>4</v>
      </c>
      <c r="O8" s="195">
        <v>1</v>
      </c>
      <c r="P8" s="195">
        <v>3</v>
      </c>
      <c r="Q8" s="195">
        <v>0</v>
      </c>
      <c r="R8" s="195">
        <v>7</v>
      </c>
      <c r="S8" s="195">
        <v>4</v>
      </c>
      <c r="T8" s="195">
        <v>3</v>
      </c>
      <c r="U8" s="195">
        <v>6</v>
      </c>
    </row>
    <row r="9" spans="1:21" x14ac:dyDescent="0.25">
      <c r="L9">
        <v>7</v>
      </c>
      <c r="M9" t="s">
        <v>425</v>
      </c>
      <c r="N9" s="195">
        <v>4</v>
      </c>
      <c r="O9" s="195">
        <v>1</v>
      </c>
      <c r="P9" s="195">
        <v>3</v>
      </c>
      <c r="Q9" s="195">
        <v>0</v>
      </c>
      <c r="R9" s="195">
        <v>6</v>
      </c>
      <c r="S9" s="195">
        <v>4</v>
      </c>
      <c r="T9" s="195">
        <v>2</v>
      </c>
      <c r="U9" s="195">
        <v>6</v>
      </c>
    </row>
    <row r="10" spans="1:21" x14ac:dyDescent="0.25">
      <c r="L10">
        <v>8</v>
      </c>
      <c r="M10" t="s">
        <v>420</v>
      </c>
      <c r="N10" s="195">
        <v>4</v>
      </c>
      <c r="O10" s="195">
        <v>1</v>
      </c>
      <c r="P10" s="195">
        <v>3</v>
      </c>
      <c r="Q10" s="195">
        <v>0</v>
      </c>
      <c r="R10" s="195">
        <v>5</v>
      </c>
      <c r="S10" s="195">
        <v>3</v>
      </c>
      <c r="T10" s="195">
        <v>2</v>
      </c>
      <c r="U10" s="195">
        <v>6</v>
      </c>
    </row>
    <row r="11" spans="1:21" x14ac:dyDescent="0.25">
      <c r="L11">
        <v>9</v>
      </c>
      <c r="M11" t="s">
        <v>423</v>
      </c>
      <c r="N11" s="195">
        <v>4</v>
      </c>
      <c r="O11" s="195">
        <v>2</v>
      </c>
      <c r="P11" s="195">
        <v>0</v>
      </c>
      <c r="Q11" s="195">
        <v>2</v>
      </c>
      <c r="R11" s="195">
        <v>7</v>
      </c>
      <c r="S11" s="195">
        <v>10</v>
      </c>
      <c r="T11" s="195" t="s">
        <v>467</v>
      </c>
      <c r="U11" s="195">
        <v>6</v>
      </c>
    </row>
    <row r="12" spans="1:21" x14ac:dyDescent="0.25">
      <c r="L12">
        <v>10</v>
      </c>
      <c r="M12" t="s">
        <v>427</v>
      </c>
      <c r="N12" s="195">
        <v>3</v>
      </c>
      <c r="O12" s="195">
        <v>1</v>
      </c>
      <c r="P12" s="195">
        <v>2</v>
      </c>
      <c r="Q12" s="195">
        <v>0</v>
      </c>
      <c r="R12" s="195">
        <v>6</v>
      </c>
      <c r="S12" s="195">
        <v>4</v>
      </c>
      <c r="T12" s="195">
        <v>2</v>
      </c>
      <c r="U12" s="195">
        <v>5</v>
      </c>
    </row>
    <row r="13" spans="1:21" x14ac:dyDescent="0.25">
      <c r="L13">
        <v>11</v>
      </c>
      <c r="M13" t="s">
        <v>424</v>
      </c>
      <c r="N13" s="195">
        <v>3</v>
      </c>
      <c r="O13" s="195">
        <v>1</v>
      </c>
      <c r="P13" s="195">
        <v>2</v>
      </c>
      <c r="Q13" s="195">
        <v>0</v>
      </c>
      <c r="R13" s="195">
        <v>3</v>
      </c>
      <c r="S13" s="195">
        <v>2</v>
      </c>
      <c r="T13" s="195">
        <v>1</v>
      </c>
      <c r="U13" s="195">
        <v>5</v>
      </c>
    </row>
    <row r="14" spans="1:21" x14ac:dyDescent="0.25">
      <c r="L14">
        <v>12</v>
      </c>
      <c r="M14" t="s">
        <v>428</v>
      </c>
      <c r="N14" s="195">
        <v>4</v>
      </c>
      <c r="O14" s="195">
        <v>1</v>
      </c>
      <c r="P14" s="195">
        <v>2</v>
      </c>
      <c r="Q14" s="195">
        <v>1</v>
      </c>
      <c r="R14" s="195">
        <v>4</v>
      </c>
      <c r="S14" s="195">
        <v>4</v>
      </c>
      <c r="T14" s="195">
        <v>0</v>
      </c>
      <c r="U14" s="195">
        <v>5</v>
      </c>
    </row>
    <row r="15" spans="1:21" x14ac:dyDescent="0.25">
      <c r="L15">
        <v>13</v>
      </c>
      <c r="M15" t="s">
        <v>426</v>
      </c>
      <c r="N15" s="195">
        <v>4</v>
      </c>
      <c r="O15" s="195">
        <v>1</v>
      </c>
      <c r="P15" s="195">
        <v>1</v>
      </c>
      <c r="Q15" s="195">
        <v>2</v>
      </c>
      <c r="R15" s="195">
        <v>7</v>
      </c>
      <c r="S15" s="195">
        <v>7</v>
      </c>
      <c r="T15" s="195">
        <v>0</v>
      </c>
      <c r="U15" s="195">
        <v>4</v>
      </c>
    </row>
    <row r="16" spans="1:21" x14ac:dyDescent="0.25">
      <c r="L16">
        <v>14</v>
      </c>
      <c r="M16" t="s">
        <v>429</v>
      </c>
      <c r="N16" s="195">
        <v>4</v>
      </c>
      <c r="O16" s="195">
        <v>1</v>
      </c>
      <c r="P16" s="195">
        <v>1</v>
      </c>
      <c r="Q16" s="195">
        <v>2</v>
      </c>
      <c r="R16" s="195">
        <v>3</v>
      </c>
      <c r="S16" s="195">
        <v>5</v>
      </c>
      <c r="T16" s="195" t="s">
        <v>479</v>
      </c>
      <c r="U16" s="195">
        <v>4</v>
      </c>
    </row>
    <row r="17" spans="12:21" x14ac:dyDescent="0.25">
      <c r="L17">
        <v>15</v>
      </c>
      <c r="M17" t="s">
        <v>415</v>
      </c>
      <c r="N17" s="195">
        <v>4</v>
      </c>
      <c r="O17" s="195">
        <v>0</v>
      </c>
      <c r="P17" s="195">
        <v>3</v>
      </c>
      <c r="Q17" s="195">
        <v>1</v>
      </c>
      <c r="R17" s="195">
        <v>6</v>
      </c>
      <c r="S17" s="195">
        <v>7</v>
      </c>
      <c r="T17" s="195" t="s">
        <v>431</v>
      </c>
      <c r="U17" s="195">
        <v>3</v>
      </c>
    </row>
    <row r="18" spans="12:21" x14ac:dyDescent="0.25">
      <c r="L18">
        <v>16</v>
      </c>
      <c r="M18" t="s">
        <v>419</v>
      </c>
      <c r="N18" s="195">
        <v>4</v>
      </c>
      <c r="O18" s="195">
        <v>1</v>
      </c>
      <c r="P18" s="195">
        <v>0</v>
      </c>
      <c r="Q18" s="195">
        <v>3</v>
      </c>
      <c r="R18" s="195">
        <v>6</v>
      </c>
      <c r="S18" s="195">
        <v>11</v>
      </c>
      <c r="T18" s="195" t="s">
        <v>434</v>
      </c>
      <c r="U18" s="195">
        <v>3</v>
      </c>
    </row>
    <row r="19" spans="12:21" x14ac:dyDescent="0.25">
      <c r="L19">
        <v>17</v>
      </c>
      <c r="M19" t="s">
        <v>430</v>
      </c>
      <c r="N19" s="195">
        <v>4</v>
      </c>
      <c r="O19" s="195">
        <v>0</v>
      </c>
      <c r="P19" s="195">
        <v>2</v>
      </c>
      <c r="Q19" s="195">
        <v>2</v>
      </c>
      <c r="R19" s="195">
        <v>0</v>
      </c>
      <c r="S19" s="195">
        <v>5</v>
      </c>
      <c r="T19" s="195" t="s">
        <v>434</v>
      </c>
      <c r="U19" s="195">
        <v>2</v>
      </c>
    </row>
    <row r="20" spans="12:21" x14ac:dyDescent="0.25">
      <c r="L20">
        <v>18</v>
      </c>
      <c r="M20" t="s">
        <v>421</v>
      </c>
      <c r="N20" s="195">
        <v>4</v>
      </c>
      <c r="O20" s="195">
        <v>0</v>
      </c>
      <c r="P20" s="195">
        <v>1</v>
      </c>
      <c r="Q20" s="195">
        <v>3</v>
      </c>
      <c r="R20" s="195">
        <v>4</v>
      </c>
      <c r="S20" s="195">
        <v>7</v>
      </c>
      <c r="T20" s="195" t="s">
        <v>467</v>
      </c>
      <c r="U20" s="195">
        <v>1</v>
      </c>
    </row>
    <row r="21" spans="12:21" x14ac:dyDescent="0.25">
      <c r="L21">
        <v>19</v>
      </c>
      <c r="M21" t="s">
        <v>414</v>
      </c>
      <c r="N21" s="195">
        <v>4</v>
      </c>
      <c r="O21" s="195">
        <v>0</v>
      </c>
      <c r="P21" s="195">
        <v>1</v>
      </c>
      <c r="Q21" s="195">
        <v>3</v>
      </c>
      <c r="R21" s="195">
        <v>1</v>
      </c>
      <c r="S21" s="195">
        <v>7</v>
      </c>
      <c r="T21" s="195" t="s">
        <v>480</v>
      </c>
      <c r="U21" s="195">
        <v>1</v>
      </c>
    </row>
    <row r="22" spans="12:21" x14ac:dyDescent="0.25">
      <c r="L22">
        <v>20</v>
      </c>
      <c r="M22" t="s">
        <v>404</v>
      </c>
      <c r="N22" s="195">
        <v>4</v>
      </c>
      <c r="O22" s="195">
        <v>0</v>
      </c>
      <c r="P22" s="195">
        <v>0</v>
      </c>
      <c r="Q22" s="195">
        <v>4</v>
      </c>
      <c r="R22" s="195">
        <v>0</v>
      </c>
      <c r="S22" s="195">
        <v>10</v>
      </c>
      <c r="T22" s="195" t="s">
        <v>481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tabSelected="1" workbookViewId="0">
      <selection activeCell="I11" sqref="I11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444</v>
      </c>
      <c r="D1" t="s">
        <v>445</v>
      </c>
      <c r="E1" t="s">
        <v>464</v>
      </c>
    </row>
    <row r="2" spans="1:5" x14ac:dyDescent="0.25">
      <c r="A2" t="s">
        <v>350</v>
      </c>
      <c r="B2" t="s">
        <v>451</v>
      </c>
      <c r="C2" s="201">
        <v>7.9</v>
      </c>
      <c r="D2">
        <v>90</v>
      </c>
    </row>
    <row r="3" spans="1:5" x14ac:dyDescent="0.25">
      <c r="A3" t="s">
        <v>441</v>
      </c>
      <c r="B3" t="s">
        <v>473</v>
      </c>
      <c r="C3" s="201">
        <v>6.4</v>
      </c>
      <c r="D3">
        <v>90</v>
      </c>
    </row>
    <row r="4" spans="1:5" x14ac:dyDescent="0.25">
      <c r="A4" t="s">
        <v>442</v>
      </c>
      <c r="B4" t="s">
        <v>452</v>
      </c>
      <c r="C4" s="201">
        <v>8.1</v>
      </c>
      <c r="D4">
        <v>90</v>
      </c>
    </row>
    <row r="5" spans="1:5" x14ac:dyDescent="0.25">
      <c r="A5" t="s">
        <v>442</v>
      </c>
      <c r="B5" t="s">
        <v>462</v>
      </c>
      <c r="C5" s="201">
        <v>6.8</v>
      </c>
      <c r="D5">
        <v>90</v>
      </c>
    </row>
    <row r="6" spans="1:5" x14ac:dyDescent="0.25">
      <c r="A6" t="s">
        <v>443</v>
      </c>
      <c r="B6" t="s">
        <v>453</v>
      </c>
      <c r="C6" s="201">
        <v>6.5</v>
      </c>
      <c r="D6" t="s">
        <v>460</v>
      </c>
    </row>
    <row r="7" spans="1:5" x14ac:dyDescent="0.25">
      <c r="A7" t="s">
        <v>446</v>
      </c>
      <c r="B7" t="s">
        <v>474</v>
      </c>
      <c r="C7" s="201">
        <v>6.1</v>
      </c>
      <c r="D7" t="s">
        <v>460</v>
      </c>
    </row>
    <row r="8" spans="1:5" x14ac:dyDescent="0.25">
      <c r="A8" t="s">
        <v>446</v>
      </c>
      <c r="B8" t="s">
        <v>454</v>
      </c>
      <c r="C8" s="201">
        <v>8.8000000000000007</v>
      </c>
      <c r="D8" t="s">
        <v>460</v>
      </c>
      <c r="E8" t="s">
        <v>466</v>
      </c>
    </row>
    <row r="9" spans="1:5" x14ac:dyDescent="0.25">
      <c r="A9" t="s">
        <v>447</v>
      </c>
      <c r="B9" t="s">
        <v>455</v>
      </c>
      <c r="C9" s="201">
        <v>7.9</v>
      </c>
      <c r="D9" t="s">
        <v>460</v>
      </c>
    </row>
    <row r="10" spans="1:5" x14ac:dyDescent="0.25">
      <c r="A10" t="s">
        <v>448</v>
      </c>
      <c r="B10" t="s">
        <v>456</v>
      </c>
      <c r="C10" s="201">
        <v>6.6</v>
      </c>
      <c r="D10" t="s">
        <v>460</v>
      </c>
    </row>
    <row r="11" spans="1:5" x14ac:dyDescent="0.25">
      <c r="A11" t="s">
        <v>449</v>
      </c>
      <c r="B11" t="s">
        <v>457</v>
      </c>
      <c r="C11" s="201">
        <v>7.8</v>
      </c>
      <c r="D11">
        <v>90</v>
      </c>
      <c r="E11" t="s">
        <v>465</v>
      </c>
    </row>
    <row r="12" spans="1:5" x14ac:dyDescent="0.25">
      <c r="A12" t="s">
        <v>450</v>
      </c>
      <c r="B12" t="s">
        <v>458</v>
      </c>
      <c r="C12" s="201">
        <v>6.7</v>
      </c>
      <c r="D12">
        <v>90</v>
      </c>
    </row>
    <row r="13" spans="1:5" x14ac:dyDescent="0.25">
      <c r="A13" t="s">
        <v>443</v>
      </c>
      <c r="B13" t="s">
        <v>475</v>
      </c>
      <c r="C13" s="201">
        <v>6.9</v>
      </c>
      <c r="D13" t="s">
        <v>459</v>
      </c>
    </row>
    <row r="14" spans="1:5" x14ac:dyDescent="0.25">
      <c r="A14" t="s">
        <v>448</v>
      </c>
      <c r="B14" t="s">
        <v>471</v>
      </c>
      <c r="C14" s="201"/>
      <c r="D14" t="s">
        <v>459</v>
      </c>
    </row>
    <row r="15" spans="1:5" x14ac:dyDescent="0.25">
      <c r="A15" t="s">
        <v>447</v>
      </c>
      <c r="B15" t="s">
        <v>461</v>
      </c>
      <c r="C15" s="201"/>
      <c r="D15" t="s">
        <v>459</v>
      </c>
    </row>
    <row r="16" spans="1:5" x14ac:dyDescent="0.25">
      <c r="A16" t="s">
        <v>446</v>
      </c>
      <c r="B16" t="s">
        <v>472</v>
      </c>
      <c r="C16" s="201">
        <v>7.9</v>
      </c>
      <c r="D16" t="s">
        <v>459</v>
      </c>
      <c r="E16" t="s">
        <v>465</v>
      </c>
    </row>
    <row r="17" spans="1:4" x14ac:dyDescent="0.25">
      <c r="A17" t="s">
        <v>446</v>
      </c>
      <c r="B17" t="s">
        <v>463</v>
      </c>
      <c r="C17" s="201"/>
      <c r="D17" t="s">
        <v>459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4" t="s">
        <v>46</v>
      </c>
      <c r="B1" s="327"/>
      <c r="C1" s="328" t="s">
        <v>44</v>
      </c>
      <c r="D1" s="207"/>
      <c r="E1" s="329"/>
      <c r="H1" s="204" t="s">
        <v>47</v>
      </c>
      <c r="I1" s="327"/>
      <c r="J1" s="328" t="s">
        <v>44</v>
      </c>
      <c r="K1" s="207"/>
      <c r="L1" s="32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318</v>
      </c>
      <c r="L30" s="14">
        <f>J30/K30</f>
        <v>0.26415094339622641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2026-09-14T10:17:50Z</dcterms:modified>
</cp:coreProperties>
</file>