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950" documentId="13_ncr:1_{662DAA9A-C5C7-8346-85AE-B86E329139C8}" xr6:coauthVersionLast="47" xr6:coauthVersionMax="47" xr10:uidLastSave="{610C9636-A5B3-4F46-BAE0-67E7C322DD80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26-27'!$A$3:$S$20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30" l="1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BD21" i="10" s="1"/>
  <c r="BG21" i="10" s="1"/>
  <c r="R19" i="1" s="1"/>
  <c r="Q19" i="30"/>
  <c r="BE21" i="10" s="1"/>
  <c r="BH21" i="10" s="1"/>
  <c r="S19" i="1" s="1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Q21" i="30"/>
  <c r="O22" i="30"/>
  <c r="BC24" i="10" s="1"/>
  <c r="BF24" i="10" s="1"/>
  <c r="Q22" i="1" s="1"/>
  <c r="P22" i="30"/>
  <c r="BD24" i="10" s="1"/>
  <c r="BG24" i="10" s="1"/>
  <c r="R22" i="1" s="1"/>
  <c r="Q22" i="30"/>
  <c r="BE24" i="10" s="1"/>
  <c r="BH24" i="10" s="1"/>
  <c r="S22" i="1" s="1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O25" i="30"/>
  <c r="BC27" i="10" s="1"/>
  <c r="BF27" i="10" s="1"/>
  <c r="Q25" i="1" s="1"/>
  <c r="P25" i="30"/>
  <c r="BD27" i="10" s="1"/>
  <c r="BG27" i="10" s="1"/>
  <c r="R25" i="1" s="1"/>
  <c r="Q25" i="30"/>
  <c r="BE27" i="10" s="1"/>
  <c r="BH27" i="10" s="1"/>
  <c r="S25" i="1" s="1"/>
  <c r="O26" i="30"/>
  <c r="BC28" i="10" s="1"/>
  <c r="BF28" i="10" s="1"/>
  <c r="Q26" i="1" s="1"/>
  <c r="P26" i="30"/>
  <c r="BD28" i="10" s="1"/>
  <c r="BG28" i="10" s="1"/>
  <c r="R26" i="1" s="1"/>
  <c r="Q26" i="30"/>
  <c r="BE28" i="10" s="1"/>
  <c r="BH28" i="10" s="1"/>
  <c r="S26" i="1" s="1"/>
  <c r="O27" i="30"/>
  <c r="BC29" i="10" s="1"/>
  <c r="BF29" i="10" s="1"/>
  <c r="Q27" i="1" s="1"/>
  <c r="P27" i="30"/>
  <c r="Q27" i="30"/>
  <c r="O28" i="30"/>
  <c r="BC30" i="10" s="1"/>
  <c r="BF30" i="10" s="1"/>
  <c r="Q28" i="1" s="1"/>
  <c r="P28" i="30"/>
  <c r="Q28" i="30"/>
  <c r="O30" i="30"/>
  <c r="BC32" i="10" s="1"/>
  <c r="BF32" i="10" s="1"/>
  <c r="Q30" i="1" s="1"/>
  <c r="P30" i="30"/>
  <c r="BD32" i="10" s="1"/>
  <c r="BG32" i="10" s="1"/>
  <c r="R30" i="1" s="1"/>
  <c r="Q30" i="30"/>
  <c r="BE32" i="10" s="1"/>
  <c r="BH32" i="10" s="1"/>
  <c r="S30" i="1" s="1"/>
  <c r="O33" i="30"/>
  <c r="BC35" i="10" s="1"/>
  <c r="BF35" i="10" s="1"/>
  <c r="Q33" i="1" s="1"/>
  <c r="P33" i="30"/>
  <c r="BD35" i="10" s="1"/>
  <c r="BG35" i="10" s="1"/>
  <c r="R33" i="1" s="1"/>
  <c r="Q33" i="30"/>
  <c r="BE35" i="10" s="1"/>
  <c r="BH35" i="10" s="1"/>
  <c r="S33" i="1" s="1"/>
  <c r="O34" i="30"/>
  <c r="BC36" i="10" s="1"/>
  <c r="BF36" i="10" s="1"/>
  <c r="Q34" i="1" s="1"/>
  <c r="P34" i="30"/>
  <c r="BD36" i="10" s="1"/>
  <c r="BG36" i="10" s="1"/>
  <c r="R34" i="1" s="1"/>
  <c r="Q34" i="30"/>
  <c r="BE36" i="10" s="1"/>
  <c r="BH36" i="10" s="1"/>
  <c r="S34" i="1" s="1"/>
  <c r="O29" i="30"/>
  <c r="BC31" i="10" s="1"/>
  <c r="BF31" i="10" s="1"/>
  <c r="Q29" i="1" s="1"/>
  <c r="P29" i="30"/>
  <c r="BD31" i="10" s="1"/>
  <c r="BG31" i="10" s="1"/>
  <c r="R29" i="1" s="1"/>
  <c r="Q29" i="30"/>
  <c r="O35" i="30"/>
  <c r="BC37" i="10" s="1"/>
  <c r="BF37" i="10" s="1"/>
  <c r="Q35" i="1" s="1"/>
  <c r="P35" i="30"/>
  <c r="BD37" i="10" s="1"/>
  <c r="BG37" i="10" s="1"/>
  <c r="R35" i="1" s="1"/>
  <c r="Q35" i="30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1" i="30"/>
  <c r="P31" i="30"/>
  <c r="BD33" i="10" s="1"/>
  <c r="BG33" i="10" s="1"/>
  <c r="R31" i="1" s="1"/>
  <c r="Q31" i="30"/>
  <c r="O32" i="30"/>
  <c r="P32" i="30"/>
  <c r="BD34" i="10" s="1"/>
  <c r="BG34" i="10" s="1"/>
  <c r="R32" i="1" s="1"/>
  <c r="Q32" i="30"/>
  <c r="BE34" i="10" s="1"/>
  <c r="BH34" i="10" s="1"/>
  <c r="S32" i="1" s="1"/>
  <c r="O38" i="30"/>
  <c r="BC40" i="10" s="1"/>
  <c r="BF40" i="10" s="1"/>
  <c r="Q38" i="1" s="1"/>
  <c r="P38" i="30"/>
  <c r="BD40" i="10" s="1"/>
  <c r="BG40" i="10" s="1"/>
  <c r="R38" i="1" s="1"/>
  <c r="Q38" i="30"/>
  <c r="BE40" i="10" s="1"/>
  <c r="BH40" i="10" s="1"/>
  <c r="S38" i="1" s="1"/>
  <c r="O39" i="30"/>
  <c r="BC41" i="10" s="1"/>
  <c r="BF41" i="10" s="1"/>
  <c r="Q39" i="1" s="1"/>
  <c r="P39" i="30"/>
  <c r="BD41" i="10" s="1"/>
  <c r="BG41" i="10" s="1"/>
  <c r="R39" i="1" s="1"/>
  <c r="Q39" i="30"/>
  <c r="BE41" i="10" s="1"/>
  <c r="BH41" i="10" s="1"/>
  <c r="S39" i="1" s="1"/>
  <c r="O36" i="30"/>
  <c r="P36" i="30"/>
  <c r="BD38" i="10" s="1"/>
  <c r="BG38" i="10" s="1"/>
  <c r="R36" i="1" s="1"/>
  <c r="Q36" i="30"/>
  <c r="BE38" i="10" s="1"/>
  <c r="BH38" i="10" s="1"/>
  <c r="S36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7" i="7"/>
  <c r="L27" i="30" s="1"/>
  <c r="AQ29" i="10" s="1"/>
  <c r="AT29" i="10" s="1"/>
  <c r="N27" i="1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4" i="7"/>
  <c r="L34" i="30" s="1"/>
  <c r="AQ36" i="10" s="1"/>
  <c r="AT36" i="10" s="1"/>
  <c r="N34" i="1" s="1"/>
  <c r="D34" i="7"/>
  <c r="M34" i="30" s="1"/>
  <c r="AR36" i="10" s="1"/>
  <c r="AU36" i="10" s="1"/>
  <c r="O34" i="1" s="1"/>
  <c r="E34" i="7"/>
  <c r="N34" i="30" s="1"/>
  <c r="AS36" i="10" s="1"/>
  <c r="AV36" i="10" s="1"/>
  <c r="P34" i="1" s="1"/>
  <c r="C29" i="7"/>
  <c r="L29" i="30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38" i="7"/>
  <c r="L38" i="30" s="1"/>
  <c r="AQ40" i="10" s="1"/>
  <c r="AT40" i="10" s="1"/>
  <c r="N38" i="1" s="1"/>
  <c r="D38" i="7"/>
  <c r="M38" i="30" s="1"/>
  <c r="AR40" i="10" s="1"/>
  <c r="AU40" i="10" s="1"/>
  <c r="O38" i="1" s="1"/>
  <c r="E38" i="7"/>
  <c r="N38" i="30" s="1"/>
  <c r="AS40" i="10" s="1"/>
  <c r="AV40" i="10" s="1"/>
  <c r="P38" i="1" s="1"/>
  <c r="C39" i="7"/>
  <c r="L39" i="30" s="1"/>
  <c r="AQ41" i="10" s="1"/>
  <c r="AT41" i="10" s="1"/>
  <c r="N39" i="1" s="1"/>
  <c r="D39" i="7"/>
  <c r="M39" i="30" s="1"/>
  <c r="AR41" i="10" s="1"/>
  <c r="AU41" i="10" s="1"/>
  <c r="O39" i="1" s="1"/>
  <c r="E39" i="7"/>
  <c r="N39" i="30" s="1"/>
  <c r="AS41" i="10" s="1"/>
  <c r="AV41" i="10" s="1"/>
  <c r="P39" i="1" s="1"/>
  <c r="C36" i="7"/>
  <c r="L36" i="30" s="1"/>
  <c r="AQ38" i="10" s="1"/>
  <c r="AT38" i="10" s="1"/>
  <c r="N36" i="1" s="1"/>
  <c r="D36" i="7"/>
  <c r="M36" i="30" s="1"/>
  <c r="E36" i="7"/>
  <c r="N36" i="30" s="1"/>
  <c r="AS38" i="10" s="1"/>
  <c r="AV38" i="10" s="1"/>
  <c r="P36" i="1" s="1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N16" i="30" s="1"/>
  <c r="AS18" i="10" s="1"/>
  <c r="AV18" i="10" s="1"/>
  <c r="P16" i="1" s="1"/>
  <c r="E17" i="7"/>
  <c r="N17" i="30" s="1"/>
  <c r="AS19" i="10" s="1"/>
  <c r="AV19" i="10" s="1"/>
  <c r="P17" i="1" s="1"/>
  <c r="D5" i="7"/>
  <c r="M5" i="30" s="1"/>
  <c r="AR7" i="10" s="1"/>
  <c r="AU7" i="10" s="1"/>
  <c r="O5" i="1" s="1"/>
  <c r="D4" i="7"/>
  <c r="N4" i="30"/>
  <c r="AS6" i="10" s="1"/>
  <c r="AV6" i="10" s="1"/>
  <c r="P4" i="1" s="1"/>
  <c r="E36" i="8"/>
  <c r="K36" i="30" s="1"/>
  <c r="AG38" i="10" s="1"/>
  <c r="AJ38" i="10" s="1"/>
  <c r="M36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D8" i="8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J12" i="30" s="1"/>
  <c r="AF14" i="10" s="1"/>
  <c r="AI14" i="10" s="1"/>
  <c r="L12" i="1" s="1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E13" i="8"/>
  <c r="K13" i="30" s="1"/>
  <c r="AG15" i="10" s="1"/>
  <c r="AJ15" i="10" s="1"/>
  <c r="M13" i="1" s="1"/>
  <c r="C14" i="8"/>
  <c r="I14" i="30" s="1"/>
  <c r="AE16" i="10" s="1"/>
  <c r="AH16" i="10" s="1"/>
  <c r="K14" i="1" s="1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J15" i="30" s="1"/>
  <c r="AF17" i="10" s="1"/>
  <c r="AI17" i="10" s="1"/>
  <c r="L15" i="1" s="1"/>
  <c r="E15" i="8"/>
  <c r="C16" i="8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7" i="8"/>
  <c r="I27" i="30" s="1"/>
  <c r="AE29" i="10" s="1"/>
  <c r="AH29" i="10" s="1"/>
  <c r="K27" i="1" s="1"/>
  <c r="D27" i="8"/>
  <c r="J27" i="30" s="1"/>
  <c r="AF29" i="10" s="1"/>
  <c r="AI29" i="10" s="1"/>
  <c r="L27" i="1" s="1"/>
  <c r="E27" i="8"/>
  <c r="K27" i="30" s="1"/>
  <c r="AG29" i="10" s="1"/>
  <c r="AJ29" i="10" s="1"/>
  <c r="M27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E34" i="8"/>
  <c r="K34" i="30" s="1"/>
  <c r="AG36" i="10" s="1"/>
  <c r="AJ36" i="10" s="1"/>
  <c r="M34" i="1" s="1"/>
  <c r="C29" i="8"/>
  <c r="I29" i="30" s="1"/>
  <c r="AE31" i="10" s="1"/>
  <c r="AH31" i="10" s="1"/>
  <c r="K29" i="1" s="1"/>
  <c r="D29" i="8"/>
  <c r="J29" i="30" s="1"/>
  <c r="E29" i="8"/>
  <c r="K29" i="30" s="1"/>
  <c r="AG31" i="10" s="1"/>
  <c r="AJ31" i="10" s="1"/>
  <c r="M29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8" i="8"/>
  <c r="I38" i="30" s="1"/>
  <c r="AE40" i="10" s="1"/>
  <c r="AH40" i="10" s="1"/>
  <c r="K38" i="1" s="1"/>
  <c r="D38" i="8"/>
  <c r="J38" i="30" s="1"/>
  <c r="AF40" i="10" s="1"/>
  <c r="AI40" i="10" s="1"/>
  <c r="L38" i="1" s="1"/>
  <c r="E38" i="8"/>
  <c r="K38" i="30" s="1"/>
  <c r="AG40" i="10" s="1"/>
  <c r="AJ40" i="10" s="1"/>
  <c r="M38" i="1" s="1"/>
  <c r="C39" i="8"/>
  <c r="I39" i="30" s="1"/>
  <c r="AE41" i="10" s="1"/>
  <c r="AH41" i="10" s="1"/>
  <c r="K39" i="1" s="1"/>
  <c r="D39" i="8"/>
  <c r="J39" i="30" s="1"/>
  <c r="AF41" i="10" s="1"/>
  <c r="AI41" i="10" s="1"/>
  <c r="L39" i="1" s="1"/>
  <c r="E39" i="8"/>
  <c r="K39" i="30" s="1"/>
  <c r="AG41" i="10" s="1"/>
  <c r="AJ41" i="10" s="1"/>
  <c r="M39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3" i="30"/>
  <c r="AF15" i="10" s="1"/>
  <c r="AI15" i="10" s="1"/>
  <c r="L13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38" i="9"/>
  <c r="F38" i="30" s="1"/>
  <c r="S40" i="10" s="1"/>
  <c r="V40" i="10" s="1"/>
  <c r="H38" i="1" s="1"/>
  <c r="D38" i="9"/>
  <c r="G38" i="30" s="1"/>
  <c r="T40" i="10" s="1"/>
  <c r="W40" i="10" s="1"/>
  <c r="I38" i="1" s="1"/>
  <c r="E38" i="9"/>
  <c r="H38" i="30" s="1"/>
  <c r="U40" i="10" s="1"/>
  <c r="X40" i="10" s="1"/>
  <c r="J38" i="1" s="1"/>
  <c r="C39" i="9"/>
  <c r="F39" i="30" s="1"/>
  <c r="S41" i="10" s="1"/>
  <c r="V41" i="10" s="1"/>
  <c r="H39" i="1" s="1"/>
  <c r="D39" i="9"/>
  <c r="G39" i="30" s="1"/>
  <c r="T41" i="10" s="1"/>
  <c r="W41" i="10" s="1"/>
  <c r="I39" i="1" s="1"/>
  <c r="E39" i="9"/>
  <c r="H39" i="30" s="1"/>
  <c r="U41" i="10" s="1"/>
  <c r="X41" i="10" s="1"/>
  <c r="J39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18" i="5"/>
  <c r="C18" i="30" s="1"/>
  <c r="D18" i="5"/>
  <c r="D18" i="30" s="1"/>
  <c r="H20" i="10" s="1"/>
  <c r="K20" i="10" s="1"/>
  <c r="F18" i="1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I22" i="10" s="1"/>
  <c r="L22" i="10" s="1"/>
  <c r="G20" i="1" s="1"/>
  <c r="C21" i="5"/>
  <c r="C21" i="30" s="1"/>
  <c r="G23" i="10" s="1"/>
  <c r="J23" i="10" s="1"/>
  <c r="E21" i="1" s="1"/>
  <c r="D21" i="5"/>
  <c r="D21" i="30" s="1"/>
  <c r="H23" i="10" s="1"/>
  <c r="K23" i="10" s="1"/>
  <c r="F21" i="1" s="1"/>
  <c r="E21" i="5"/>
  <c r="E21" i="30" s="1"/>
  <c r="I23" i="10" s="1"/>
  <c r="L23" i="10" s="1"/>
  <c r="G21" i="1" s="1"/>
  <c r="C22" i="5"/>
  <c r="C22" i="30" s="1"/>
  <c r="D22" i="5"/>
  <c r="D22" i="30" s="1"/>
  <c r="E22" i="5"/>
  <c r="E22" i="30" s="1"/>
  <c r="C23" i="5"/>
  <c r="C23" i="30" s="1"/>
  <c r="G25" i="10" s="1"/>
  <c r="J25" i="10" s="1"/>
  <c r="E23" i="1" s="1"/>
  <c r="D23" i="5"/>
  <c r="D23" i="30" s="1"/>
  <c r="E23" i="5"/>
  <c r="E23" i="30" s="1"/>
  <c r="I25" i="10" s="1"/>
  <c r="L25" i="10" s="1"/>
  <c r="G23" i="1" s="1"/>
  <c r="C24" i="5"/>
  <c r="C24" i="30" s="1"/>
  <c r="G26" i="10" s="1"/>
  <c r="J26" i="10" s="1"/>
  <c r="E24" i="1" s="1"/>
  <c r="D24" i="5"/>
  <c r="D24" i="30" s="1"/>
  <c r="E24" i="5"/>
  <c r="E24" i="30" s="1"/>
  <c r="I26" i="10" s="1"/>
  <c r="L26" i="10" s="1"/>
  <c r="G24" i="1" s="1"/>
  <c r="C25" i="5"/>
  <c r="C25" i="30" s="1"/>
  <c r="D25" i="5"/>
  <c r="D25" i="30" s="1"/>
  <c r="E25" i="5"/>
  <c r="E25" i="30" s="1"/>
  <c r="I27" i="10" s="1"/>
  <c r="L27" i="10" s="1"/>
  <c r="G25" i="1" s="1"/>
  <c r="C26" i="5"/>
  <c r="C26" i="30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28" i="5"/>
  <c r="C28" i="30" s="1"/>
  <c r="G30" i="10" s="1"/>
  <c r="J30" i="10" s="1"/>
  <c r="E28" i="1" s="1"/>
  <c r="D28" i="5"/>
  <c r="D28" i="30" s="1"/>
  <c r="H30" i="10" s="1"/>
  <c r="K30" i="10" s="1"/>
  <c r="F28" i="1" s="1"/>
  <c r="E28" i="5"/>
  <c r="E28" i="30" s="1"/>
  <c r="I30" i="10" s="1"/>
  <c r="L30" i="10" s="1"/>
  <c r="G28" i="1" s="1"/>
  <c r="C30" i="5"/>
  <c r="C30" i="30" s="1"/>
  <c r="D30" i="5"/>
  <c r="D30" i="30" s="1"/>
  <c r="H32" i="10" s="1"/>
  <c r="K32" i="10" s="1"/>
  <c r="F30" i="1" s="1"/>
  <c r="E30" i="5"/>
  <c r="E30" i="30" s="1"/>
  <c r="C33" i="5"/>
  <c r="C33" i="30" s="1"/>
  <c r="G35" i="10" s="1"/>
  <c r="J35" i="10" s="1"/>
  <c r="E33" i="1" s="1"/>
  <c r="D33" i="5"/>
  <c r="D33" i="30" s="1"/>
  <c r="E33" i="5"/>
  <c r="E33" i="30" s="1"/>
  <c r="I35" i="10" s="1"/>
  <c r="L35" i="10" s="1"/>
  <c r="G33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I36" i="10" s="1"/>
  <c r="L36" i="10" s="1"/>
  <c r="G34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5" i="5"/>
  <c r="C35" i="30" s="1"/>
  <c r="D35" i="5"/>
  <c r="D35" i="30" s="1"/>
  <c r="E35" i="5"/>
  <c r="E35" i="30" s="1"/>
  <c r="I37" i="10" s="1"/>
  <c r="L37" i="10" s="1"/>
  <c r="G35" i="1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38" i="5"/>
  <c r="C38" i="30" s="1"/>
  <c r="D38" i="5"/>
  <c r="D38" i="30" s="1"/>
  <c r="E38" i="5"/>
  <c r="E38" i="30" s="1"/>
  <c r="C39" i="5"/>
  <c r="C39" i="30" s="1"/>
  <c r="G41" i="10" s="1"/>
  <c r="J41" i="10" s="1"/>
  <c r="E39" i="1" s="1"/>
  <c r="D39" i="5"/>
  <c r="D39" i="30" s="1"/>
  <c r="H41" i="10" s="1"/>
  <c r="K41" i="10" s="1"/>
  <c r="F39" i="1" s="1"/>
  <c r="E39" i="5"/>
  <c r="E39" i="30" s="1"/>
  <c r="I41" i="10" s="1"/>
  <c r="L41" i="10" s="1"/>
  <c r="G39" i="1" s="1"/>
  <c r="C36" i="5"/>
  <c r="C36" i="30" s="1"/>
  <c r="G38" i="10" s="1"/>
  <c r="J38" i="10" s="1"/>
  <c r="E36" i="1" s="1"/>
  <c r="D36" i="5"/>
  <c r="D36" i="30" s="1"/>
  <c r="H38" i="10" s="1"/>
  <c r="K38" i="10" s="1"/>
  <c r="F36" i="1" s="1"/>
  <c r="E36" i="5"/>
  <c r="E36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J8" i="30"/>
  <c r="AF10" i="10" s="1"/>
  <c r="AI10" i="10" s="1"/>
  <c r="L8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N12" i="30"/>
  <c r="AS14" i="10" s="1"/>
  <c r="AV14" i="10" s="1"/>
  <c r="P12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K15" i="30"/>
  <c r="AG17" i="10" s="1"/>
  <c r="AJ17" i="10" s="1"/>
  <c r="M15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P4" i="30"/>
  <c r="BD6" i="10" s="1"/>
  <c r="Q4" i="30"/>
  <c r="BE6" i="10" s="1"/>
  <c r="BH6" i="10" s="1"/>
  <c r="S4" i="1" s="1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D17" i="7"/>
  <c r="M17" i="30" s="1"/>
  <c r="AR19" i="10" s="1"/>
  <c r="AU19" i="10" s="1"/>
  <c r="O17" i="1" s="1"/>
  <c r="C17" i="7"/>
  <c r="L17" i="30" s="1"/>
  <c r="AQ19" i="10" s="1"/>
  <c r="AT19" i="10" s="1"/>
  <c r="N17" i="1" s="1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40" i="8"/>
  <c r="T40" i="8"/>
  <c r="Q40" i="8"/>
  <c r="N40" i="8"/>
  <c r="K40" i="8"/>
  <c r="H40" i="8"/>
  <c r="G40" i="8"/>
  <c r="I40" i="8"/>
  <c r="J40" i="8"/>
  <c r="L40" i="8"/>
  <c r="M40" i="8"/>
  <c r="O40" i="8"/>
  <c r="P40" i="8"/>
  <c r="R40" i="8"/>
  <c r="S40" i="8"/>
  <c r="U40" i="8"/>
  <c r="V40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S16" i="10" s="1"/>
  <c r="V16" i="10" s="1"/>
  <c r="H14" i="1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D4" i="9"/>
  <c r="G4" i="30" s="1"/>
  <c r="T6" i="10" s="1"/>
  <c r="E4" i="9"/>
  <c r="H4" i="30" s="1"/>
  <c r="U6" i="10" s="1"/>
  <c r="X6" i="10" s="1"/>
  <c r="J4" i="1" s="1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D12" i="5"/>
  <c r="D12" i="30" s="1"/>
  <c r="E12" i="5"/>
  <c r="E12" i="30" s="1"/>
  <c r="I14" i="10" s="1"/>
  <c r="L14" i="10" s="1"/>
  <c r="G12" i="1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I17" i="10" s="1"/>
  <c r="L17" i="10" s="1"/>
  <c r="G15" i="1" s="1"/>
  <c r="C16" i="5"/>
  <c r="C16" i="30" s="1"/>
  <c r="G18" i="10" s="1"/>
  <c r="J18" i="10" s="1"/>
  <c r="E16" i="1" s="1"/>
  <c r="D16" i="5"/>
  <c r="D16" i="30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D4" i="5"/>
  <c r="D4" i="30" s="1"/>
  <c r="E4" i="5"/>
  <c r="E4" i="30" s="1"/>
  <c r="C4" i="5"/>
  <c r="DO40" i="5"/>
  <c r="DN40" i="5"/>
  <c r="DM40" i="5"/>
  <c r="DL40" i="5"/>
  <c r="DK40" i="5"/>
  <c r="DJ40" i="5"/>
  <c r="DI40" i="5"/>
  <c r="DH40" i="5"/>
  <c r="DG40" i="5"/>
  <c r="DF40" i="5"/>
  <c r="DE40" i="5"/>
  <c r="DD40" i="5"/>
  <c r="DC40" i="5"/>
  <c r="DB40" i="5"/>
  <c r="DA40" i="5"/>
  <c r="CZ40" i="5"/>
  <c r="CY40" i="5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BE40" i="5"/>
  <c r="BD40" i="5"/>
  <c r="BC40" i="5"/>
  <c r="BB40" i="5"/>
  <c r="BA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O4" i="30"/>
  <c r="BC6" i="10" s="1"/>
  <c r="E3" i="4"/>
  <c r="F40" i="8"/>
  <c r="C4" i="9"/>
  <c r="F4" i="30" s="1"/>
  <c r="S6" i="10" s="1"/>
  <c r="F40" i="9"/>
  <c r="G40" i="5"/>
  <c r="F40" i="5"/>
  <c r="I6" i="30"/>
  <c r="AE8" i="10" s="1"/>
  <c r="AH8" i="10" s="1"/>
  <c r="K6" i="1" s="1"/>
  <c r="I8" i="30"/>
  <c r="AE10" i="10" s="1"/>
  <c r="AH10" i="10" s="1"/>
  <c r="K8" i="1" s="1"/>
  <c r="J10" i="30"/>
  <c r="AF12" i="10" s="1"/>
  <c r="AI12" i="10" s="1"/>
  <c r="L10" i="1" s="1"/>
  <c r="I16" i="30"/>
  <c r="AE18" i="10" s="1"/>
  <c r="AH18" i="10" s="1"/>
  <c r="K16" i="1" s="1"/>
  <c r="J17" i="30"/>
  <c r="AF19" i="10" s="1"/>
  <c r="AI19" i="10" s="1"/>
  <c r="L17" i="1" s="1"/>
  <c r="T38" i="30" l="1"/>
  <c r="S38" i="30"/>
  <c r="R35" i="30"/>
  <c r="R18" i="30"/>
  <c r="S22" i="30"/>
  <c r="V34" i="1"/>
  <c r="R29" i="30"/>
  <c r="S20" i="30"/>
  <c r="S39" i="30"/>
  <c r="S23" i="30"/>
  <c r="U32" i="1"/>
  <c r="T22" i="30"/>
  <c r="S35" i="30"/>
  <c r="T37" i="30"/>
  <c r="R37" i="30"/>
  <c r="R36" i="30"/>
  <c r="T35" i="30"/>
  <c r="R38" i="30"/>
  <c r="S33" i="30"/>
  <c r="I32" i="10"/>
  <c r="L32" i="10" s="1"/>
  <c r="G30" i="1" s="1"/>
  <c r="V30" i="1" s="1"/>
  <c r="T30" i="30"/>
  <c r="H26" i="10"/>
  <c r="K26" i="10" s="1"/>
  <c r="F24" i="1" s="1"/>
  <c r="U24" i="1" s="1"/>
  <c r="S24" i="30"/>
  <c r="R20" i="30"/>
  <c r="G22" i="10"/>
  <c r="J22" i="10" s="1"/>
  <c r="E20" i="1" s="1"/>
  <c r="T20" i="1" s="1"/>
  <c r="R26" i="30"/>
  <c r="G28" i="10"/>
  <c r="J28" i="10" s="1"/>
  <c r="E26" i="1" s="1"/>
  <c r="T26" i="1" s="1"/>
  <c r="I38" i="10"/>
  <c r="L38" i="10" s="1"/>
  <c r="G36" i="1" s="1"/>
  <c r="V36" i="1" s="1"/>
  <c r="T36" i="30"/>
  <c r="S36" i="30"/>
  <c r="S19" i="30"/>
  <c r="H35" i="10"/>
  <c r="K35" i="10" s="1"/>
  <c r="F33" i="1" s="1"/>
  <c r="U33" i="1" s="1"/>
  <c r="S29" i="30"/>
  <c r="R32" i="30"/>
  <c r="I40" i="10"/>
  <c r="L40" i="10" s="1"/>
  <c r="G38" i="1" s="1"/>
  <c r="V38" i="1" s="1"/>
  <c r="T37" i="1"/>
  <c r="V37" i="1"/>
  <c r="U37" i="1"/>
  <c r="T24" i="1"/>
  <c r="V20" i="1"/>
  <c r="V26" i="1"/>
  <c r="V23" i="1"/>
  <c r="V39" i="1"/>
  <c r="T39" i="30"/>
  <c r="R31" i="30"/>
  <c r="T28" i="30"/>
  <c r="R24" i="30"/>
  <c r="S18" i="30"/>
  <c r="H40" i="10"/>
  <c r="K40" i="10" s="1"/>
  <c r="F38" i="1" s="1"/>
  <c r="U38" i="1" s="1"/>
  <c r="H37" i="10"/>
  <c r="K37" i="10" s="1"/>
  <c r="F35" i="1" s="1"/>
  <c r="U35" i="1" s="1"/>
  <c r="H25" i="10"/>
  <c r="K25" i="10" s="1"/>
  <c r="F23" i="1" s="1"/>
  <c r="U23" i="1" s="1"/>
  <c r="BC33" i="10"/>
  <c r="BF33" i="10" s="1"/>
  <c r="Q31" i="1" s="1"/>
  <c r="T31" i="1" s="1"/>
  <c r="BE30" i="10"/>
  <c r="BH30" i="10" s="1"/>
  <c r="S28" i="1" s="1"/>
  <c r="V28" i="1" s="1"/>
  <c r="T34" i="30"/>
  <c r="S28" i="30"/>
  <c r="T24" i="30"/>
  <c r="T18" i="30"/>
  <c r="G40" i="10"/>
  <c r="J40" i="10" s="1"/>
  <c r="E38" i="1" s="1"/>
  <c r="T38" i="1" s="1"/>
  <c r="G37" i="10"/>
  <c r="J37" i="10" s="1"/>
  <c r="E35" i="1" s="1"/>
  <c r="T35" i="1" s="1"/>
  <c r="BD30" i="10"/>
  <c r="BG30" i="10" s="1"/>
  <c r="R28" i="1" s="1"/>
  <c r="U28" i="1" s="1"/>
  <c r="S37" i="30"/>
  <c r="S34" i="30"/>
  <c r="AQ31" i="10"/>
  <c r="AT31" i="10" s="1"/>
  <c r="N29" i="1" s="1"/>
  <c r="T29" i="1" s="1"/>
  <c r="T27" i="30"/>
  <c r="T21" i="30"/>
  <c r="H22" i="10"/>
  <c r="K22" i="10" s="1"/>
  <c r="F20" i="1" s="1"/>
  <c r="U20" i="1" s="1"/>
  <c r="AR38" i="10"/>
  <c r="AU38" i="10" s="1"/>
  <c r="O36" i="1" s="1"/>
  <c r="U36" i="1" s="1"/>
  <c r="R39" i="30"/>
  <c r="S27" i="30"/>
  <c r="T23" i="30"/>
  <c r="S21" i="30"/>
  <c r="BE29" i="10"/>
  <c r="BH29" i="10" s="1"/>
  <c r="S27" i="1" s="1"/>
  <c r="V27" i="1" s="1"/>
  <c r="BE26" i="10"/>
  <c r="BH26" i="10" s="1"/>
  <c r="S24" i="1" s="1"/>
  <c r="V24" i="1" s="1"/>
  <c r="T33" i="30"/>
  <c r="T26" i="30"/>
  <c r="T20" i="30"/>
  <c r="BD29" i="10"/>
  <c r="BG29" i="10" s="1"/>
  <c r="R27" i="1" s="1"/>
  <c r="U27" i="1" s="1"/>
  <c r="S26" i="30"/>
  <c r="I24" i="10"/>
  <c r="L24" i="10" s="1"/>
  <c r="G22" i="1" s="1"/>
  <c r="V22" i="1" s="1"/>
  <c r="BE23" i="10"/>
  <c r="BH23" i="10" s="1"/>
  <c r="S21" i="1" s="1"/>
  <c r="V21" i="1" s="1"/>
  <c r="H24" i="10"/>
  <c r="K24" i="10" s="1"/>
  <c r="F22" i="1" s="1"/>
  <c r="U22" i="1" s="1"/>
  <c r="AF31" i="10"/>
  <c r="AI31" i="10" s="1"/>
  <c r="L29" i="1" s="1"/>
  <c r="U29" i="1" s="1"/>
  <c r="BD23" i="10"/>
  <c r="BG23" i="10" s="1"/>
  <c r="R21" i="1" s="1"/>
  <c r="U21" i="1" s="1"/>
  <c r="AF21" i="10"/>
  <c r="AI21" i="10" s="1"/>
  <c r="L19" i="1" s="1"/>
  <c r="U19" i="1" s="1"/>
  <c r="BE37" i="10"/>
  <c r="BH37" i="10" s="1"/>
  <c r="S35" i="1" s="1"/>
  <c r="V35" i="1" s="1"/>
  <c r="BC34" i="10"/>
  <c r="BF34" i="10" s="1"/>
  <c r="Q32" i="1" s="1"/>
  <c r="T32" i="1" s="1"/>
  <c r="S32" i="30"/>
  <c r="S30" i="30"/>
  <c r="T31" i="30"/>
  <c r="T29" i="30"/>
  <c r="BC38" i="10"/>
  <c r="BF38" i="10" s="1"/>
  <c r="Q36" i="1" s="1"/>
  <c r="T36" i="1" s="1"/>
  <c r="BE33" i="10"/>
  <c r="BH33" i="10" s="1"/>
  <c r="S31" i="1" s="1"/>
  <c r="V31" i="1" s="1"/>
  <c r="BE31" i="10"/>
  <c r="BH31" i="10" s="1"/>
  <c r="S29" i="1" s="1"/>
  <c r="V29" i="1" s="1"/>
  <c r="T33" i="1"/>
  <c r="T28" i="1"/>
  <c r="T23" i="1"/>
  <c r="U26" i="1"/>
  <c r="V18" i="1"/>
  <c r="U18" i="1"/>
  <c r="U39" i="1"/>
  <c r="V33" i="1"/>
  <c r="U30" i="1"/>
  <c r="V19" i="1"/>
  <c r="T27" i="1"/>
  <c r="T39" i="1"/>
  <c r="U31" i="1"/>
  <c r="T34" i="1"/>
  <c r="V25" i="1"/>
  <c r="V32" i="1"/>
  <c r="U34" i="1"/>
  <c r="T21" i="1"/>
  <c r="R28" i="30"/>
  <c r="R27" i="30"/>
  <c r="G24" i="10"/>
  <c r="J24" i="10" s="1"/>
  <c r="E22" i="1" s="1"/>
  <c r="T22" i="1" s="1"/>
  <c r="R22" i="30"/>
  <c r="G20" i="10"/>
  <c r="J20" i="10" s="1"/>
  <c r="E18" i="1" s="1"/>
  <c r="T18" i="1" s="1"/>
  <c r="T25" i="30"/>
  <c r="H27" i="10"/>
  <c r="K27" i="10" s="1"/>
  <c r="F25" i="1" s="1"/>
  <c r="U25" i="1" s="1"/>
  <c r="S25" i="30"/>
  <c r="R19" i="30"/>
  <c r="T19" i="1"/>
  <c r="R30" i="30"/>
  <c r="G32" i="10"/>
  <c r="J32" i="10" s="1"/>
  <c r="E30" i="1" s="1"/>
  <c r="T30" i="1" s="1"/>
  <c r="R25" i="30"/>
  <c r="G27" i="10"/>
  <c r="J27" i="10" s="1"/>
  <c r="E25" i="1" s="1"/>
  <c r="T25" i="1" s="1"/>
  <c r="T32" i="30"/>
  <c r="R34" i="30"/>
  <c r="R23" i="30"/>
  <c r="R21" i="30"/>
  <c r="T19" i="30"/>
  <c r="R33" i="30"/>
  <c r="S31" i="30"/>
  <c r="S18" i="10"/>
  <c r="V18" i="10" s="1"/>
  <c r="H16" i="1" s="1"/>
  <c r="T16" i="1" s="1"/>
  <c r="R16" i="30"/>
  <c r="U9" i="1"/>
  <c r="V16" i="1"/>
  <c r="U14" i="1"/>
  <c r="T9" i="1"/>
  <c r="S16" i="30"/>
  <c r="T17" i="1"/>
  <c r="T8" i="30"/>
  <c r="T14" i="1"/>
  <c r="U13" i="1"/>
  <c r="U15" i="1"/>
  <c r="T5" i="1"/>
  <c r="T13" i="1"/>
  <c r="T4" i="30"/>
  <c r="T16" i="30"/>
  <c r="T15" i="1"/>
  <c r="U17" i="1"/>
  <c r="V6" i="1"/>
  <c r="T9" i="30"/>
  <c r="U7" i="1"/>
  <c r="U11" i="1"/>
  <c r="T15" i="30"/>
  <c r="T7" i="1"/>
  <c r="U6" i="1"/>
  <c r="V8" i="1"/>
  <c r="U10" i="1"/>
  <c r="U5" i="1"/>
  <c r="T6" i="1"/>
  <c r="T11" i="1"/>
  <c r="T10" i="1"/>
  <c r="I19" i="10"/>
  <c r="L19" i="10" s="1"/>
  <c r="G17" i="1" s="1"/>
  <c r="V17" i="1" s="1"/>
  <c r="T17" i="30"/>
  <c r="T5" i="30"/>
  <c r="I7" i="10"/>
  <c r="L7" i="10" s="1"/>
  <c r="G5" i="1" s="1"/>
  <c r="V5" i="1" s="1"/>
  <c r="S8" i="30"/>
  <c r="H10" i="10"/>
  <c r="K10" i="10" s="1"/>
  <c r="F8" i="1" s="1"/>
  <c r="U8" i="1" s="1"/>
  <c r="H14" i="10"/>
  <c r="K14" i="10" s="1"/>
  <c r="F12" i="1" s="1"/>
  <c r="U12" i="1" s="1"/>
  <c r="S12" i="30"/>
  <c r="G14" i="10"/>
  <c r="J14" i="10" s="1"/>
  <c r="E12" i="1" s="1"/>
  <c r="T12" i="1" s="1"/>
  <c r="R12" i="30"/>
  <c r="I15" i="10"/>
  <c r="L15" i="10" s="1"/>
  <c r="G13" i="1" s="1"/>
  <c r="V13" i="1" s="1"/>
  <c r="T13" i="30"/>
  <c r="R5" i="30"/>
  <c r="I11" i="10"/>
  <c r="L11" i="10" s="1"/>
  <c r="G9" i="1" s="1"/>
  <c r="V9" i="1" s="1"/>
  <c r="S5" i="30"/>
  <c r="S13" i="30"/>
  <c r="I6" i="10"/>
  <c r="L6" i="10" s="1"/>
  <c r="G4" i="1" s="1"/>
  <c r="V4" i="1" s="1"/>
  <c r="H18" i="10"/>
  <c r="K18" i="10" s="1"/>
  <c r="F16" i="1" s="1"/>
  <c r="U16" i="1" s="1"/>
  <c r="T12" i="30"/>
  <c r="R15" i="30"/>
  <c r="T11" i="30"/>
  <c r="T6" i="30"/>
  <c r="T14" i="30"/>
  <c r="S11" i="30"/>
  <c r="S6" i="30"/>
  <c r="R14" i="30"/>
  <c r="S17" i="30"/>
  <c r="S9" i="30"/>
  <c r="S14" i="30"/>
  <c r="R17" i="30"/>
  <c r="S7" i="30"/>
  <c r="S15" i="30"/>
  <c r="T10" i="30"/>
  <c r="T7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15" i="1"/>
  <c r="V14" i="1"/>
  <c r="V12" i="1"/>
  <c r="V11" i="1"/>
  <c r="V10" i="1"/>
  <c r="V7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<sst xmlns="http://schemas.openxmlformats.org/spreadsheetml/2006/main" count="2223" uniqueCount="443">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</sst>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HAVERTZ Kai</c:v>
                </c:pt>
                <c:pt idx="20">
                  <c:v>MESLIER Illan</c:v>
                </c:pt>
                <c:pt idx="21">
                  <c:v>CALAFIORI Riccardo</c:v>
                </c:pt>
                <c:pt idx="22">
                  <c:v>SETFORD Tommy</c:v>
                </c:pt>
                <c:pt idx="23">
                  <c:v>ZUBIMENDI Martin</c:v>
                </c:pt>
                <c:pt idx="24">
                  <c:v>GUIMARES Bruno</c:v>
                </c:pt>
                <c:pt idx="25">
                  <c:v>DIXON Jaden</c:v>
                </c:pt>
                <c:pt idx="26">
                  <c:v>RICE Declan</c:v>
                </c:pt>
                <c:pt idx="27">
                  <c:v>HARRIMAN-ANNOUS Andre</c:v>
                </c:pt>
                <c:pt idx="28">
                  <c:v>IBRAHIM Ife</c:v>
                </c:pt>
                <c:pt idx="29">
                  <c:v>KABIA Ismeal</c:v>
                </c:pt>
                <c:pt idx="30">
                  <c:v>LEWIS-SKELLY Myles</c:v>
                </c:pt>
                <c:pt idx="31">
                  <c:v>SAGOE JR Charles</c:v>
                </c:pt>
                <c:pt idx="32">
                  <c:v>PORTER Jack</c:v>
                </c:pt>
                <c:pt idx="33">
                  <c:v>DOWMAN Max</c:v>
                </c:pt>
              </c:strCache>
            </c:strRef>
          </c:cat>
          <c:val>
            <c:numRef>
              <c:f>'Apps &amp; Goals 26-27'!$R$4:$R$37</c:f>
              <c:numCache>
                <c:formatCode>General</c:formatCode>
                <c:ptCount val="34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2</c:v>
                </c:pt>
                <c:pt idx="17">
                  <c:v>0</c:v>
                </c:pt>
                <c:pt idx="18">
                  <c:v>2</c:v>
                </c:pt>
                <c:pt idx="19">
                  <c:v>3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2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HAVERTZ Kai</c:v>
                </c:pt>
                <c:pt idx="20">
                  <c:v>MESLIER Illan</c:v>
                </c:pt>
                <c:pt idx="21">
                  <c:v>CALAFIORI Riccardo</c:v>
                </c:pt>
                <c:pt idx="22">
                  <c:v>SETFORD Tommy</c:v>
                </c:pt>
                <c:pt idx="23">
                  <c:v>ZUBIMENDI Martin</c:v>
                </c:pt>
                <c:pt idx="24">
                  <c:v>GUIMARES Bruno</c:v>
                </c:pt>
                <c:pt idx="25">
                  <c:v>DIXON Jaden</c:v>
                </c:pt>
                <c:pt idx="26">
                  <c:v>RICE Declan</c:v>
                </c:pt>
                <c:pt idx="27">
                  <c:v>HARRIMAN-ANNOUS Andre</c:v>
                </c:pt>
                <c:pt idx="28">
                  <c:v>IBRAHIM Ife</c:v>
                </c:pt>
                <c:pt idx="29">
                  <c:v>KABIA Ismeal</c:v>
                </c:pt>
                <c:pt idx="30">
                  <c:v>LEWIS-SKELLY Myles</c:v>
                </c:pt>
                <c:pt idx="31">
                  <c:v>SAGOE JR Charles</c:v>
                </c:pt>
                <c:pt idx="32">
                  <c:v>PORTER Jack</c:v>
                </c:pt>
                <c:pt idx="33">
                  <c:v>DOWMAN Max</c:v>
                </c:pt>
              </c:strCache>
            </c:strRef>
          </c:cat>
          <c:val>
            <c:numRef>
              <c:f>'Apps &amp; Goals 26-27'!$S$4:$S$37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3CDB967-B45E-460B-AA44-A5D08BD3CB4E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2393D2C-B80E-431D-B446-13273310309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76480AC-BA9C-4F29-818F-43800A59BDC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F5A36C7-CB75-4DF2-8AD5-304DA39F6AA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813B788-9558-4088-94FE-882E025D3BF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15B5356-5D86-4210-8070-01C42B69747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9C933E0-3177-435C-85C0-AEFB0EAAF5B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7D063EE-4317-4878-B15A-541F98B8326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FA9E075-61B1-4A06-B407-522D786BF9B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12F1C09-7D58-44ED-8165-F0D85BAF39E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857265D-5BAA-4FF7-8AF3-8434E43B800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700961A-07A3-4892-A247-DE746BEDF47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E80EBDD-47D2-4A51-9C00-51454F169AE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952DFE8-7BC5-44CE-B1FF-4A2222339D1A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0A49CF7-6DD0-4D24-8042-031555157BB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880DB48-0DE1-4FA4-93D6-7467FE7BE35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BE20B87-A31B-456C-B31F-E87D607FFE3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F6BB8E8-1FC0-4B53-A62F-407C98DA1C6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90DB09E-2111-4626-973C-E6AD2D64941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74832E2-9E1D-4FCA-A180-D18D22DF8A4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Goals'!$T$7:$T$26</c:f>
              <c:numCache>
                <c:formatCode>General</c:formatCode>
                <c:ptCount val="20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123</c:v>
                </c:pt>
                <c:pt idx="6">
                  <c:v>55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3</c:v>
                </c:pt>
                <c:pt idx="13">
                  <c:v>44</c:v>
                </c:pt>
                <c:pt idx="14">
                  <c:v>51</c:v>
                </c:pt>
                <c:pt idx="15">
                  <c:v>80</c:v>
                </c:pt>
                <c:pt idx="16">
                  <c:v>114</c:v>
                </c:pt>
                <c:pt idx="17">
                  <c:v>0</c:v>
                </c:pt>
                <c:pt idx="18">
                  <c:v>68</c:v>
                </c:pt>
                <c:pt idx="19">
                  <c:v>2</c:v>
                </c:pt>
              </c:numCache>
            </c:numRef>
          </c:xVal>
          <c:yVal>
            <c:numRef>
              <c:f>'Apps &amp; Goals'!$U$7:$U$26</c:f>
              <c:numCache>
                <c:formatCode>General</c:formatCode>
                <c:ptCount val="20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  <c:pt idx="14">
                  <c:v>10</c:v>
                </c:pt>
                <c:pt idx="15">
                  <c:v>15</c:v>
                </c:pt>
                <c:pt idx="16">
                  <c:v>38</c:v>
                </c:pt>
                <c:pt idx="17">
                  <c:v>0</c:v>
                </c:pt>
                <c:pt idx="18">
                  <c:v>5</c:v>
                </c:pt>
                <c:pt idx="19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Goals'!$D$7:$D$26</c15:f>
                <c15:dlblRangeCache>
                  <c:ptCount val="20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KONSA Ezri</c:v>
                  </c:pt>
                  <c:pt idx="12">
                    <c:v>TZOLIS Christos</c:v>
                  </c:pt>
                  <c:pt idx="13">
                    <c:v>MADUEKE Nuno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HAVERTZ Kai</c:v>
                  </c:pt>
                  <c:pt idx="17">
                    <c:v>MESLIER Illan</c:v>
                  </c:pt>
                  <c:pt idx="18">
                    <c:v>CALAFIORI Riccardo</c:v>
                  </c:pt>
                  <c:pt idx="19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Goals'!$D$7:$D$26</c15:sqref>
                        </c15:formulaRef>
                      </c:ext>
                    </c:extLst>
                    <c:strCache>
                      <c:ptCount val="20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KONSA Ezri</c:v>
                      </c:pt>
                      <c:pt idx="12">
                        <c:v>TZOLIS Christos</c:v>
                      </c:pt>
                      <c:pt idx="13">
                        <c:v>MADUEKE Nuno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HAVERTZ Kai</c:v>
                      </c:pt>
                      <c:pt idx="17">
                        <c:v>MESLIER Illan</c:v>
                      </c:pt>
                      <c:pt idx="18">
                        <c:v>CALAFIORI Riccardo</c:v>
                      </c:pt>
                      <c:pt idx="19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Goals'!$U$7:$U$26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8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38</c:v>
                      </c:pt>
                      <c:pt idx="17">
                        <c:v>0</c:v>
                      </c:pt>
                      <c:pt idx="18">
                        <c:v>5</c:v>
                      </c:pt>
                      <c:pt idx="1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0" t="s">
        <v>4</v>
      </c>
      <c r="D1" s="210"/>
      <c r="E1" s="211" t="s">
        <v>120</v>
      </c>
      <c r="F1" s="211"/>
      <c r="G1" s="210" t="s">
        <v>108</v>
      </c>
      <c r="H1" s="210"/>
      <c r="I1" s="211" t="s">
        <v>110</v>
      </c>
      <c r="J1" s="211"/>
      <c r="K1" s="210" t="s">
        <v>39</v>
      </c>
      <c r="L1" s="210"/>
      <c r="M1" s="208" t="s">
        <v>7</v>
      </c>
      <c r="N1" s="209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1"/>
  <sheetViews>
    <sheetView topLeftCell="M1" zoomScale="70" zoomScaleNormal="70" zoomScalePageLayoutView="140" workbookViewId="0">
      <selection activeCell="M41" sqref="M41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M6">
        <v>1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9" si="0">G7+C7</f>
        <v>131</v>
      </c>
      <c r="K7" s="25">
        <f t="shared" ref="K7:K19" si="1">H7+D7</f>
        <v>7</v>
      </c>
      <c r="L7" s="25">
        <f t="shared" ref="L7:L19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9" si="3">S7+O7</f>
        <v>37</v>
      </c>
      <c r="W7" s="26">
        <f t="shared" ref="W7:W19" si="4">T7+P7</f>
        <v>1</v>
      </c>
      <c r="X7" s="26">
        <f t="shared" ref="X7:X19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9" si="6">AE7+AA7</f>
        <v>5</v>
      </c>
      <c r="AI7" s="24">
        <f t="shared" ref="AI7:AI19" si="7">AF7+AB7</f>
        <v>0</v>
      </c>
      <c r="AJ7" s="24">
        <f t="shared" ref="AJ7:AJ19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9" si="9">AQ7+AM7</f>
        <v>10</v>
      </c>
      <c r="AU7" s="18">
        <f t="shared" ref="AU7:AU19" si="10">AR7+AN7</f>
        <v>0</v>
      </c>
      <c r="AV7" s="18">
        <f t="shared" ref="AV7:AV19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9" si="12">BC7+AY7</f>
        <v>1</v>
      </c>
      <c r="BG7" s="33">
        <f t="shared" ref="BG7:BG19" si="13">BD7+AZ7</f>
        <v>0</v>
      </c>
      <c r="BH7" s="33">
        <f t="shared" ref="BH7:BH19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M9">
        <v>4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M10">
        <v>5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M13">
        <v>8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M14">
        <v>9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2</v>
      </c>
      <c r="H15" s="21">
        <f>'Apps &amp; Goals 26-27'!D13</f>
        <v>0</v>
      </c>
      <c r="I15" s="21">
        <f>'Apps &amp; Goals 26-27'!E13</f>
        <v>0</v>
      </c>
      <c r="J15" s="25">
        <f t="shared" si="0"/>
        <v>34</v>
      </c>
      <c r="K15" s="25">
        <f t="shared" si="1"/>
        <v>7</v>
      </c>
      <c r="L15" s="25">
        <f t="shared" si="2"/>
        <v>2</v>
      </c>
      <c r="M15">
        <v>10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M16">
        <v>11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M17">
        <v>12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M18">
        <v>13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M19">
        <v>14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15</v>
      </c>
      <c r="B20" s="22" t="s">
        <v>438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1</v>
      </c>
      <c r="H20" s="21">
        <f>'Apps &amp; Goals 26-27'!D18</f>
        <v>0</v>
      </c>
      <c r="I20" s="21">
        <f>'Apps &amp; Goals 26-27'!E18</f>
        <v>0</v>
      </c>
      <c r="J20" s="25">
        <f t="shared" ref="J20:J41" si="15">G20+C20</f>
        <v>1</v>
      </c>
      <c r="K20" s="25">
        <f t="shared" ref="K20:K41" si="16">H20+D20</f>
        <v>0</v>
      </c>
      <c r="L20" s="25">
        <f t="shared" ref="L20:L41" si="17">I20+E20</f>
        <v>0</v>
      </c>
      <c r="M20">
        <v>15</v>
      </c>
      <c r="N20" s="45" t="s">
        <v>438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ref="V20:V41" si="18">S20+O20</f>
        <v>0</v>
      </c>
      <c r="W20" s="26">
        <f t="shared" ref="W20:W41" si="19">T20+P20</f>
        <v>0</v>
      </c>
      <c r="X20" s="26">
        <f t="shared" ref="X20:X41" si="20">U20+Q20</f>
        <v>0</v>
      </c>
      <c r="Z20" s="57" t="s">
        <v>438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ref="AH20:AH41" si="21">AE20+AA20</f>
        <v>0</v>
      </c>
      <c r="AI20" s="24">
        <f t="shared" ref="AI20:AI41" si="22">AF20+AB20</f>
        <v>0</v>
      </c>
      <c r="AJ20" s="24">
        <f t="shared" ref="AJ20:AJ41" si="23">AG20+AC20</f>
        <v>0</v>
      </c>
      <c r="AL20" s="63" t="s">
        <v>438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ref="AT20:AT41" si="24">AQ20+AM20</f>
        <v>0</v>
      </c>
      <c r="AU20" s="18">
        <f t="shared" ref="AU20:AU41" si="25">AR20+AN20</f>
        <v>0</v>
      </c>
      <c r="AV20" s="18">
        <f t="shared" ref="AV20:AV41" si="26">AS20+AO20</f>
        <v>0</v>
      </c>
      <c r="AX20" s="32" t="s">
        <v>438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0</v>
      </c>
      <c r="BD20" s="64">
        <f>'Apps &amp; Goals 26-27'!P18</f>
        <v>0</v>
      </c>
      <c r="BE20" s="64">
        <f>'Apps &amp; Goals 26-27'!Q18</f>
        <v>0</v>
      </c>
      <c r="BF20" s="33">
        <f t="shared" ref="BF20:BF41" si="27">BC20+AY20</f>
        <v>0</v>
      </c>
      <c r="BG20" s="33">
        <f t="shared" ref="BG20:BG41" si="28">BD20+AZ20</f>
        <v>0</v>
      </c>
      <c r="BH20" s="33">
        <f t="shared" ref="BH20:BH41" si="29">BE20+BA20</f>
        <v>0</v>
      </c>
    </row>
    <row r="21" spans="1:60" x14ac:dyDescent="0.25">
      <c r="A21" s="4">
        <v>17</v>
      </c>
      <c r="B21" s="21" t="s">
        <v>344</v>
      </c>
      <c r="C21" s="25">
        <v>0</v>
      </c>
      <c r="D21" s="25">
        <v>0</v>
      </c>
      <c r="E21" s="25">
        <v>0</v>
      </c>
      <c r="F21" s="25"/>
      <c r="G21" s="21">
        <f>'Apps &amp; Goals 26-27'!C19</f>
        <v>2</v>
      </c>
      <c r="H21" s="21">
        <f>'Apps &amp; Goals 26-27'!D19</f>
        <v>0</v>
      </c>
      <c r="I21" s="21">
        <f>'Apps &amp; Goals 26-27'!E19</f>
        <v>0</v>
      </c>
      <c r="J21" s="25">
        <f t="shared" si="15"/>
        <v>2</v>
      </c>
      <c r="K21" s="25">
        <f t="shared" si="16"/>
        <v>0</v>
      </c>
      <c r="L21" s="25">
        <f t="shared" si="17"/>
        <v>0</v>
      </c>
      <c r="M21">
        <v>17</v>
      </c>
      <c r="N21" s="45" t="s">
        <v>344</v>
      </c>
      <c r="O21" s="26">
        <v>0</v>
      </c>
      <c r="P21" s="26">
        <v>0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0</v>
      </c>
      <c r="W21" s="26">
        <f t="shared" si="19"/>
        <v>0</v>
      </c>
      <c r="X21" s="26">
        <f t="shared" si="20"/>
        <v>0</v>
      </c>
      <c r="Z21" s="23" t="s">
        <v>344</v>
      </c>
      <c r="AA21" s="24">
        <v>0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0</v>
      </c>
      <c r="AI21" s="24">
        <f t="shared" si="22"/>
        <v>0</v>
      </c>
      <c r="AJ21" s="24">
        <f t="shared" si="23"/>
        <v>0</v>
      </c>
      <c r="AL21" s="63" t="s">
        <v>344</v>
      </c>
      <c r="AM21" s="18">
        <v>0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0</v>
      </c>
      <c r="AU21" s="18">
        <f t="shared" si="25"/>
        <v>0</v>
      </c>
      <c r="AV21" s="18">
        <f t="shared" si="26"/>
        <v>0</v>
      </c>
      <c r="AX21" s="32" t="s">
        <v>344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2</v>
      </c>
      <c r="BF21" s="33">
        <f t="shared" si="27"/>
        <v>1</v>
      </c>
      <c r="BG21" s="33">
        <f t="shared" si="28"/>
        <v>0</v>
      </c>
      <c r="BH21" s="33">
        <f t="shared" si="29"/>
        <v>2</v>
      </c>
    </row>
    <row r="22" spans="1:60" x14ac:dyDescent="0.25">
      <c r="A22" s="4">
        <v>20</v>
      </c>
      <c r="B22" s="21" t="s">
        <v>316</v>
      </c>
      <c r="C22" s="25">
        <v>26</v>
      </c>
      <c r="D22" s="25">
        <v>3</v>
      </c>
      <c r="E22" s="25">
        <v>1</v>
      </c>
      <c r="F22" s="25"/>
      <c r="G22" s="21">
        <f>'Apps &amp; Goals 26-27'!C20</f>
        <v>1</v>
      </c>
      <c r="H22" s="21">
        <f>'Apps &amp; Goals 26-27'!D20</f>
        <v>0</v>
      </c>
      <c r="I22" s="21">
        <f>'Apps &amp; Goals 26-27'!E20</f>
        <v>0</v>
      </c>
      <c r="J22" s="25">
        <f t="shared" si="15"/>
        <v>27</v>
      </c>
      <c r="K22" s="25">
        <f t="shared" si="16"/>
        <v>3</v>
      </c>
      <c r="L22" s="25">
        <f t="shared" si="17"/>
        <v>1</v>
      </c>
      <c r="M22">
        <v>20</v>
      </c>
      <c r="N22" s="20" t="s">
        <v>316</v>
      </c>
      <c r="O22" s="26">
        <v>9</v>
      </c>
      <c r="P22" s="26">
        <v>3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9</v>
      </c>
      <c r="W22" s="26">
        <f t="shared" si="19"/>
        <v>3</v>
      </c>
      <c r="X22" s="26">
        <f t="shared" si="20"/>
        <v>0</v>
      </c>
      <c r="Z22" s="23" t="s">
        <v>316</v>
      </c>
      <c r="AA22" s="24">
        <v>4</v>
      </c>
      <c r="AB22" s="24">
        <v>2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4</v>
      </c>
      <c r="AI22" s="24">
        <f t="shared" si="22"/>
        <v>2</v>
      </c>
      <c r="AJ22" s="24">
        <f t="shared" si="23"/>
        <v>2</v>
      </c>
      <c r="AL22" s="19" t="s">
        <v>316</v>
      </c>
      <c r="AM22" s="18">
        <v>3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3</v>
      </c>
      <c r="AU22" s="18">
        <f t="shared" si="25"/>
        <v>0</v>
      </c>
      <c r="AV22" s="18">
        <f t="shared" si="26"/>
        <v>0</v>
      </c>
      <c r="AX22" s="64" t="s">
        <v>316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1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1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22</v>
      </c>
      <c r="B23" s="22" t="s">
        <v>264</v>
      </c>
      <c r="C23" s="25">
        <v>34</v>
      </c>
      <c r="D23" s="25">
        <v>4</v>
      </c>
      <c r="E23" s="25">
        <v>2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15"/>
        <v>34</v>
      </c>
      <c r="K23" s="25">
        <f t="shared" si="16"/>
        <v>4</v>
      </c>
      <c r="L23" s="25">
        <f t="shared" si="17"/>
        <v>2</v>
      </c>
      <c r="M23">
        <v>22</v>
      </c>
      <c r="N23" s="45" t="s">
        <v>264</v>
      </c>
      <c r="O23" s="26">
        <v>10</v>
      </c>
      <c r="P23" s="26">
        <v>2</v>
      </c>
      <c r="Q23" s="26">
        <v>0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10</v>
      </c>
      <c r="W23" s="26">
        <f t="shared" si="19"/>
        <v>2</v>
      </c>
      <c r="X23" s="26">
        <f t="shared" si="20"/>
        <v>0</v>
      </c>
      <c r="Z23" s="23" t="s">
        <v>264</v>
      </c>
      <c r="AA23" s="24">
        <v>1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1</v>
      </c>
      <c r="AI23" s="24">
        <f t="shared" si="22"/>
        <v>0</v>
      </c>
      <c r="AJ23" s="24">
        <f t="shared" si="23"/>
        <v>0</v>
      </c>
      <c r="AL23" s="19" t="s">
        <v>264</v>
      </c>
      <c r="AM23" s="18">
        <v>6</v>
      </c>
      <c r="AN23" s="18">
        <v>4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6</v>
      </c>
      <c r="AU23" s="18">
        <f t="shared" si="25"/>
        <v>4</v>
      </c>
      <c r="AV23" s="18">
        <f t="shared" si="26"/>
        <v>0</v>
      </c>
      <c r="AX23" s="32" t="s">
        <v>264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0</v>
      </c>
      <c r="BG23" s="33">
        <f t="shared" si="28"/>
        <v>0</v>
      </c>
      <c r="BH23" s="33">
        <f t="shared" si="29"/>
        <v>0</v>
      </c>
    </row>
    <row r="24" spans="1:60" x14ac:dyDescent="0.25">
      <c r="A24" s="4">
        <v>23</v>
      </c>
      <c r="B24" s="21" t="s">
        <v>294</v>
      </c>
      <c r="C24" s="25">
        <v>50</v>
      </c>
      <c r="D24" s="25">
        <v>11</v>
      </c>
      <c r="E24" s="25">
        <v>5</v>
      </c>
      <c r="F24" s="25"/>
      <c r="G24" s="21">
        <f>'Apps &amp; Goals 26-27'!C22</f>
        <v>2</v>
      </c>
      <c r="H24" s="21">
        <f>'Apps &amp; Goals 26-27'!D22</f>
        <v>0</v>
      </c>
      <c r="I24" s="21">
        <f>'Apps &amp; Goals 26-27'!E22</f>
        <v>0</v>
      </c>
      <c r="J24" s="25">
        <f t="shared" si="15"/>
        <v>52</v>
      </c>
      <c r="K24" s="25">
        <f t="shared" si="16"/>
        <v>11</v>
      </c>
      <c r="L24" s="25">
        <f t="shared" si="17"/>
        <v>5</v>
      </c>
      <c r="M24">
        <v>23</v>
      </c>
      <c r="N24" s="20" t="s">
        <v>294</v>
      </c>
      <c r="O24" s="26">
        <v>19</v>
      </c>
      <c r="P24" s="26">
        <v>4</v>
      </c>
      <c r="Q24" s="26">
        <v>3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19</v>
      </c>
      <c r="W24" s="26">
        <f t="shared" si="19"/>
        <v>4</v>
      </c>
      <c r="X24" s="26">
        <f t="shared" si="20"/>
        <v>3</v>
      </c>
      <c r="Z24" s="23" t="s">
        <v>294</v>
      </c>
      <c r="AA24" s="24">
        <v>2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2</v>
      </c>
      <c r="AI24" s="24">
        <f t="shared" si="22"/>
        <v>0</v>
      </c>
      <c r="AJ24" s="24">
        <f t="shared" si="23"/>
        <v>0</v>
      </c>
      <c r="AL24" s="19" t="s">
        <v>294</v>
      </c>
      <c r="AM24" s="18">
        <v>7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7</v>
      </c>
      <c r="AU24" s="18">
        <f t="shared" si="25"/>
        <v>0</v>
      </c>
      <c r="AV24" s="18">
        <f t="shared" si="26"/>
        <v>0</v>
      </c>
      <c r="AX24" s="64" t="s">
        <v>294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x14ac:dyDescent="0.25">
      <c r="A25" s="56">
        <v>29</v>
      </c>
      <c r="B25" s="22" t="s">
        <v>276</v>
      </c>
      <c r="C25" s="25">
        <v>72</v>
      </c>
      <c r="D25" s="25">
        <v>24</v>
      </c>
      <c r="E25" s="25">
        <v>13</v>
      </c>
      <c r="F25" s="25"/>
      <c r="G25" s="21">
        <f>'Apps &amp; Goals 26-27'!C23</f>
        <v>2</v>
      </c>
      <c r="H25" s="21">
        <f>'Apps &amp; Goals 26-27'!D23</f>
        <v>1</v>
      </c>
      <c r="I25" s="21">
        <f>'Apps &amp; Goals 26-27'!E23</f>
        <v>0</v>
      </c>
      <c r="J25" s="25">
        <f t="shared" si="15"/>
        <v>74</v>
      </c>
      <c r="K25" s="25">
        <f t="shared" si="16"/>
        <v>25</v>
      </c>
      <c r="L25" s="25">
        <f t="shared" si="17"/>
        <v>13</v>
      </c>
      <c r="M25">
        <v>29</v>
      </c>
      <c r="N25" s="20" t="s">
        <v>276</v>
      </c>
      <c r="O25" s="26">
        <v>24</v>
      </c>
      <c r="P25" s="26">
        <v>9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24</v>
      </c>
      <c r="W25" s="26">
        <f t="shared" si="19"/>
        <v>9</v>
      </c>
      <c r="X25" s="26">
        <f t="shared" si="20"/>
        <v>2</v>
      </c>
      <c r="Z25" s="57" t="s">
        <v>276</v>
      </c>
      <c r="AA25" s="24">
        <v>5</v>
      </c>
      <c r="AB25" s="24">
        <v>0</v>
      </c>
      <c r="AC25" s="24">
        <v>1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5</v>
      </c>
      <c r="AI25" s="24">
        <f t="shared" si="22"/>
        <v>0</v>
      </c>
      <c r="AJ25" s="24">
        <f t="shared" si="23"/>
        <v>1</v>
      </c>
      <c r="AL25" s="63" t="s">
        <v>276</v>
      </c>
      <c r="AM25" s="18">
        <v>9</v>
      </c>
      <c r="AN25" s="18">
        <v>3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9</v>
      </c>
      <c r="AU25" s="18">
        <f t="shared" si="25"/>
        <v>3</v>
      </c>
      <c r="AV25" s="18">
        <f t="shared" si="26"/>
        <v>0</v>
      </c>
      <c r="AX25" s="64" t="s">
        <v>276</v>
      </c>
      <c r="AY25" s="33">
        <v>1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2</v>
      </c>
      <c r="BG25" s="33">
        <f t="shared" si="28"/>
        <v>1</v>
      </c>
      <c r="BH25" s="33">
        <f t="shared" si="29"/>
        <v>0</v>
      </c>
    </row>
    <row r="26" spans="1:60" x14ac:dyDescent="0.25">
      <c r="A26" s="56">
        <v>30</v>
      </c>
      <c r="B26" s="22" t="s">
        <v>345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30</v>
      </c>
      <c r="N26" s="20" t="s">
        <v>345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345</v>
      </c>
      <c r="AA26" s="24">
        <v>0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0</v>
      </c>
      <c r="AI26" s="24">
        <f t="shared" si="22"/>
        <v>0</v>
      </c>
      <c r="AJ26" s="24">
        <f t="shared" si="23"/>
        <v>0</v>
      </c>
      <c r="AL26" s="63" t="s">
        <v>345</v>
      </c>
      <c r="AM26" s="18">
        <v>0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0</v>
      </c>
      <c r="AU26" s="18">
        <f t="shared" si="25"/>
        <v>0</v>
      </c>
      <c r="AV26" s="18">
        <f t="shared" si="26"/>
        <v>0</v>
      </c>
      <c r="AX26" s="64" t="s">
        <v>345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33</v>
      </c>
      <c r="B27" s="22" t="s">
        <v>292</v>
      </c>
      <c r="C27" s="25">
        <v>45</v>
      </c>
      <c r="D27" s="25">
        <v>3</v>
      </c>
      <c r="E27" s="25">
        <v>3</v>
      </c>
      <c r="F27" s="25"/>
      <c r="G27" s="21">
        <f>'Apps &amp; Goals 26-27'!C25</f>
        <v>2</v>
      </c>
      <c r="H27" s="21">
        <f>'Apps &amp; Goals 26-27'!D25</f>
        <v>0</v>
      </c>
      <c r="I27" s="21">
        <f>'Apps &amp; Goals 26-27'!E25</f>
        <v>2</v>
      </c>
      <c r="J27" s="25">
        <f t="shared" si="15"/>
        <v>47</v>
      </c>
      <c r="K27" s="25">
        <f t="shared" si="16"/>
        <v>3</v>
      </c>
      <c r="L27" s="25">
        <f t="shared" si="17"/>
        <v>5</v>
      </c>
      <c r="M27">
        <v>33</v>
      </c>
      <c r="N27" s="20" t="s">
        <v>292</v>
      </c>
      <c r="O27" s="26">
        <v>14</v>
      </c>
      <c r="P27" s="26">
        <v>1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14</v>
      </c>
      <c r="W27" s="26">
        <f t="shared" si="19"/>
        <v>1</v>
      </c>
      <c r="X27" s="26">
        <f t="shared" si="20"/>
        <v>2</v>
      </c>
      <c r="Z27" s="57" t="s">
        <v>292</v>
      </c>
      <c r="AA27" s="24">
        <v>2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2</v>
      </c>
      <c r="AI27" s="24">
        <f t="shared" si="22"/>
        <v>0</v>
      </c>
      <c r="AJ27" s="24">
        <f t="shared" si="23"/>
        <v>0</v>
      </c>
      <c r="AL27" s="63" t="s">
        <v>292</v>
      </c>
      <c r="AM27" s="18">
        <v>4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4</v>
      </c>
      <c r="AU27" s="18">
        <f t="shared" si="25"/>
        <v>0</v>
      </c>
      <c r="AV27" s="18">
        <f t="shared" si="26"/>
        <v>0</v>
      </c>
      <c r="AX27" s="64" t="s">
        <v>292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1</v>
      </c>
      <c r="BE27" s="64">
        <f>'Apps &amp; Goals 26-27'!Q25</f>
        <v>0</v>
      </c>
      <c r="BF27" s="33">
        <f t="shared" si="27"/>
        <v>1</v>
      </c>
      <c r="BG27" s="33">
        <f t="shared" si="28"/>
        <v>1</v>
      </c>
      <c r="BH27" s="33">
        <f t="shared" si="29"/>
        <v>0</v>
      </c>
    </row>
    <row r="28" spans="1:60" ht="15.6" customHeight="1" x14ac:dyDescent="0.25">
      <c r="A28" s="56">
        <v>35</v>
      </c>
      <c r="B28" s="22" t="s">
        <v>304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15"/>
        <v>0</v>
      </c>
      <c r="K28" s="25">
        <f t="shared" si="16"/>
        <v>0</v>
      </c>
      <c r="L28" s="25">
        <f t="shared" si="17"/>
        <v>0</v>
      </c>
      <c r="M28">
        <v>35</v>
      </c>
      <c r="N28" s="20" t="s">
        <v>304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304</v>
      </c>
      <c r="AA28" s="24">
        <v>1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1</v>
      </c>
      <c r="AI28" s="24">
        <f t="shared" si="22"/>
        <v>0</v>
      </c>
      <c r="AJ28" s="24">
        <f t="shared" si="23"/>
        <v>0</v>
      </c>
      <c r="AL28" s="63" t="s">
        <v>304</v>
      </c>
      <c r="AM28" s="18">
        <v>1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1</v>
      </c>
      <c r="AU28" s="18">
        <f t="shared" si="25"/>
        <v>0</v>
      </c>
      <c r="AV28" s="18">
        <f t="shared" si="26"/>
        <v>0</v>
      </c>
      <c r="AX28" s="64" t="s">
        <v>304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0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0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36</v>
      </c>
      <c r="B29" s="22" t="s">
        <v>314</v>
      </c>
      <c r="C29" s="25">
        <v>38</v>
      </c>
      <c r="D29" s="25">
        <v>5</v>
      </c>
      <c r="E29" s="25">
        <v>1</v>
      </c>
      <c r="F29" s="25"/>
      <c r="G29" s="21">
        <f>'Apps &amp; Goals 26-27'!C27</f>
        <v>2</v>
      </c>
      <c r="H29" s="21">
        <f>'Apps &amp; Goals 26-27'!D27</f>
        <v>0</v>
      </c>
      <c r="I29" s="21">
        <f>'Apps &amp; Goals 26-27'!E27</f>
        <v>0</v>
      </c>
      <c r="J29" s="25">
        <f t="shared" si="15"/>
        <v>40</v>
      </c>
      <c r="K29" s="25">
        <f t="shared" si="16"/>
        <v>5</v>
      </c>
      <c r="L29" s="25">
        <f t="shared" si="17"/>
        <v>1</v>
      </c>
      <c r="M29">
        <v>36</v>
      </c>
      <c r="N29" s="20" t="s">
        <v>314</v>
      </c>
      <c r="O29" s="26">
        <v>13</v>
      </c>
      <c r="P29" s="26">
        <v>0</v>
      </c>
      <c r="Q29" s="26">
        <v>2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13</v>
      </c>
      <c r="W29" s="26">
        <f t="shared" si="19"/>
        <v>0</v>
      </c>
      <c r="X29" s="26">
        <f t="shared" si="20"/>
        <v>2</v>
      </c>
      <c r="Z29" s="57" t="s">
        <v>314</v>
      </c>
      <c r="AA29" s="24">
        <v>3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3</v>
      </c>
      <c r="AI29" s="24">
        <f t="shared" si="22"/>
        <v>0</v>
      </c>
      <c r="AJ29" s="24">
        <f t="shared" si="23"/>
        <v>0</v>
      </c>
      <c r="AL29" s="63" t="s">
        <v>314</v>
      </c>
      <c r="AM29" s="18">
        <v>3</v>
      </c>
      <c r="AN29" s="18">
        <v>1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3</v>
      </c>
      <c r="AU29" s="18">
        <f t="shared" si="25"/>
        <v>1</v>
      </c>
      <c r="AV29" s="18">
        <f t="shared" si="26"/>
        <v>0</v>
      </c>
      <c r="AX29" s="64" t="s">
        <v>314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0</v>
      </c>
      <c r="BE29" s="64">
        <f>'Apps &amp; Goals 26-27'!Q27</f>
        <v>0</v>
      </c>
      <c r="BF29" s="33">
        <f t="shared" si="27"/>
        <v>1</v>
      </c>
      <c r="BG29" s="33">
        <f t="shared" si="28"/>
        <v>0</v>
      </c>
      <c r="BH29" s="33">
        <f t="shared" si="29"/>
        <v>0</v>
      </c>
    </row>
    <row r="30" spans="1:60" ht="15.6" customHeight="1" x14ac:dyDescent="0.25">
      <c r="A30" s="56">
        <v>39</v>
      </c>
      <c r="B30" s="22" t="s">
        <v>346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1</v>
      </c>
      <c r="H30" s="21">
        <f>'Apps &amp; Goals 26-27'!D28</f>
        <v>0</v>
      </c>
      <c r="I30" s="21">
        <f>'Apps &amp; Goals 26-27'!E28</f>
        <v>0</v>
      </c>
      <c r="J30" s="25">
        <f t="shared" si="15"/>
        <v>1</v>
      </c>
      <c r="K30" s="25">
        <f t="shared" si="16"/>
        <v>0</v>
      </c>
      <c r="L30" s="25">
        <f t="shared" si="17"/>
        <v>0</v>
      </c>
      <c r="M30">
        <v>39</v>
      </c>
      <c r="N30" s="20" t="s">
        <v>346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0</v>
      </c>
      <c r="W30" s="26">
        <f t="shared" si="19"/>
        <v>0</v>
      </c>
      <c r="X30" s="26">
        <f t="shared" si="20"/>
        <v>0</v>
      </c>
      <c r="Z30" s="57" t="s">
        <v>346</v>
      </c>
      <c r="AA30" s="24">
        <v>0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0</v>
      </c>
      <c r="AI30" s="24">
        <f t="shared" si="22"/>
        <v>0</v>
      </c>
      <c r="AJ30" s="24">
        <f t="shared" si="23"/>
        <v>0</v>
      </c>
      <c r="AL30" s="63" t="s">
        <v>346</v>
      </c>
      <c r="AM30" s="18">
        <v>0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0</v>
      </c>
      <c r="AU30" s="18">
        <f t="shared" si="25"/>
        <v>0</v>
      </c>
      <c r="AV30" s="18">
        <f t="shared" si="26"/>
        <v>0</v>
      </c>
      <c r="AX30" s="64" t="s">
        <v>346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1</v>
      </c>
      <c r="BG30" s="33">
        <f t="shared" si="28"/>
        <v>0</v>
      </c>
      <c r="BH30" s="33">
        <f t="shared" si="29"/>
        <v>0</v>
      </c>
    </row>
    <row r="31" spans="1:60" x14ac:dyDescent="0.25">
      <c r="A31" s="4">
        <v>52</v>
      </c>
      <c r="B31" s="22" t="s">
        <v>342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>G31+C31</f>
        <v>0</v>
      </c>
      <c r="K31" s="25">
        <f>H31+D31</f>
        <v>0</v>
      </c>
      <c r="L31" s="25">
        <f>I31+E31</f>
        <v>0</v>
      </c>
      <c r="M31">
        <v>40</v>
      </c>
      <c r="N31" s="45" t="s">
        <v>342</v>
      </c>
      <c r="O31" s="26">
        <v>0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>S31+O31</f>
        <v>0</v>
      </c>
      <c r="W31" s="26">
        <f>T31+P31</f>
        <v>0</v>
      </c>
      <c r="X31" s="26">
        <f>U31+Q31</f>
        <v>0</v>
      </c>
      <c r="Z31" s="57" t="s">
        <v>342</v>
      </c>
      <c r="AA31" s="24">
        <v>1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>AE31+AA31</f>
        <v>1</v>
      </c>
      <c r="AI31" s="24">
        <f>AF31+AB31</f>
        <v>0</v>
      </c>
      <c r="AJ31" s="24">
        <f>AG31+AC31</f>
        <v>0</v>
      </c>
      <c r="AL31" s="63" t="s">
        <v>342</v>
      </c>
      <c r="AM31" s="18">
        <v>0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>AQ31+AM31</f>
        <v>0</v>
      </c>
      <c r="AU31" s="18">
        <f>AR31+AN31</f>
        <v>0</v>
      </c>
      <c r="AV31" s="18">
        <f>AS31+AO31</f>
        <v>0</v>
      </c>
      <c r="AX31" s="32" t="s">
        <v>342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>BC31+AY31</f>
        <v>0</v>
      </c>
      <c r="BG31" s="33">
        <f>BD31+AZ31</f>
        <v>0</v>
      </c>
      <c r="BH31" s="33">
        <f>BE31+BA31</f>
        <v>0</v>
      </c>
    </row>
    <row r="32" spans="1:60" x14ac:dyDescent="0.25">
      <c r="A32" s="4">
        <v>41</v>
      </c>
      <c r="B32" s="22" t="s">
        <v>278</v>
      </c>
      <c r="C32" s="25">
        <v>109</v>
      </c>
      <c r="D32" s="25">
        <v>15</v>
      </c>
      <c r="E32" s="25">
        <v>20</v>
      </c>
      <c r="F32" s="25"/>
      <c r="G32" s="21">
        <f>'Apps &amp; Goals 26-27'!C30</f>
        <v>2</v>
      </c>
      <c r="H32" s="21">
        <f>'Apps &amp; Goals 26-27'!D30</f>
        <v>0</v>
      </c>
      <c r="I32" s="21">
        <f>'Apps &amp; Goals 26-27'!E30</f>
        <v>0</v>
      </c>
      <c r="J32" s="25">
        <f t="shared" si="15"/>
        <v>111</v>
      </c>
      <c r="K32" s="25">
        <f t="shared" si="16"/>
        <v>15</v>
      </c>
      <c r="L32" s="25">
        <f t="shared" si="17"/>
        <v>20</v>
      </c>
      <c r="M32">
        <v>41</v>
      </c>
      <c r="N32" s="45" t="s">
        <v>278</v>
      </c>
      <c r="O32" s="26">
        <v>36</v>
      </c>
      <c r="P32" s="26">
        <v>5</v>
      </c>
      <c r="Q32" s="26">
        <v>5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18"/>
        <v>36</v>
      </c>
      <c r="W32" s="26">
        <f t="shared" si="19"/>
        <v>5</v>
      </c>
      <c r="X32" s="26">
        <f t="shared" si="20"/>
        <v>5</v>
      </c>
      <c r="Z32" s="57" t="s">
        <v>278</v>
      </c>
      <c r="AA32" s="24">
        <v>2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21"/>
        <v>2</v>
      </c>
      <c r="AI32" s="24">
        <f t="shared" si="22"/>
        <v>0</v>
      </c>
      <c r="AJ32" s="24">
        <f t="shared" si="23"/>
        <v>0</v>
      </c>
      <c r="AL32" s="63" t="s">
        <v>278</v>
      </c>
      <c r="AM32" s="18">
        <v>10</v>
      </c>
      <c r="AN32" s="18">
        <v>1</v>
      </c>
      <c r="AO32" s="18">
        <v>3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24"/>
        <v>10</v>
      </c>
      <c r="AU32" s="18">
        <f t="shared" si="25"/>
        <v>1</v>
      </c>
      <c r="AV32" s="18">
        <f t="shared" si="26"/>
        <v>3</v>
      </c>
      <c r="AX32" s="32" t="s">
        <v>278</v>
      </c>
      <c r="AY32" s="33">
        <v>1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27"/>
        <v>2</v>
      </c>
      <c r="BG32" s="33">
        <f t="shared" si="28"/>
        <v>0</v>
      </c>
      <c r="BH32" s="33">
        <f t="shared" si="29"/>
        <v>0</v>
      </c>
    </row>
    <row r="33" spans="1:60" x14ac:dyDescent="0.25">
      <c r="A33" s="56">
        <v>71</v>
      </c>
      <c r="B33" s="22" t="s">
        <v>328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>G33+C33</f>
        <v>0</v>
      </c>
      <c r="K33" s="25">
        <f>H33+D33</f>
        <v>0</v>
      </c>
      <c r="L33" s="25">
        <f>I33+E33</f>
        <v>0</v>
      </c>
      <c r="M33">
        <v>43</v>
      </c>
      <c r="N33" s="45" t="s">
        <v>328</v>
      </c>
      <c r="O33" s="26">
        <v>1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>S33+O33</f>
        <v>1</v>
      </c>
      <c r="W33" s="26">
        <f>T33+P33</f>
        <v>0</v>
      </c>
      <c r="X33" s="26">
        <f>U33+Q33</f>
        <v>0</v>
      </c>
      <c r="Z33" s="23" t="s">
        <v>328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>AE33+AA33</f>
        <v>0</v>
      </c>
      <c r="AI33" s="24">
        <f>AF33+AB33</f>
        <v>0</v>
      </c>
      <c r="AJ33" s="24">
        <f>AG33+AC33</f>
        <v>0</v>
      </c>
      <c r="AL33" s="19" t="s">
        <v>328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>AQ33+AM33</f>
        <v>1</v>
      </c>
      <c r="AU33" s="18">
        <f>AR33+AN33</f>
        <v>0</v>
      </c>
      <c r="AV33" s="18">
        <f>AS33+AO33</f>
        <v>0</v>
      </c>
      <c r="AX33" s="32" t="s">
        <v>328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>BC33+AY33</f>
        <v>0</v>
      </c>
      <c r="BG33" s="33">
        <f>BD33+AZ33</f>
        <v>0</v>
      </c>
      <c r="BH33" s="33">
        <f>BE33+BA33</f>
        <v>0</v>
      </c>
    </row>
    <row r="34" spans="1:60" x14ac:dyDescent="0.25">
      <c r="A34" s="56">
        <v>72</v>
      </c>
      <c r="B34" s="22" t="s">
        <v>339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>G34+C34</f>
        <v>0</v>
      </c>
      <c r="K34" s="25">
        <f>H34+D34</f>
        <v>0</v>
      </c>
      <c r="L34" s="25">
        <f>I34+E34</f>
        <v>0</v>
      </c>
      <c r="M34">
        <v>44</v>
      </c>
      <c r="N34" s="45" t="s">
        <v>339</v>
      </c>
      <c r="O34" s="26">
        <v>1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>S34+O34</f>
        <v>1</v>
      </c>
      <c r="W34" s="26">
        <f>T34+P34</f>
        <v>0</v>
      </c>
      <c r="X34" s="26">
        <f>U34+Q34</f>
        <v>0</v>
      </c>
      <c r="Z34" s="23" t="s">
        <v>339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>AE34+AA34</f>
        <v>0</v>
      </c>
      <c r="AI34" s="24">
        <f>AF34+AB34</f>
        <v>0</v>
      </c>
      <c r="AJ34" s="24">
        <f>AG34+AC34</f>
        <v>0</v>
      </c>
      <c r="AL34" s="19" t="s">
        <v>339</v>
      </c>
      <c r="AM34" s="18">
        <v>0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>AQ34+AM34</f>
        <v>0</v>
      </c>
      <c r="AU34" s="18">
        <f>AR34+AN34</f>
        <v>0</v>
      </c>
      <c r="AV34" s="18">
        <f>AS34+AO34</f>
        <v>0</v>
      </c>
      <c r="AX34" s="32" t="s">
        <v>339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>BC34+AY34</f>
        <v>0</v>
      </c>
      <c r="BG34" s="33">
        <f>BD34+AZ34</f>
        <v>0</v>
      </c>
      <c r="BH34" s="33">
        <f>BE34+BA34</f>
        <v>0</v>
      </c>
    </row>
    <row r="35" spans="1:60" x14ac:dyDescent="0.25">
      <c r="A35" s="4">
        <v>46</v>
      </c>
      <c r="B35" s="22" t="s">
        <v>299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46</v>
      </c>
      <c r="N35" s="45" t="s">
        <v>299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57" t="s">
        <v>299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63" t="s">
        <v>299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299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4">
        <v>49</v>
      </c>
      <c r="B36" s="22" t="s">
        <v>298</v>
      </c>
      <c r="C36" s="25">
        <v>43</v>
      </c>
      <c r="D36" s="25">
        <v>1</v>
      </c>
      <c r="E36" s="25">
        <v>0</v>
      </c>
      <c r="F36" s="25"/>
      <c r="G36" s="21">
        <f>'Apps &amp; Goals 26-27'!C34</f>
        <v>2</v>
      </c>
      <c r="H36" s="21">
        <f>'Apps &amp; Goals 26-27'!D34</f>
        <v>0</v>
      </c>
      <c r="I36" s="21">
        <f>'Apps &amp; Goals 26-27'!E34</f>
        <v>0</v>
      </c>
      <c r="J36" s="25">
        <f t="shared" si="15"/>
        <v>45</v>
      </c>
      <c r="K36" s="25">
        <f t="shared" si="16"/>
        <v>1</v>
      </c>
      <c r="L36" s="25">
        <f t="shared" si="17"/>
        <v>0</v>
      </c>
      <c r="M36">
        <v>49</v>
      </c>
      <c r="N36" s="45" t="s">
        <v>298</v>
      </c>
      <c r="O36" s="26">
        <v>20</v>
      </c>
      <c r="P36" s="26">
        <v>0</v>
      </c>
      <c r="Q36" s="26">
        <v>3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20</v>
      </c>
      <c r="W36" s="26">
        <f t="shared" si="19"/>
        <v>0</v>
      </c>
      <c r="X36" s="26">
        <f t="shared" si="20"/>
        <v>3</v>
      </c>
      <c r="Z36" s="57" t="s">
        <v>298</v>
      </c>
      <c r="AA36" s="24">
        <v>4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4</v>
      </c>
      <c r="AI36" s="24">
        <f t="shared" si="22"/>
        <v>0</v>
      </c>
      <c r="AJ36" s="24">
        <f t="shared" si="23"/>
        <v>0</v>
      </c>
      <c r="AL36" s="63" t="s">
        <v>298</v>
      </c>
      <c r="AM36" s="18">
        <v>8</v>
      </c>
      <c r="AN36" s="18">
        <v>0</v>
      </c>
      <c r="AO36" s="18">
        <v>2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8</v>
      </c>
      <c r="AU36" s="18">
        <f t="shared" si="25"/>
        <v>0</v>
      </c>
      <c r="AV36" s="18">
        <f t="shared" si="26"/>
        <v>2</v>
      </c>
      <c r="AX36" s="32" t="s">
        <v>298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1</v>
      </c>
      <c r="BD36" s="64">
        <f>'Apps &amp; Goals 26-27'!P34</f>
        <v>0</v>
      </c>
      <c r="BE36" s="64">
        <f>'Apps &amp; Goals 26-27'!Q34</f>
        <v>1</v>
      </c>
      <c r="BF36" s="33">
        <f t="shared" si="27"/>
        <v>1</v>
      </c>
      <c r="BG36" s="33">
        <f t="shared" si="28"/>
        <v>0</v>
      </c>
      <c r="BH36" s="33">
        <f t="shared" si="29"/>
        <v>1</v>
      </c>
    </row>
    <row r="37" spans="1:60" x14ac:dyDescent="0.25">
      <c r="A37" s="56">
        <v>53</v>
      </c>
      <c r="B37" s="22" t="s">
        <v>293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M37">
        <v>53</v>
      </c>
      <c r="N37" s="45" t="s">
        <v>293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293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293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293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92</v>
      </c>
      <c r="B38" s="22" t="s">
        <v>302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>G38+C38</f>
        <v>0</v>
      </c>
      <c r="K38" s="25">
        <f>H38+D38</f>
        <v>0</v>
      </c>
      <c r="L38" s="25">
        <f>I38+E38</f>
        <v>0</v>
      </c>
      <c r="M38">
        <v>55</v>
      </c>
      <c r="N38" s="45" t="s">
        <v>302</v>
      </c>
      <c r="O38" s="26">
        <v>0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>S38+O38</f>
        <v>0</v>
      </c>
      <c r="W38" s="26">
        <f>T38+P38</f>
        <v>0</v>
      </c>
      <c r="X38" s="26">
        <f>U38+Q38</f>
        <v>0</v>
      </c>
      <c r="Z38" s="23" t="s">
        <v>302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>AE38+AA38</f>
        <v>0</v>
      </c>
      <c r="AI38" s="24">
        <f>AF38+AB38</f>
        <v>0</v>
      </c>
      <c r="AJ38" s="24">
        <f>AG38+AC38</f>
        <v>0</v>
      </c>
      <c r="AL38" s="19" t="s">
        <v>302</v>
      </c>
      <c r="AM38" s="18">
        <v>1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>AQ38+AM38</f>
        <v>1</v>
      </c>
      <c r="AU38" s="18">
        <f>AR38+AN38</f>
        <v>0</v>
      </c>
      <c r="AV38" s="18">
        <f>AS38+AO38</f>
        <v>0</v>
      </c>
      <c r="AX38" s="32" t="s">
        <v>302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>BC38+AY38</f>
        <v>0</v>
      </c>
      <c r="BG38" s="33">
        <f>BD38+AZ38</f>
        <v>0</v>
      </c>
      <c r="BH38" s="33">
        <f>BE38+BA38</f>
        <v>0</v>
      </c>
    </row>
    <row r="39" spans="1:60" x14ac:dyDescent="0.25">
      <c r="A39" s="4">
        <v>56</v>
      </c>
      <c r="B39" s="22" t="s">
        <v>323</v>
      </c>
      <c r="C39" s="25">
        <v>6</v>
      </c>
      <c r="D39" s="25">
        <v>1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6</v>
      </c>
      <c r="K39" s="25">
        <f t="shared" si="16"/>
        <v>1</v>
      </c>
      <c r="L39" s="25">
        <f t="shared" si="17"/>
        <v>0</v>
      </c>
      <c r="M39">
        <v>56</v>
      </c>
      <c r="N39" s="45" t="s">
        <v>323</v>
      </c>
      <c r="O39" s="26">
        <v>3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3</v>
      </c>
      <c r="W39" s="26">
        <f t="shared" si="19"/>
        <v>0</v>
      </c>
      <c r="X39" s="26">
        <f t="shared" si="20"/>
        <v>0</v>
      </c>
      <c r="Z39" s="57" t="s">
        <v>323</v>
      </c>
      <c r="AA39" s="24">
        <v>2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2</v>
      </c>
      <c r="AI39" s="24">
        <f t="shared" si="22"/>
        <v>0</v>
      </c>
      <c r="AJ39" s="24">
        <f t="shared" si="23"/>
        <v>0</v>
      </c>
      <c r="AL39" s="63" t="s">
        <v>323</v>
      </c>
      <c r="AM39" s="18">
        <v>2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2</v>
      </c>
      <c r="AU39" s="18">
        <f t="shared" si="25"/>
        <v>0</v>
      </c>
      <c r="AV39" s="18">
        <f t="shared" si="26"/>
        <v>0</v>
      </c>
      <c r="AX39" s="32" t="s">
        <v>323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81</v>
      </c>
      <c r="B40" s="22" t="s">
        <v>340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71</v>
      </c>
      <c r="N40" s="45" t="s">
        <v>340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340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340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340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89</v>
      </c>
      <c r="B41" s="22" t="s">
        <v>334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M41">
        <v>89</v>
      </c>
      <c r="N41" s="45" t="s">
        <v>334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334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3</v>
      </c>
      <c r="AI41" s="24">
        <f t="shared" si="22"/>
        <v>0</v>
      </c>
      <c r="AJ41" s="24">
        <f t="shared" si="23"/>
        <v>0</v>
      </c>
      <c r="AL41" s="19" t="s">
        <v>334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0</v>
      </c>
      <c r="AU41" s="18">
        <f t="shared" si="25"/>
        <v>0</v>
      </c>
      <c r="AV41" s="18">
        <f t="shared" si="26"/>
        <v>0</v>
      </c>
      <c r="AX41" s="32" t="s">
        <v>334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1"/>
  <sheetViews>
    <sheetView tabSelected="1" zoomScale="90" zoomScaleNormal="90" zoomScalePageLayoutView="110" workbookViewId="0">
      <selection activeCell="AB16" sqref="AB16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6"/>
      <c r="G1" s="216"/>
      <c r="H1" s="21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212" t="s">
        <v>4</v>
      </c>
      <c r="F2" s="213"/>
      <c r="G2" s="214"/>
      <c r="H2" s="217" t="s">
        <v>120</v>
      </c>
      <c r="I2" s="218"/>
      <c r="J2" s="219"/>
      <c r="K2" s="212" t="s">
        <v>108</v>
      </c>
      <c r="L2" s="213"/>
      <c r="M2" s="214"/>
      <c r="N2" s="217" t="s">
        <v>110</v>
      </c>
      <c r="O2" s="218"/>
      <c r="P2" s="219"/>
      <c r="Q2" s="212" t="s">
        <v>39</v>
      </c>
      <c r="R2" s="213"/>
      <c r="S2" s="214"/>
      <c r="T2" s="215" t="s">
        <v>7</v>
      </c>
      <c r="U2" s="215"/>
      <c r="V2" s="215"/>
      <c r="Z2" s="125">
        <v>46266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7" si="2">SUM(E5,H5,K5,N5,Q5)</f>
        <v>184</v>
      </c>
      <c r="U5" s="2">
        <f t="shared" ref="U5:U17" si="3">SUM(F5,I5,L5,O5,R5)</f>
        <v>8</v>
      </c>
      <c r="V5" s="2">
        <f t="shared" ref="V5:V17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34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55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15</v>
      </c>
      <c r="B18" s="27" t="s">
        <v>356</v>
      </c>
      <c r="C18" s="4" t="s">
        <v>353</v>
      </c>
      <c r="D18" s="149" t="s">
        <v>438</v>
      </c>
      <c r="E18" s="6">
        <f>'#'!J20</f>
        <v>1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0</v>
      </c>
      <c r="R18" s="6">
        <f>'#'!BG20</f>
        <v>0</v>
      </c>
      <c r="S18" s="6">
        <f>'#'!BH20</f>
        <v>0</v>
      </c>
      <c r="T18" s="2">
        <f t="shared" ref="T18:T39" si="5">SUM(E18,H18,K18,N18,Q18)</f>
        <v>1</v>
      </c>
      <c r="U18" s="2">
        <f t="shared" ref="U18:U39" si="6">SUM(F18,I18,L18,O18,R18)</f>
        <v>0</v>
      </c>
      <c r="V18" s="2">
        <f t="shared" ref="V18:V39" si="7">SUM(G18,J18,M18,P18,S18)</f>
        <v>0</v>
      </c>
    </row>
    <row r="19" spans="1:22" x14ac:dyDescent="0.25">
      <c r="A19" s="4">
        <v>17</v>
      </c>
      <c r="B19" s="27" t="s">
        <v>362</v>
      </c>
      <c r="C19" s="4" t="s">
        <v>355</v>
      </c>
      <c r="D19" s="148" t="s">
        <v>344</v>
      </c>
      <c r="E19" s="6">
        <f>'#'!J21</f>
        <v>2</v>
      </c>
      <c r="F19" s="6">
        <f>'#'!K21</f>
        <v>0</v>
      </c>
      <c r="G19" s="6">
        <f>'#'!L21</f>
        <v>0</v>
      </c>
      <c r="H19" s="4">
        <f>'#'!V21</f>
        <v>0</v>
      </c>
      <c r="I19" s="4">
        <f>'#'!W21</f>
        <v>0</v>
      </c>
      <c r="J19" s="4">
        <f>'#'!X21</f>
        <v>0</v>
      </c>
      <c r="K19" s="6">
        <f>'#'!AH21</f>
        <v>0</v>
      </c>
      <c r="L19" s="6">
        <f>'#'!AI21</f>
        <v>0</v>
      </c>
      <c r="M19" s="6">
        <f>'#'!AJ21</f>
        <v>0</v>
      </c>
      <c r="N19" s="4">
        <f>'#'!AT21</f>
        <v>0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2</v>
      </c>
      <c r="T19" s="2">
        <f t="shared" si="5"/>
        <v>3</v>
      </c>
      <c r="U19" s="2">
        <f t="shared" si="6"/>
        <v>0</v>
      </c>
      <c r="V19" s="2">
        <f t="shared" si="7"/>
        <v>2</v>
      </c>
    </row>
    <row r="20" spans="1:22" x14ac:dyDescent="0.25">
      <c r="A20" s="4">
        <v>20</v>
      </c>
      <c r="B20" s="56" t="s">
        <v>356</v>
      </c>
      <c r="C20" s="4" t="s">
        <v>355</v>
      </c>
      <c r="D20" s="148" t="s">
        <v>316</v>
      </c>
      <c r="E20" s="6">
        <f>'#'!J22</f>
        <v>27</v>
      </c>
      <c r="F20" s="6">
        <f>'#'!K22</f>
        <v>3</v>
      </c>
      <c r="G20" s="6">
        <f>'#'!L22</f>
        <v>1</v>
      </c>
      <c r="H20" s="4">
        <f>'#'!V22</f>
        <v>9</v>
      </c>
      <c r="I20" s="4">
        <f>'#'!W22</f>
        <v>3</v>
      </c>
      <c r="J20" s="4">
        <f>'#'!X22</f>
        <v>0</v>
      </c>
      <c r="K20" s="6">
        <f>'#'!AH22</f>
        <v>4</v>
      </c>
      <c r="L20" s="6">
        <f>'#'!AI22</f>
        <v>2</v>
      </c>
      <c r="M20" s="6">
        <f>'#'!AJ22</f>
        <v>2</v>
      </c>
      <c r="N20" s="4">
        <f>'#'!AT22</f>
        <v>3</v>
      </c>
      <c r="O20" s="4">
        <f>'#'!AU22</f>
        <v>0</v>
      </c>
      <c r="P20" s="4">
        <f>'#'!AV22</f>
        <v>0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5"/>
        <v>44</v>
      </c>
      <c r="U20" s="2">
        <f t="shared" si="6"/>
        <v>8</v>
      </c>
      <c r="V20" s="2">
        <f t="shared" si="7"/>
        <v>3</v>
      </c>
    </row>
    <row r="21" spans="1:22" x14ac:dyDescent="0.25">
      <c r="A21" s="56">
        <v>22</v>
      </c>
      <c r="B21" s="56" t="s">
        <v>356</v>
      </c>
      <c r="C21" s="4" t="s">
        <v>354</v>
      </c>
      <c r="D21" s="40" t="s">
        <v>264</v>
      </c>
      <c r="E21" s="6">
        <f>'#'!J23</f>
        <v>34</v>
      </c>
      <c r="F21" s="6">
        <f>'#'!K23</f>
        <v>4</v>
      </c>
      <c r="G21" s="6">
        <f>'#'!L23</f>
        <v>2</v>
      </c>
      <c r="H21" s="4">
        <f>'#'!V23</f>
        <v>10</v>
      </c>
      <c r="I21" s="4">
        <f>'#'!W23</f>
        <v>2</v>
      </c>
      <c r="J21" s="4">
        <f>'#'!X23</f>
        <v>0</v>
      </c>
      <c r="K21" s="6">
        <f>'#'!AH23</f>
        <v>1</v>
      </c>
      <c r="L21" s="6">
        <f>'#'!AI23</f>
        <v>0</v>
      </c>
      <c r="M21" s="6">
        <f>'#'!AJ23</f>
        <v>0</v>
      </c>
      <c r="N21" s="4">
        <f>'#'!AT23</f>
        <v>6</v>
      </c>
      <c r="O21" s="4">
        <f>'#'!AU23</f>
        <v>4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5"/>
        <v>51</v>
      </c>
      <c r="U21" s="2">
        <f t="shared" si="6"/>
        <v>10</v>
      </c>
      <c r="V21" s="2">
        <f t="shared" si="7"/>
        <v>2</v>
      </c>
    </row>
    <row r="22" spans="1:22" x14ac:dyDescent="0.25">
      <c r="A22" s="4">
        <v>23</v>
      </c>
      <c r="B22" s="27" t="s">
        <v>350</v>
      </c>
      <c r="C22" s="4" t="s">
        <v>354</v>
      </c>
      <c r="D22" s="37" t="s">
        <v>294</v>
      </c>
      <c r="E22" s="6">
        <f>'#'!J24</f>
        <v>52</v>
      </c>
      <c r="F22" s="6">
        <f>'#'!K24</f>
        <v>11</v>
      </c>
      <c r="G22" s="6">
        <f>'#'!L24</f>
        <v>5</v>
      </c>
      <c r="H22" s="4">
        <f>'#'!V24</f>
        <v>19</v>
      </c>
      <c r="I22" s="4">
        <f>'#'!W24</f>
        <v>4</v>
      </c>
      <c r="J22" s="4">
        <f>'#'!X24</f>
        <v>3</v>
      </c>
      <c r="K22" s="6">
        <f>'#'!AH24</f>
        <v>2</v>
      </c>
      <c r="L22" s="6">
        <f>'#'!AI24</f>
        <v>0</v>
      </c>
      <c r="M22" s="6">
        <f>'#'!AJ24</f>
        <v>0</v>
      </c>
      <c r="N22" s="4">
        <f>'#'!AT24</f>
        <v>7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80</v>
      </c>
      <c r="U22" s="2">
        <f t="shared" si="6"/>
        <v>15</v>
      </c>
      <c r="V22" s="2">
        <f t="shared" si="7"/>
        <v>8</v>
      </c>
    </row>
    <row r="23" spans="1:22" x14ac:dyDescent="0.25">
      <c r="A23" s="4">
        <v>29</v>
      </c>
      <c r="B23" s="27" t="s">
        <v>364</v>
      </c>
      <c r="C23" s="4" t="s">
        <v>355</v>
      </c>
      <c r="D23" s="148" t="s">
        <v>276</v>
      </c>
      <c r="E23" s="6">
        <f>'#'!J25</f>
        <v>74</v>
      </c>
      <c r="F23" s="6">
        <f>'#'!K25</f>
        <v>25</v>
      </c>
      <c r="G23" s="6">
        <f>'#'!L25</f>
        <v>13</v>
      </c>
      <c r="H23" s="4">
        <f>'#'!V25</f>
        <v>24</v>
      </c>
      <c r="I23" s="4">
        <f>'#'!W25</f>
        <v>9</v>
      </c>
      <c r="J23" s="4">
        <f>'#'!X25</f>
        <v>2</v>
      </c>
      <c r="K23" s="6">
        <f>'#'!AH25</f>
        <v>5</v>
      </c>
      <c r="L23" s="6">
        <f>'#'!AI25</f>
        <v>0</v>
      </c>
      <c r="M23" s="6">
        <f>'#'!AJ25</f>
        <v>1</v>
      </c>
      <c r="N23" s="4">
        <f>'#'!AT25</f>
        <v>9</v>
      </c>
      <c r="O23" s="4">
        <f>'#'!AU25</f>
        <v>3</v>
      </c>
      <c r="P23" s="4">
        <f>'#'!AV25</f>
        <v>0</v>
      </c>
      <c r="Q23" s="6">
        <f>'#'!BF25</f>
        <v>2</v>
      </c>
      <c r="R23" s="6">
        <f>'#'!BG25</f>
        <v>1</v>
      </c>
      <c r="S23" s="6">
        <f>'#'!BH25</f>
        <v>0</v>
      </c>
      <c r="T23" s="2">
        <f t="shared" si="5"/>
        <v>114</v>
      </c>
      <c r="U23" s="2">
        <f t="shared" si="6"/>
        <v>38</v>
      </c>
      <c r="V23" s="2">
        <f t="shared" si="7"/>
        <v>16</v>
      </c>
    </row>
    <row r="24" spans="1:22" x14ac:dyDescent="0.25">
      <c r="A24" s="4">
        <v>30</v>
      </c>
      <c r="B24" s="27" t="s">
        <v>352</v>
      </c>
      <c r="C24" s="4" t="s">
        <v>351</v>
      </c>
      <c r="D24" s="148" t="s">
        <v>345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0</v>
      </c>
      <c r="L24" s="6">
        <f>'#'!AI26</f>
        <v>0</v>
      </c>
      <c r="M24" s="6">
        <f>'#'!AJ26</f>
        <v>0</v>
      </c>
      <c r="N24" s="4">
        <f>'#'!AT26</f>
        <v>0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0</v>
      </c>
      <c r="U24" s="2">
        <f t="shared" si="6"/>
        <v>0</v>
      </c>
      <c r="V24" s="2">
        <f t="shared" si="7"/>
        <v>0</v>
      </c>
    </row>
    <row r="25" spans="1:22" x14ac:dyDescent="0.25">
      <c r="A25" s="4">
        <v>33</v>
      </c>
      <c r="B25" s="27" t="s">
        <v>365</v>
      </c>
      <c r="C25" s="4" t="s">
        <v>353</v>
      </c>
      <c r="D25" s="148" t="s">
        <v>292</v>
      </c>
      <c r="E25" s="6">
        <f>'#'!J27</f>
        <v>47</v>
      </c>
      <c r="F25" s="6">
        <f>'#'!K27</f>
        <v>3</v>
      </c>
      <c r="G25" s="6">
        <f>'#'!L27</f>
        <v>5</v>
      </c>
      <c r="H25" s="4">
        <f>'#'!V27</f>
        <v>14</v>
      </c>
      <c r="I25" s="4">
        <f>'#'!W27</f>
        <v>1</v>
      </c>
      <c r="J25" s="4">
        <f>'#'!X27</f>
        <v>2</v>
      </c>
      <c r="K25" s="6">
        <f>'#'!AH27</f>
        <v>2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0</v>
      </c>
      <c r="P25" s="4">
        <f>'#'!AV27</f>
        <v>0</v>
      </c>
      <c r="Q25" s="6">
        <f>'#'!BF27</f>
        <v>1</v>
      </c>
      <c r="R25" s="6">
        <f>'#'!BG27</f>
        <v>1</v>
      </c>
      <c r="S25" s="6">
        <f>'#'!BH27</f>
        <v>0</v>
      </c>
      <c r="T25" s="2">
        <f t="shared" si="5"/>
        <v>68</v>
      </c>
      <c r="U25" s="2">
        <f t="shared" si="6"/>
        <v>5</v>
      </c>
      <c r="V25" s="2">
        <f t="shared" si="7"/>
        <v>7</v>
      </c>
    </row>
    <row r="26" spans="1:22" x14ac:dyDescent="0.25">
      <c r="A26" s="4">
        <v>35</v>
      </c>
      <c r="B26" s="56" t="s">
        <v>356</v>
      </c>
      <c r="C26" s="4" t="s">
        <v>351</v>
      </c>
      <c r="D26" s="148" t="s">
        <v>304</v>
      </c>
      <c r="E26" s="6">
        <f>'#'!J28</f>
        <v>0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1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0</v>
      </c>
      <c r="R26" s="6">
        <f>'#'!BG28</f>
        <v>0</v>
      </c>
      <c r="S26" s="6">
        <f>'#'!BH28</f>
        <v>0</v>
      </c>
      <c r="T26" s="2">
        <f t="shared" si="5"/>
        <v>2</v>
      </c>
      <c r="U26" s="2">
        <f t="shared" si="6"/>
        <v>0</v>
      </c>
      <c r="V26" s="2">
        <f t="shared" si="7"/>
        <v>0</v>
      </c>
    </row>
    <row r="27" spans="1:22" x14ac:dyDescent="0.25">
      <c r="A27" s="4">
        <v>36</v>
      </c>
      <c r="B27" s="27" t="s">
        <v>350</v>
      </c>
      <c r="C27" s="4" t="s">
        <v>354</v>
      </c>
      <c r="D27" s="148" t="s">
        <v>314</v>
      </c>
      <c r="E27" s="6">
        <f>'#'!J29</f>
        <v>40</v>
      </c>
      <c r="F27" s="6">
        <f>'#'!K29</f>
        <v>5</v>
      </c>
      <c r="G27" s="6">
        <f>'#'!L29</f>
        <v>1</v>
      </c>
      <c r="H27" s="4">
        <f>'#'!V29</f>
        <v>13</v>
      </c>
      <c r="I27" s="4">
        <f>'#'!W29</f>
        <v>0</v>
      </c>
      <c r="J27" s="4">
        <f>'#'!X29</f>
        <v>2</v>
      </c>
      <c r="K27" s="6">
        <f>'#'!AH29</f>
        <v>3</v>
      </c>
      <c r="L27" s="6">
        <f>'#'!AI29</f>
        <v>0</v>
      </c>
      <c r="M27" s="6">
        <f>'#'!AJ29</f>
        <v>0</v>
      </c>
      <c r="N27" s="4">
        <f>'#'!AT29</f>
        <v>3</v>
      </c>
      <c r="O27" s="4">
        <f>'#'!AU29</f>
        <v>1</v>
      </c>
      <c r="P27" s="4">
        <f>'#'!AV29</f>
        <v>0</v>
      </c>
      <c r="Q27" s="6">
        <f>'#'!BF29</f>
        <v>1</v>
      </c>
      <c r="R27" s="6">
        <f>'#'!BG29</f>
        <v>0</v>
      </c>
      <c r="S27" s="6">
        <f>'#'!BH29</f>
        <v>0</v>
      </c>
      <c r="T27" s="2">
        <f t="shared" si="5"/>
        <v>60</v>
      </c>
      <c r="U27" s="2">
        <f t="shared" si="6"/>
        <v>6</v>
      </c>
      <c r="V27" s="2">
        <f t="shared" si="7"/>
        <v>3</v>
      </c>
    </row>
    <row r="28" spans="1:22" x14ac:dyDescent="0.25">
      <c r="A28" s="4">
        <v>39</v>
      </c>
      <c r="B28" s="4" t="s">
        <v>358</v>
      </c>
      <c r="C28" s="4" t="s">
        <v>354</v>
      </c>
      <c r="D28" s="148" t="s">
        <v>346</v>
      </c>
      <c r="E28" s="6">
        <f>'#'!J30</f>
        <v>1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0</v>
      </c>
      <c r="L28" s="6">
        <f>'#'!AI30</f>
        <v>0</v>
      </c>
      <c r="M28" s="6">
        <f>'#'!AJ30</f>
        <v>0</v>
      </c>
      <c r="N28" s="4">
        <f>'#'!AT30</f>
        <v>0</v>
      </c>
      <c r="O28" s="4">
        <f>'#'!AU30</f>
        <v>0</v>
      </c>
      <c r="P28" s="4">
        <f>'#'!AV30</f>
        <v>0</v>
      </c>
      <c r="Q28" s="6">
        <f>'#'!BF30</f>
        <v>1</v>
      </c>
      <c r="R28" s="6">
        <f>'#'!BG30</f>
        <v>0</v>
      </c>
      <c r="S28" s="6">
        <f>'#'!BH30</f>
        <v>0</v>
      </c>
      <c r="T28" s="2">
        <f t="shared" si="5"/>
        <v>2</v>
      </c>
      <c r="U28" s="2">
        <f t="shared" si="6"/>
        <v>0</v>
      </c>
      <c r="V28" s="2">
        <f t="shared" si="7"/>
        <v>0</v>
      </c>
    </row>
    <row r="29" spans="1:22" x14ac:dyDescent="0.25">
      <c r="A29" s="56">
        <v>40</v>
      </c>
      <c r="B29" s="56" t="s">
        <v>356</v>
      </c>
      <c r="C29" s="28" t="s">
        <v>353</v>
      </c>
      <c r="D29" s="149" t="s">
        <v>342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0</v>
      </c>
      <c r="I29" s="4">
        <f>'#'!W31</f>
        <v>0</v>
      </c>
      <c r="J29" s="4">
        <f>'#'!X31</f>
        <v>0</v>
      </c>
      <c r="K29" s="6">
        <f>'#'!AH31</f>
        <v>1</v>
      </c>
      <c r="L29" s="6">
        <f>'#'!AI31</f>
        <v>0</v>
      </c>
      <c r="M29" s="6">
        <f>'#'!AJ31</f>
        <v>0</v>
      </c>
      <c r="N29" s="4">
        <f>'#'!AT31</f>
        <v>0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>SUM(E29,H29,K29,N29,Q29)</f>
        <v>1</v>
      </c>
      <c r="U29" s="2">
        <f>SUM(F29,I29,L29,O29,R29)</f>
        <v>0</v>
      </c>
      <c r="V29" s="2">
        <f>SUM(G29,J29,M29,P29,S29)</f>
        <v>0</v>
      </c>
    </row>
    <row r="30" spans="1:22" x14ac:dyDescent="0.25">
      <c r="A30" s="4">
        <v>41</v>
      </c>
      <c r="B30" s="56" t="s">
        <v>356</v>
      </c>
      <c r="C30" s="4" t="s">
        <v>354</v>
      </c>
      <c r="D30" s="35" t="s">
        <v>278</v>
      </c>
      <c r="E30" s="6">
        <f>'#'!J32</f>
        <v>111</v>
      </c>
      <c r="F30" s="6">
        <f>'#'!K32</f>
        <v>15</v>
      </c>
      <c r="G30" s="6">
        <f>'#'!L32</f>
        <v>20</v>
      </c>
      <c r="H30" s="4">
        <f>'#'!V32</f>
        <v>36</v>
      </c>
      <c r="I30" s="4">
        <f>'#'!W32</f>
        <v>5</v>
      </c>
      <c r="J30" s="4">
        <f>'#'!X32</f>
        <v>5</v>
      </c>
      <c r="K30" s="6">
        <f>'#'!AH32</f>
        <v>2</v>
      </c>
      <c r="L30" s="6">
        <f>'#'!AI32</f>
        <v>0</v>
      </c>
      <c r="M30" s="6">
        <f>'#'!AJ32</f>
        <v>0</v>
      </c>
      <c r="N30" s="4">
        <f>'#'!AT32</f>
        <v>10</v>
      </c>
      <c r="O30" s="4">
        <f>'#'!AU32</f>
        <v>1</v>
      </c>
      <c r="P30" s="4">
        <f>'#'!AV32</f>
        <v>3</v>
      </c>
      <c r="Q30" s="6">
        <f>'#'!BF32</f>
        <v>2</v>
      </c>
      <c r="R30" s="6">
        <f>'#'!BG32</f>
        <v>0</v>
      </c>
      <c r="S30" s="6">
        <f>'#'!BH32</f>
        <v>0</v>
      </c>
      <c r="T30" s="2">
        <f t="shared" si="5"/>
        <v>161</v>
      </c>
      <c r="U30" s="2">
        <f t="shared" si="6"/>
        <v>21</v>
      </c>
      <c r="V30" s="2">
        <f t="shared" si="7"/>
        <v>28</v>
      </c>
    </row>
    <row r="31" spans="1:22" x14ac:dyDescent="0.25">
      <c r="A31" s="56">
        <v>43</v>
      </c>
      <c r="B31" s="56" t="s">
        <v>356</v>
      </c>
      <c r="C31" s="28" t="s">
        <v>355</v>
      </c>
      <c r="D31" s="148" t="s">
        <v>328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1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>SUM(E31,H31,K31,N31,Q31)</f>
        <v>2</v>
      </c>
      <c r="U31" s="2">
        <f>SUM(F31,I31,L31,O31,R31)</f>
        <v>0</v>
      </c>
      <c r="V31" s="2">
        <f>SUM(G31,J31,M31,P31,S31)</f>
        <v>0</v>
      </c>
    </row>
    <row r="32" spans="1:22" x14ac:dyDescent="0.25">
      <c r="A32" s="28">
        <v>44</v>
      </c>
      <c r="B32" s="56" t="s">
        <v>356</v>
      </c>
      <c r="C32" s="28" t="s">
        <v>354</v>
      </c>
      <c r="D32" s="148" t="s">
        <v>339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1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0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>SUM(E32,H32,K32,N32,Q32)</f>
        <v>1</v>
      </c>
      <c r="U32" s="2">
        <f>SUM(F32,I32,L32,O32,R32)</f>
        <v>0</v>
      </c>
      <c r="V32" s="2">
        <f>SUM(G32,J32,M32,P32,S32)</f>
        <v>0</v>
      </c>
    </row>
    <row r="33" spans="1:22" x14ac:dyDescent="0.25">
      <c r="A33" s="4">
        <v>46</v>
      </c>
      <c r="B33" s="4" t="s">
        <v>357</v>
      </c>
      <c r="C33" s="4" t="s">
        <v>355</v>
      </c>
      <c r="D33" s="34" t="s">
        <v>299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</row>
    <row r="34" spans="1:22" x14ac:dyDescent="0.25">
      <c r="A34" s="56">
        <v>49</v>
      </c>
      <c r="B34" s="56" t="s">
        <v>356</v>
      </c>
      <c r="C34" s="4" t="s">
        <v>353</v>
      </c>
      <c r="D34" s="35" t="s">
        <v>298</v>
      </c>
      <c r="E34" s="6">
        <f>'#'!J36</f>
        <v>45</v>
      </c>
      <c r="F34" s="6">
        <f>'#'!K36</f>
        <v>1</v>
      </c>
      <c r="G34" s="6">
        <f>'#'!L36</f>
        <v>0</v>
      </c>
      <c r="H34" s="4">
        <f>'#'!V36</f>
        <v>20</v>
      </c>
      <c r="I34" s="4">
        <f>'#'!W36</f>
        <v>0</v>
      </c>
      <c r="J34" s="4">
        <f>'#'!X36</f>
        <v>3</v>
      </c>
      <c r="K34" s="6">
        <f>'#'!AH36</f>
        <v>4</v>
      </c>
      <c r="L34" s="6">
        <f>'#'!AI36</f>
        <v>0</v>
      </c>
      <c r="M34" s="6">
        <f>'#'!AJ36</f>
        <v>0</v>
      </c>
      <c r="N34" s="4">
        <f>'#'!AT36</f>
        <v>8</v>
      </c>
      <c r="O34" s="4">
        <f>'#'!AU36</f>
        <v>0</v>
      </c>
      <c r="P34" s="4">
        <f>'#'!AV36</f>
        <v>2</v>
      </c>
      <c r="Q34" s="6">
        <f>'#'!BF36</f>
        <v>1</v>
      </c>
      <c r="R34" s="6">
        <f>'#'!BG36</f>
        <v>0</v>
      </c>
      <c r="S34" s="6">
        <f>'#'!BH36</f>
        <v>1</v>
      </c>
      <c r="T34" s="2">
        <f t="shared" si="5"/>
        <v>78</v>
      </c>
      <c r="U34" s="2">
        <f t="shared" si="6"/>
        <v>1</v>
      </c>
      <c r="V34" s="2">
        <f t="shared" si="7"/>
        <v>6</v>
      </c>
    </row>
    <row r="35" spans="1:22" x14ac:dyDescent="0.25">
      <c r="A35" s="56">
        <v>53</v>
      </c>
      <c r="B35" s="56" t="s">
        <v>356</v>
      </c>
      <c r="C35" s="28" t="s">
        <v>355</v>
      </c>
      <c r="D35" s="148" t="s">
        <v>293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</v>
      </c>
      <c r="U35" s="2">
        <f t="shared" si="6"/>
        <v>0</v>
      </c>
      <c r="V35" s="2">
        <f t="shared" si="7"/>
        <v>0</v>
      </c>
    </row>
    <row r="36" spans="1:22" x14ac:dyDescent="0.25">
      <c r="A36" s="56">
        <v>55</v>
      </c>
      <c r="B36" s="56" t="s">
        <v>356</v>
      </c>
      <c r="C36" s="56" t="s">
        <v>351</v>
      </c>
      <c r="D36" s="37" t="s">
        <v>302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0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1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>SUM(E36,H36,K36,N36,Q36)</f>
        <v>1</v>
      </c>
      <c r="U36" s="2">
        <f>SUM(F36,I36,L36,O36,R36)</f>
        <v>0</v>
      </c>
      <c r="V36" s="2">
        <f>SUM(G36,J36,M36,P36,S36)</f>
        <v>0</v>
      </c>
    </row>
    <row r="37" spans="1:22" x14ac:dyDescent="0.25">
      <c r="A37" s="56">
        <v>56</v>
      </c>
      <c r="B37" s="56" t="s">
        <v>356</v>
      </c>
      <c r="C37" s="28" t="s">
        <v>355</v>
      </c>
      <c r="D37" s="149" t="s">
        <v>323</v>
      </c>
      <c r="E37" s="6">
        <f>'#'!J39</f>
        <v>6</v>
      </c>
      <c r="F37" s="6">
        <f>'#'!K39</f>
        <v>1</v>
      </c>
      <c r="G37" s="6">
        <f>'#'!L39</f>
        <v>0</v>
      </c>
      <c r="H37" s="4">
        <f>'#'!V39</f>
        <v>3</v>
      </c>
      <c r="I37" s="4">
        <f>'#'!W39</f>
        <v>0</v>
      </c>
      <c r="J37" s="4">
        <f>'#'!X39</f>
        <v>0</v>
      </c>
      <c r="K37" s="6">
        <f>'#'!AH39</f>
        <v>2</v>
      </c>
      <c r="L37" s="6">
        <f>'#'!AI39</f>
        <v>0</v>
      </c>
      <c r="M37" s="6">
        <f>'#'!AJ39</f>
        <v>0</v>
      </c>
      <c r="N37" s="4">
        <f>'#'!AT39</f>
        <v>2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13</v>
      </c>
      <c r="U37" s="2">
        <f t="shared" si="6"/>
        <v>1</v>
      </c>
      <c r="V37" s="2">
        <f t="shared" si="7"/>
        <v>0</v>
      </c>
    </row>
    <row r="38" spans="1:22" x14ac:dyDescent="0.25">
      <c r="A38" s="28">
        <v>71</v>
      </c>
      <c r="B38" s="56" t="s">
        <v>356</v>
      </c>
      <c r="C38" s="28" t="s">
        <v>355</v>
      </c>
      <c r="D38" s="148" t="s">
        <v>340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1</v>
      </c>
      <c r="U38" s="2">
        <f t="shared" si="6"/>
        <v>0</v>
      </c>
      <c r="V38" s="2">
        <f t="shared" si="7"/>
        <v>0</v>
      </c>
    </row>
    <row r="39" spans="1:22" x14ac:dyDescent="0.25">
      <c r="A39" s="28">
        <v>89</v>
      </c>
      <c r="B39" s="56" t="s">
        <v>356</v>
      </c>
      <c r="C39" s="28" t="s">
        <v>353</v>
      </c>
      <c r="D39" s="148" t="s">
        <v>334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5"/>
        <v>4</v>
      </c>
      <c r="U39" s="2">
        <f t="shared" si="6"/>
        <v>0</v>
      </c>
      <c r="V39" s="2">
        <f t="shared" si="7"/>
        <v>0</v>
      </c>
    </row>
    <row r="41" spans="1:22" x14ac:dyDescent="0.25">
      <c r="F41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9 V4:V39">
    <cfRule type="cellIs" dxfId="37" priority="20" operator="greaterThan">
      <formula>396</formula>
    </cfRule>
  </conditionalFormatting>
  <conditionalFormatting sqref="U4:U39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T4:T39 V4:V39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6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15" t="s">
        <v>7</v>
      </c>
      <c r="O2" s="21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15" t="s">
        <v>7</v>
      </c>
      <c r="O2" s="21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15" t="s">
        <v>7</v>
      </c>
      <c r="O2" s="21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15" t="s">
        <v>7</v>
      </c>
      <c r="O2" s="215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15" t="s">
        <v>7</v>
      </c>
      <c r="N2" s="21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15" t="s">
        <v>7</v>
      </c>
      <c r="N2" s="21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15" t="s">
        <v>7</v>
      </c>
      <c r="N2" s="21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15" t="s">
        <v>7</v>
      </c>
      <c r="N2" s="21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15" t="s">
        <v>7</v>
      </c>
      <c r="N2" s="21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15" t="s">
        <v>7</v>
      </c>
      <c r="N2" s="21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9"/>
  <sheetViews>
    <sheetView zoomScale="75" zoomScaleNormal="75" zoomScalePageLayoutView="110" workbookViewId="0">
      <selection activeCell="B38" sqref="B38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12" t="s">
        <v>4</v>
      </c>
      <c r="D2" s="213"/>
      <c r="E2" s="214"/>
      <c r="F2" s="217" t="s">
        <v>120</v>
      </c>
      <c r="G2" s="218"/>
      <c r="H2" s="219"/>
      <c r="I2" s="212" t="s">
        <v>108</v>
      </c>
      <c r="J2" s="213"/>
      <c r="K2" s="214"/>
      <c r="L2" s="217" t="s">
        <v>110</v>
      </c>
      <c r="M2" s="218"/>
      <c r="N2" s="219"/>
      <c r="O2" s="212" t="s">
        <v>39</v>
      </c>
      <c r="P2" s="213"/>
      <c r="Q2" s="214"/>
      <c r="R2" s="215" t="s">
        <v>7</v>
      </c>
      <c r="S2" s="215"/>
      <c r="T2" s="215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6" si="1">SUM(C5,F5,I5,L5,O5)</f>
        <v>0</v>
      </c>
      <c r="S5" s="2">
        <f t="shared" ref="S5:S16" si="2">SUM(D5,G5,J5,M5,P5)</f>
        <v>0</v>
      </c>
      <c r="T5" s="2">
        <f t="shared" ref="T5:T16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2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3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>SUM(C17,F17,I17,L17,O17)</f>
        <v>1</v>
      </c>
      <c r="S17" s="2">
        <f>SUM(D17,G17,J17,M17,P17)</f>
        <v>0</v>
      </c>
      <c r="T17" s="2">
        <f>SUM(E17,H17,K17,N17,Q17)</f>
        <v>0</v>
      </c>
      <c r="V17" s="55"/>
    </row>
    <row r="18" spans="1:22" x14ac:dyDescent="0.25">
      <c r="A18" s="27">
        <v>15</v>
      </c>
      <c r="B18" s="149" t="s">
        <v>438</v>
      </c>
      <c r="C18" s="6">
        <f>'Premier League'!C18</f>
        <v>1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0</v>
      </c>
      <c r="P18" s="6">
        <f>'Other (CS)'!D17</f>
        <v>0</v>
      </c>
      <c r="Q18" s="6">
        <f>'Other (CS)'!E17</f>
        <v>0</v>
      </c>
      <c r="R18" s="2">
        <f t="shared" ref="R18:R39" si="4">SUM(C18,F18,I18,L18,O18)</f>
        <v>1</v>
      </c>
      <c r="S18" s="2">
        <f t="shared" ref="S18:S39" si="5">SUM(D18,G18,J18,M18,P18)</f>
        <v>0</v>
      </c>
      <c r="T18" s="2">
        <f t="shared" ref="T18:T39" si="6">SUM(E18,H18,K18,N18,Q18)</f>
        <v>0</v>
      </c>
      <c r="V18" s="55"/>
    </row>
    <row r="19" spans="1:22" x14ac:dyDescent="0.25">
      <c r="A19" s="27">
        <v>17</v>
      </c>
      <c r="B19" s="148" t="s">
        <v>344</v>
      </c>
      <c r="C19" s="6">
        <f>'Premier League'!C19</f>
        <v>2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2</v>
      </c>
      <c r="R19" s="2">
        <f t="shared" si="4"/>
        <v>3</v>
      </c>
      <c r="S19" s="2">
        <f t="shared" si="5"/>
        <v>0</v>
      </c>
      <c r="T19" s="2">
        <f t="shared" si="6"/>
        <v>2</v>
      </c>
      <c r="V19" s="55"/>
    </row>
    <row r="20" spans="1:22" x14ac:dyDescent="0.25">
      <c r="A20" s="27">
        <v>20</v>
      </c>
      <c r="B20" s="148" t="s">
        <v>316</v>
      </c>
      <c r="C20" s="6">
        <f>'Premier League'!C20</f>
        <v>1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1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22</v>
      </c>
      <c r="B21" s="40" t="s">
        <v>264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0</v>
      </c>
      <c r="S21" s="2">
        <f t="shared" si="5"/>
        <v>0</v>
      </c>
      <c r="T21" s="2">
        <f t="shared" si="6"/>
        <v>0</v>
      </c>
    </row>
    <row r="22" spans="1:22" x14ac:dyDescent="0.25">
      <c r="A22" s="28">
        <v>23</v>
      </c>
      <c r="B22" s="37" t="s">
        <v>294</v>
      </c>
      <c r="C22" s="6">
        <f>'Premier League'!C22</f>
        <v>2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2</v>
      </c>
      <c r="S22" s="2">
        <f t="shared" si="5"/>
        <v>0</v>
      </c>
      <c r="T22" s="2">
        <f t="shared" si="6"/>
        <v>0</v>
      </c>
    </row>
    <row r="23" spans="1:22" x14ac:dyDescent="0.25">
      <c r="A23" s="28">
        <v>29</v>
      </c>
      <c r="B23" s="148" t="s">
        <v>276</v>
      </c>
      <c r="C23" s="6">
        <f>'Premier League'!C23</f>
        <v>2</v>
      </c>
      <c r="D23" s="6">
        <f>'Premier League'!D23</f>
        <v>1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3</v>
      </c>
      <c r="S23" s="2">
        <f t="shared" si="5"/>
        <v>2</v>
      </c>
      <c r="T23" s="2">
        <f t="shared" si="6"/>
        <v>0</v>
      </c>
      <c r="V23" s="55"/>
    </row>
    <row r="24" spans="1:22" x14ac:dyDescent="0.25">
      <c r="A24" s="28">
        <v>30</v>
      </c>
      <c r="B24" s="148" t="s">
        <v>345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8">
        <v>33</v>
      </c>
      <c r="B25" s="148" t="s">
        <v>292</v>
      </c>
      <c r="C25" s="6">
        <f>'Premier League'!C25</f>
        <v>2</v>
      </c>
      <c r="D25" s="6">
        <f>'Premier League'!D25</f>
        <v>0</v>
      </c>
      <c r="E25" s="6">
        <f>'Premier League'!E25</f>
        <v>2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1</v>
      </c>
      <c r="Q25" s="6">
        <f>'Other (CS)'!E24</f>
        <v>0</v>
      </c>
      <c r="R25" s="2">
        <f t="shared" si="4"/>
        <v>3</v>
      </c>
      <c r="S25" s="2">
        <f t="shared" si="5"/>
        <v>1</v>
      </c>
      <c r="T25" s="2">
        <f t="shared" si="6"/>
        <v>2</v>
      </c>
      <c r="V25" s="55"/>
    </row>
    <row r="26" spans="1:22" x14ac:dyDescent="0.25">
      <c r="A26" s="27">
        <v>35</v>
      </c>
      <c r="B26" s="148" t="s">
        <v>304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0</v>
      </c>
      <c r="P26" s="6">
        <f>'Other (CS)'!D25</f>
        <v>0</v>
      </c>
      <c r="Q26" s="6">
        <f>'Other (CS)'!E25</f>
        <v>0</v>
      </c>
      <c r="R26" s="2">
        <f t="shared" si="4"/>
        <v>0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36</v>
      </c>
      <c r="B27" s="148" t="s">
        <v>314</v>
      </c>
      <c r="C27" s="6">
        <f>'Premier League'!C27</f>
        <v>2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0</v>
      </c>
      <c r="Q27" s="6">
        <f>'Other (CS)'!E26</f>
        <v>0</v>
      </c>
      <c r="R27" s="2">
        <f t="shared" si="4"/>
        <v>3</v>
      </c>
      <c r="S27" s="2">
        <f t="shared" si="5"/>
        <v>0</v>
      </c>
      <c r="T27" s="2">
        <f t="shared" si="6"/>
        <v>0</v>
      </c>
      <c r="V27" s="55"/>
    </row>
    <row r="28" spans="1:22" x14ac:dyDescent="0.25">
      <c r="A28" s="27">
        <v>39</v>
      </c>
      <c r="B28" s="148" t="s">
        <v>346</v>
      </c>
      <c r="C28" s="6">
        <f>'Premier League'!C28</f>
        <v>1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2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7">
        <v>40</v>
      </c>
      <c r="B29" s="149" t="s">
        <v>342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>SUM(C29,F29,I29,L29,O29)</f>
        <v>0</v>
      </c>
      <c r="S29" s="2">
        <f>SUM(D29,G29,J29,M29,P29)</f>
        <v>0</v>
      </c>
      <c r="T29" s="2">
        <f>SUM(E29,H29,K29,N29,Q29)</f>
        <v>0</v>
      </c>
    </row>
    <row r="30" spans="1:22" x14ac:dyDescent="0.25">
      <c r="A30" s="27">
        <v>41</v>
      </c>
      <c r="B30" s="35" t="s">
        <v>278</v>
      </c>
      <c r="C30" s="6">
        <f>'Premier League'!C30</f>
        <v>2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4"/>
        <v>3</v>
      </c>
      <c r="S30" s="2">
        <f t="shared" si="5"/>
        <v>0</v>
      </c>
      <c r="T30" s="2">
        <f t="shared" si="6"/>
        <v>0</v>
      </c>
      <c r="V30" s="55"/>
    </row>
    <row r="31" spans="1:22" x14ac:dyDescent="0.25">
      <c r="A31" s="28">
        <v>43</v>
      </c>
      <c r="B31" s="148" t="s">
        <v>328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>SUM(C31,F31,I31,L31,O31)</f>
        <v>0</v>
      </c>
      <c r="S31" s="2">
        <f>SUM(D31,G31,J31,M31,P31)</f>
        <v>0</v>
      </c>
      <c r="T31" s="2">
        <f>SUM(E31,H31,K31,N31,Q31)</f>
        <v>0</v>
      </c>
    </row>
    <row r="32" spans="1:22" x14ac:dyDescent="0.25">
      <c r="A32" s="28">
        <v>44</v>
      </c>
      <c r="B32" s="148" t="s">
        <v>339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>SUM(C32,F32,I32,L32,O32)</f>
        <v>0</v>
      </c>
      <c r="S32" s="2">
        <f>SUM(D32,G32,J32,M32,P32)</f>
        <v>0</v>
      </c>
      <c r="T32" s="2">
        <f>SUM(E32,H32,K32,N32,Q32)</f>
        <v>0</v>
      </c>
    </row>
    <row r="33" spans="1:22" x14ac:dyDescent="0.25">
      <c r="A33" s="27">
        <v>46</v>
      </c>
      <c r="B33" s="34" t="s">
        <v>299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  <c r="V33" s="55"/>
    </row>
    <row r="34" spans="1:22" x14ac:dyDescent="0.25">
      <c r="A34" s="28">
        <v>49</v>
      </c>
      <c r="B34" s="35" t="s">
        <v>298</v>
      </c>
      <c r="C34" s="6">
        <f>'Premier League'!C34</f>
        <v>2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1</v>
      </c>
      <c r="P34" s="6">
        <f>'Other (CS)'!D33</f>
        <v>0</v>
      </c>
      <c r="Q34" s="6">
        <f>'Other (CS)'!E33</f>
        <v>1</v>
      </c>
      <c r="R34" s="2">
        <f t="shared" si="4"/>
        <v>3</v>
      </c>
      <c r="S34" s="2">
        <f t="shared" si="5"/>
        <v>0</v>
      </c>
      <c r="T34" s="2">
        <f t="shared" si="6"/>
        <v>1</v>
      </c>
    </row>
    <row r="35" spans="1:22" x14ac:dyDescent="0.25">
      <c r="A35" s="28">
        <v>53</v>
      </c>
      <c r="B35" s="148" t="s">
        <v>293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2" x14ac:dyDescent="0.25">
      <c r="A36" s="28">
        <v>55</v>
      </c>
      <c r="B36" s="37" t="s">
        <v>302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>SUM(C36,F36,I36,L36,O36)</f>
        <v>0</v>
      </c>
      <c r="S36" s="2">
        <f>SUM(D36,G36,J36,M36,P36)</f>
        <v>0</v>
      </c>
      <c r="T36" s="2">
        <f>SUM(E36,H36,K36,N36,Q36)</f>
        <v>0</v>
      </c>
    </row>
    <row r="37" spans="1:22" x14ac:dyDescent="0.25">
      <c r="A37" s="28">
        <v>56</v>
      </c>
      <c r="B37" s="149" t="s">
        <v>323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2" x14ac:dyDescent="0.25">
      <c r="A38" s="28">
        <v>71</v>
      </c>
      <c r="B38" s="148" t="s">
        <v>340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  <row r="39" spans="1:22" x14ac:dyDescent="0.25">
      <c r="A39" s="28">
        <v>89</v>
      </c>
      <c r="B39" s="148" t="s">
        <v>334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4"/>
        <v>0</v>
      </c>
      <c r="S39" s="2">
        <f t="shared" si="5"/>
        <v>0</v>
      </c>
      <c r="T39" s="2">
        <f t="shared" si="6"/>
        <v>0</v>
      </c>
    </row>
  </sheetData>
  <autoFilter ref="A3:S20" xr:uid="{00000000-0009-0000-0000-000002000000}">
    <sortState xmlns:xlrd2="http://schemas.microsoft.com/office/spreadsheetml/2017/richdata2" ref="A4:S22">
      <sortCondition ref="A3:A20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9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topLeftCell="A7" zoomScale="80" zoomScaleNormal="80" zoomScalePageLayoutView="90" workbookViewId="0">
      <selection activeCell="AC21" sqref="AC21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12" t="s">
        <v>4</v>
      </c>
      <c r="F1" s="213"/>
      <c r="G1" s="214"/>
      <c r="H1" s="217" t="s">
        <v>120</v>
      </c>
      <c r="I1" s="218"/>
      <c r="J1" s="219"/>
      <c r="K1" s="212" t="s">
        <v>108</v>
      </c>
      <c r="L1" s="213"/>
      <c r="M1" s="214"/>
      <c r="N1" s="217" t="s">
        <v>110</v>
      </c>
      <c r="O1" s="218"/>
      <c r="P1" s="219"/>
      <c r="Q1" s="212" t="s">
        <v>39</v>
      </c>
      <c r="R1" s="213"/>
      <c r="S1" s="214"/>
      <c r="T1" s="215" t="s">
        <v>7</v>
      </c>
      <c r="U1" s="215"/>
      <c r="V1" s="215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24</v>
      </c>
      <c r="B42" s="28" t="s">
        <v>356</v>
      </c>
      <c r="C42" s="28" t="s">
        <v>355</v>
      </c>
      <c r="D42" s="37" t="s">
        <v>115</v>
      </c>
      <c r="E42" s="6">
        <v>50</v>
      </c>
      <c r="F42" s="6">
        <v>4</v>
      </c>
      <c r="G42" s="6">
        <v>2</v>
      </c>
      <c r="H42" s="56">
        <v>25</v>
      </c>
      <c r="I42" s="56">
        <v>1</v>
      </c>
      <c r="J42" s="56">
        <v>4</v>
      </c>
      <c r="K42" s="6">
        <v>5</v>
      </c>
      <c r="L42" s="6">
        <v>1</v>
      </c>
      <c r="M42" s="6">
        <v>1</v>
      </c>
      <c r="N42" s="56">
        <v>8</v>
      </c>
      <c r="O42" s="56">
        <v>2</v>
      </c>
      <c r="P42" s="56">
        <v>1</v>
      </c>
      <c r="Q42" s="6">
        <v>2</v>
      </c>
      <c r="R42" s="108">
        <v>0</v>
      </c>
      <c r="S42" s="108">
        <v>0</v>
      </c>
      <c r="T42" s="2">
        <v>90</v>
      </c>
      <c r="U42" s="2">
        <v>8</v>
      </c>
      <c r="V42" s="2">
        <v>0</v>
      </c>
    </row>
    <row r="43" spans="1:22" x14ac:dyDescent="0.25">
      <c r="A43" s="28">
        <v>1</v>
      </c>
      <c r="B43" s="28" t="s">
        <v>356</v>
      </c>
      <c r="C43" s="28" t="s">
        <v>351</v>
      </c>
      <c r="D43" s="37" t="s">
        <v>225</v>
      </c>
      <c r="E43" s="6">
        <v>78</v>
      </c>
      <c r="F43" s="6">
        <v>0</v>
      </c>
      <c r="G43" s="6"/>
      <c r="H43" s="56">
        <v>4</v>
      </c>
      <c r="I43" s="56">
        <v>0</v>
      </c>
      <c r="J43" s="56"/>
      <c r="K43" s="6">
        <v>1</v>
      </c>
      <c r="L43" s="6">
        <v>0</v>
      </c>
      <c r="M43" s="6"/>
      <c r="N43" s="56">
        <v>5</v>
      </c>
      <c r="O43" s="56">
        <v>0</v>
      </c>
      <c r="P43" s="56"/>
      <c r="Q43" s="6">
        <v>1</v>
      </c>
      <c r="R43" s="108">
        <v>0</v>
      </c>
      <c r="S43" s="108"/>
      <c r="T43" s="2">
        <v>89</v>
      </c>
      <c r="U43" s="2">
        <v>0</v>
      </c>
      <c r="V43" s="2">
        <v>5</v>
      </c>
    </row>
    <row r="44" spans="1:22" x14ac:dyDescent="0.25">
      <c r="A44" s="28">
        <v>11</v>
      </c>
      <c r="B44" s="28" t="s">
        <v>380</v>
      </c>
      <c r="C44" s="28" t="s">
        <v>353</v>
      </c>
      <c r="D44" s="37" t="s">
        <v>169</v>
      </c>
      <c r="E44" s="6">
        <v>63</v>
      </c>
      <c r="F44" s="6">
        <v>3</v>
      </c>
      <c r="G44" s="6"/>
      <c r="H44" s="56">
        <v>18</v>
      </c>
      <c r="I44" s="56">
        <v>0</v>
      </c>
      <c r="J44" s="56"/>
      <c r="K44" s="6">
        <v>2</v>
      </c>
      <c r="L44" s="6">
        <v>0</v>
      </c>
      <c r="M44" s="6"/>
      <c r="N44" s="56">
        <v>5</v>
      </c>
      <c r="O44" s="56">
        <v>1</v>
      </c>
      <c r="P44" s="56"/>
      <c r="Q44" s="6">
        <v>0</v>
      </c>
      <c r="R44" s="108">
        <v>0</v>
      </c>
      <c r="S44" s="108"/>
      <c r="T44" s="2">
        <v>88</v>
      </c>
      <c r="U44" s="2">
        <v>4</v>
      </c>
      <c r="V44" s="2">
        <v>6</v>
      </c>
    </row>
    <row r="45" spans="1:22" x14ac:dyDescent="0.25">
      <c r="A45" s="28">
        <v>18</v>
      </c>
      <c r="B45" s="28" t="s">
        <v>392</v>
      </c>
      <c r="C45" s="28" t="s">
        <v>353</v>
      </c>
      <c r="D45" s="37" t="s">
        <v>226</v>
      </c>
      <c r="E45" s="6">
        <v>65</v>
      </c>
      <c r="F45" s="6">
        <v>2</v>
      </c>
      <c r="G45" s="6"/>
      <c r="H45" s="56">
        <v>13</v>
      </c>
      <c r="I45" s="56">
        <v>1</v>
      </c>
      <c r="J45" s="56"/>
      <c r="K45" s="6">
        <v>2</v>
      </c>
      <c r="L45" s="6">
        <v>0</v>
      </c>
      <c r="M45" s="6"/>
      <c r="N45" s="56">
        <v>3</v>
      </c>
      <c r="O45" s="56">
        <v>0</v>
      </c>
      <c r="P45" s="56"/>
      <c r="Q45" s="6">
        <v>0</v>
      </c>
      <c r="R45" s="108">
        <v>0</v>
      </c>
      <c r="S45" s="108"/>
      <c r="T45" s="2">
        <v>83</v>
      </c>
      <c r="U45" s="2">
        <v>3</v>
      </c>
      <c r="V45" s="2">
        <v>4</v>
      </c>
    </row>
    <row r="46" spans="1:22" x14ac:dyDescent="0.25">
      <c r="A46" s="28">
        <v>29</v>
      </c>
      <c r="B46" s="28" t="s">
        <v>352</v>
      </c>
      <c r="C46" s="28" t="s">
        <v>354</v>
      </c>
      <c r="D46" s="37" t="s">
        <v>172</v>
      </c>
      <c r="E46" s="6">
        <v>57</v>
      </c>
      <c r="F46" s="6">
        <v>0</v>
      </c>
      <c r="G46" s="6"/>
      <c r="H46" s="56">
        <v>17</v>
      </c>
      <c r="I46" s="56">
        <v>1</v>
      </c>
      <c r="J46" s="56"/>
      <c r="K46" s="6">
        <v>4</v>
      </c>
      <c r="L46" s="6">
        <v>0</v>
      </c>
      <c r="M46" s="6"/>
      <c r="N46" s="56">
        <v>4</v>
      </c>
      <c r="O46" s="56">
        <v>0</v>
      </c>
      <c r="P46" s="56"/>
      <c r="Q46" s="6">
        <v>0</v>
      </c>
      <c r="R46" s="108">
        <v>0</v>
      </c>
      <c r="S46" s="108"/>
      <c r="T46" s="2">
        <v>82</v>
      </c>
      <c r="U46" s="2">
        <v>1</v>
      </c>
      <c r="V46" s="61">
        <v>12</v>
      </c>
    </row>
    <row r="47" spans="1:22" x14ac:dyDescent="0.25">
      <c r="A47" s="27">
        <v>9</v>
      </c>
      <c r="B47" s="27" t="s">
        <v>364</v>
      </c>
      <c r="C47" s="27" t="s">
        <v>355</v>
      </c>
      <c r="D47" s="145" t="s">
        <v>15</v>
      </c>
      <c r="E47" s="6">
        <v>60</v>
      </c>
      <c r="F47" s="6">
        <v>19</v>
      </c>
      <c r="G47" s="6"/>
      <c r="H47" s="7">
        <v>14</v>
      </c>
      <c r="I47" s="7">
        <v>8</v>
      </c>
      <c r="J47" s="7"/>
      <c r="K47" s="6">
        <v>3</v>
      </c>
      <c r="L47" s="6">
        <v>2</v>
      </c>
      <c r="M47" s="6"/>
      <c r="N47" s="7">
        <v>3</v>
      </c>
      <c r="O47" s="7">
        <v>2</v>
      </c>
      <c r="P47" s="7"/>
      <c r="Q47" s="6">
        <v>2</v>
      </c>
      <c r="R47" s="108">
        <v>0</v>
      </c>
      <c r="S47" s="108"/>
      <c r="T47" s="61">
        <v>82</v>
      </c>
      <c r="U47" s="61">
        <v>31</v>
      </c>
      <c r="V47" s="2">
        <v>5</v>
      </c>
    </row>
    <row r="48" spans="1:22" x14ac:dyDescent="0.25">
      <c r="A48" s="28">
        <v>8</v>
      </c>
      <c r="B48" s="28" t="s">
        <v>350</v>
      </c>
      <c r="C48" s="28" t="s">
        <v>354</v>
      </c>
      <c r="D48" s="37" t="s">
        <v>187</v>
      </c>
      <c r="E48" s="6">
        <v>48</v>
      </c>
      <c r="F48" s="6">
        <v>0</v>
      </c>
      <c r="G48" s="6"/>
      <c r="H48" s="56">
        <v>18</v>
      </c>
      <c r="I48" s="56">
        <v>1</v>
      </c>
      <c r="J48" s="56"/>
      <c r="K48" s="6">
        <v>5</v>
      </c>
      <c r="L48" s="6">
        <v>1</v>
      </c>
      <c r="M48" s="6"/>
      <c r="N48" s="56">
        <v>5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2</v>
      </c>
      <c r="V48" s="2">
        <v>2</v>
      </c>
    </row>
    <row r="49" spans="1:22" x14ac:dyDescent="0.25">
      <c r="A49" s="28">
        <v>20</v>
      </c>
      <c r="B49" s="28" t="s">
        <v>365</v>
      </c>
      <c r="C49" s="28" t="s">
        <v>354</v>
      </c>
      <c r="D49" s="37" t="s">
        <v>273</v>
      </c>
      <c r="E49" s="6">
        <v>53</v>
      </c>
      <c r="F49" s="6">
        <v>0</v>
      </c>
      <c r="G49" s="6"/>
      <c r="H49" s="56">
        <v>14</v>
      </c>
      <c r="I49" s="56">
        <v>1</v>
      </c>
      <c r="J49" s="56"/>
      <c r="K49" s="6">
        <v>2</v>
      </c>
      <c r="L49" s="6">
        <v>0</v>
      </c>
      <c r="M49" s="6"/>
      <c r="N49" s="56">
        <v>7</v>
      </c>
      <c r="O49" s="56">
        <v>0</v>
      </c>
      <c r="P49" s="56"/>
      <c r="Q49" s="6">
        <v>0</v>
      </c>
      <c r="R49" s="6">
        <v>0</v>
      </c>
      <c r="S49" s="6"/>
      <c r="T49" s="2">
        <v>76</v>
      </c>
      <c r="U49" s="2">
        <v>1</v>
      </c>
      <c r="V49" s="2">
        <v>4</v>
      </c>
    </row>
    <row r="50" spans="1:22" x14ac:dyDescent="0.25">
      <c r="A50" s="28">
        <v>28</v>
      </c>
      <c r="B50" s="28" t="s">
        <v>356</v>
      </c>
      <c r="C50" s="28" t="s">
        <v>354</v>
      </c>
      <c r="D50" s="37" t="s">
        <v>117</v>
      </c>
      <c r="E50" s="6">
        <v>40</v>
      </c>
      <c r="F50" s="6">
        <v>1</v>
      </c>
      <c r="G50" s="6"/>
      <c r="H50" s="56">
        <v>20</v>
      </c>
      <c r="I50" s="56">
        <v>6</v>
      </c>
      <c r="J50" s="56"/>
      <c r="K50" s="6">
        <v>7</v>
      </c>
      <c r="L50" s="6">
        <v>2</v>
      </c>
      <c r="M50" s="6"/>
      <c r="N50" s="56">
        <v>8</v>
      </c>
      <c r="O50" s="56">
        <v>2</v>
      </c>
      <c r="P50" s="56"/>
      <c r="Q50" s="6">
        <v>1</v>
      </c>
      <c r="R50" s="6">
        <v>0</v>
      </c>
      <c r="S50" s="6"/>
      <c r="T50" s="2">
        <v>76</v>
      </c>
      <c r="U50" s="2">
        <v>11</v>
      </c>
      <c r="V50" s="2">
        <v>1</v>
      </c>
    </row>
    <row r="51" spans="1:22" x14ac:dyDescent="0.25">
      <c r="A51" s="56">
        <v>23</v>
      </c>
      <c r="B51" s="56" t="s">
        <v>358</v>
      </c>
      <c r="C51" s="56" t="s">
        <v>353</v>
      </c>
      <c r="D51" s="37" t="s">
        <v>190</v>
      </c>
      <c r="E51" s="6">
        <v>53</v>
      </c>
      <c r="F51" s="6">
        <v>3</v>
      </c>
      <c r="G51" s="6"/>
      <c r="H51" s="56">
        <v>12</v>
      </c>
      <c r="I51" s="56">
        <v>1</v>
      </c>
      <c r="J51" s="56"/>
      <c r="K51" s="6">
        <v>6</v>
      </c>
      <c r="L51" s="6">
        <v>0</v>
      </c>
      <c r="M51" s="6"/>
      <c r="N51" s="56">
        <v>1</v>
      </c>
      <c r="O51" s="56">
        <v>0</v>
      </c>
      <c r="P51" s="56"/>
      <c r="Q51" s="6">
        <v>1</v>
      </c>
      <c r="R51" s="6">
        <v>0</v>
      </c>
      <c r="S51" s="6"/>
      <c r="T51" s="2">
        <v>73</v>
      </c>
      <c r="U51" s="2">
        <v>4</v>
      </c>
      <c r="V51" s="2">
        <v>4</v>
      </c>
    </row>
    <row r="52" spans="1:22" x14ac:dyDescent="0.25">
      <c r="A52" s="56">
        <v>25</v>
      </c>
      <c r="B52" s="56" t="s">
        <v>356</v>
      </c>
      <c r="C52" s="56" t="s">
        <v>353</v>
      </c>
      <c r="D52" s="40" t="s">
        <v>41</v>
      </c>
      <c r="E52" s="6">
        <v>41</v>
      </c>
      <c r="F52" s="6">
        <v>1</v>
      </c>
      <c r="G52" s="6"/>
      <c r="H52" s="4">
        <v>17</v>
      </c>
      <c r="I52" s="4">
        <v>0</v>
      </c>
      <c r="J52" s="4"/>
      <c r="K52" s="6">
        <v>5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1</v>
      </c>
      <c r="V52" s="2">
        <v>0</v>
      </c>
    </row>
    <row r="53" spans="1:22" x14ac:dyDescent="0.25">
      <c r="A53" s="56">
        <v>13</v>
      </c>
      <c r="B53" s="56" t="s">
        <v>381</v>
      </c>
      <c r="C53" s="56" t="s">
        <v>351</v>
      </c>
      <c r="D53" s="40" t="s">
        <v>21</v>
      </c>
      <c r="E53" s="6">
        <v>29</v>
      </c>
      <c r="F53" s="6">
        <v>0</v>
      </c>
      <c r="G53" s="6"/>
      <c r="H53" s="4">
        <v>24</v>
      </c>
      <c r="I53" s="4">
        <v>0</v>
      </c>
      <c r="J53" s="4"/>
      <c r="K53" s="6">
        <v>10</v>
      </c>
      <c r="L53" s="6">
        <v>0</v>
      </c>
      <c r="M53" s="6"/>
      <c r="N53" s="4">
        <v>7</v>
      </c>
      <c r="O53" s="4">
        <v>0</v>
      </c>
      <c r="P53" s="4"/>
      <c r="Q53" s="6">
        <v>0</v>
      </c>
      <c r="R53" s="6">
        <v>0</v>
      </c>
      <c r="S53" s="6"/>
      <c r="T53" s="2">
        <v>70</v>
      </c>
      <c r="U53" s="2">
        <v>0</v>
      </c>
      <c r="V53" s="2">
        <v>2</v>
      </c>
    </row>
    <row r="54" spans="1:22" x14ac:dyDescent="0.25">
      <c r="A54" s="4">
        <v>5</v>
      </c>
      <c r="B54" s="4" t="s">
        <v>362</v>
      </c>
      <c r="C54" s="4" t="s">
        <v>353</v>
      </c>
      <c r="D54" s="39" t="s">
        <v>203</v>
      </c>
      <c r="E54" s="6">
        <v>44</v>
      </c>
      <c r="F54" s="6">
        <v>3</v>
      </c>
      <c r="G54" s="6"/>
      <c r="H54" s="4">
        <v>17</v>
      </c>
      <c r="I54" s="4">
        <v>2</v>
      </c>
      <c r="J54" s="4"/>
      <c r="K54" s="6">
        <v>7</v>
      </c>
      <c r="L54" s="6">
        <v>1</v>
      </c>
      <c r="M54" s="6"/>
      <c r="N54" s="4">
        <v>1</v>
      </c>
      <c r="O54" s="4">
        <v>0</v>
      </c>
      <c r="P54" s="4"/>
      <c r="Q54" s="6">
        <v>0</v>
      </c>
      <c r="R54" s="6">
        <v>0</v>
      </c>
      <c r="S54" s="6"/>
      <c r="T54" s="2">
        <v>69</v>
      </c>
      <c r="U54" s="2">
        <v>6</v>
      </c>
      <c r="V54" s="2">
        <v>5</v>
      </c>
    </row>
    <row r="55" spans="1:22" x14ac:dyDescent="0.25">
      <c r="A55" s="56">
        <v>15</v>
      </c>
      <c r="B55" s="56" t="s">
        <v>369</v>
      </c>
      <c r="C55" s="56" t="s">
        <v>353</v>
      </c>
      <c r="D55" s="37" t="s">
        <v>274</v>
      </c>
      <c r="E55" s="6">
        <v>44</v>
      </c>
      <c r="F55" s="6">
        <v>3</v>
      </c>
      <c r="G55" s="6"/>
      <c r="H55" s="56">
        <v>18</v>
      </c>
      <c r="I55" s="56">
        <v>0</v>
      </c>
      <c r="J55" s="56"/>
      <c r="K55" s="6">
        <v>1</v>
      </c>
      <c r="L55" s="6">
        <v>0</v>
      </c>
      <c r="M55" s="6"/>
      <c r="N55" s="56">
        <v>5</v>
      </c>
      <c r="O55" s="56">
        <v>0</v>
      </c>
      <c r="P55" s="56"/>
      <c r="Q55" s="6">
        <v>0</v>
      </c>
      <c r="R55" s="6">
        <v>0</v>
      </c>
      <c r="S55" s="6"/>
      <c r="T55" s="2">
        <v>68</v>
      </c>
      <c r="U55" s="2">
        <v>3</v>
      </c>
      <c r="V55" s="2">
        <v>0</v>
      </c>
    </row>
    <row r="56" spans="1:22" x14ac:dyDescent="0.25">
      <c r="A56" s="4">
        <v>5</v>
      </c>
      <c r="B56" s="4" t="s">
        <v>358</v>
      </c>
      <c r="C56" s="4" t="s">
        <v>353</v>
      </c>
      <c r="D56" s="34" t="s">
        <v>84</v>
      </c>
      <c r="E56" s="6">
        <v>46</v>
      </c>
      <c r="F56" s="6">
        <v>1</v>
      </c>
      <c r="G56" s="6"/>
      <c r="H56" s="7">
        <v>6</v>
      </c>
      <c r="I56" s="7">
        <v>0</v>
      </c>
      <c r="J56" s="7"/>
      <c r="K56" s="6">
        <v>9</v>
      </c>
      <c r="L56" s="6">
        <v>0</v>
      </c>
      <c r="M56" s="6"/>
      <c r="N56" s="7">
        <v>3</v>
      </c>
      <c r="O56" s="7">
        <v>0</v>
      </c>
      <c r="P56" s="7"/>
      <c r="Q56" s="6">
        <v>0</v>
      </c>
      <c r="R56" s="6">
        <v>0</v>
      </c>
      <c r="S56" s="6"/>
      <c r="T56" s="2">
        <v>64</v>
      </c>
      <c r="U56" s="2">
        <v>1</v>
      </c>
      <c r="V56" s="2">
        <v>5</v>
      </c>
    </row>
    <row r="57" spans="1:22" x14ac:dyDescent="0.25">
      <c r="A57" s="56">
        <v>17</v>
      </c>
      <c r="B57" s="56" t="s">
        <v>363</v>
      </c>
      <c r="C57" s="56" t="s">
        <v>353</v>
      </c>
      <c r="D57" s="37" t="s">
        <v>192</v>
      </c>
      <c r="E57" s="6">
        <v>41</v>
      </c>
      <c r="F57" s="6">
        <v>2</v>
      </c>
      <c r="G57" s="6"/>
      <c r="H57" s="56">
        <v>11</v>
      </c>
      <c r="I57" s="56">
        <v>0</v>
      </c>
      <c r="J57" s="56"/>
      <c r="K57" s="6">
        <v>3</v>
      </c>
      <c r="L57" s="6">
        <v>0</v>
      </c>
      <c r="M57" s="6"/>
      <c r="N57" s="56">
        <v>8</v>
      </c>
      <c r="O57" s="56">
        <v>0</v>
      </c>
      <c r="P57" s="56"/>
      <c r="Q57" s="6">
        <v>1</v>
      </c>
      <c r="R57" s="6">
        <v>0</v>
      </c>
      <c r="S57" s="6"/>
      <c r="T57" s="2">
        <v>64</v>
      </c>
      <c r="U57" s="2">
        <v>2</v>
      </c>
      <c r="V57" s="2">
        <v>12</v>
      </c>
    </row>
    <row r="58" spans="1:22" x14ac:dyDescent="0.25">
      <c r="A58" s="56">
        <v>7</v>
      </c>
      <c r="B58" s="56" t="s">
        <v>382</v>
      </c>
      <c r="C58" s="56" t="s">
        <v>355</v>
      </c>
      <c r="D58" s="40" t="s">
        <v>130</v>
      </c>
      <c r="E58" s="6">
        <v>38</v>
      </c>
      <c r="F58" s="6">
        <v>8</v>
      </c>
      <c r="G58" s="6"/>
      <c r="H58" s="4">
        <v>17</v>
      </c>
      <c r="I58" s="4">
        <v>1</v>
      </c>
      <c r="J58" s="4"/>
      <c r="K58" s="6">
        <v>0</v>
      </c>
      <c r="L58" s="6">
        <v>0</v>
      </c>
      <c r="M58" s="6"/>
      <c r="N58" s="4">
        <v>3</v>
      </c>
      <c r="O58" s="4">
        <v>0</v>
      </c>
      <c r="P58" s="4"/>
      <c r="Q58" s="6">
        <v>0</v>
      </c>
      <c r="R58" s="6">
        <v>0</v>
      </c>
      <c r="S58" s="6"/>
      <c r="T58" s="2">
        <v>58</v>
      </c>
      <c r="U58" s="2">
        <v>9</v>
      </c>
      <c r="V58" s="2">
        <v>5</v>
      </c>
    </row>
    <row r="59" spans="1:22" x14ac:dyDescent="0.25">
      <c r="A59" s="56">
        <v>21</v>
      </c>
      <c r="B59" s="56" t="s">
        <v>363</v>
      </c>
      <c r="C59" s="56" t="s">
        <v>354</v>
      </c>
      <c r="D59" s="37" t="s">
        <v>259</v>
      </c>
      <c r="E59" s="6">
        <v>33</v>
      </c>
      <c r="F59" s="6">
        <v>2</v>
      </c>
      <c r="G59" s="6">
        <v>4</v>
      </c>
      <c r="H59" s="56">
        <v>11</v>
      </c>
      <c r="I59" s="56">
        <v>1</v>
      </c>
      <c r="J59" s="56">
        <v>2</v>
      </c>
      <c r="K59" s="6">
        <v>2</v>
      </c>
      <c r="L59" s="6">
        <v>0</v>
      </c>
      <c r="M59" s="6">
        <v>2</v>
      </c>
      <c r="N59" s="56">
        <v>2</v>
      </c>
      <c r="O59" s="56">
        <v>0</v>
      </c>
      <c r="P59" s="56">
        <v>1</v>
      </c>
      <c r="Q59" s="6">
        <v>1</v>
      </c>
      <c r="R59" s="6">
        <v>0</v>
      </c>
      <c r="S59" s="6">
        <v>0</v>
      </c>
      <c r="T59" s="2">
        <v>49</v>
      </c>
      <c r="U59" s="2">
        <v>3</v>
      </c>
      <c r="V59" s="2">
        <v>0</v>
      </c>
    </row>
    <row r="60" spans="1:22" x14ac:dyDescent="0.25">
      <c r="A60" s="56">
        <v>28</v>
      </c>
      <c r="B60" s="56" t="s">
        <v>383</v>
      </c>
      <c r="C60" s="56" t="s">
        <v>355</v>
      </c>
      <c r="D60" s="40" t="s">
        <v>32</v>
      </c>
      <c r="E60" s="6">
        <v>23</v>
      </c>
      <c r="F60" s="6">
        <v>3</v>
      </c>
      <c r="G60" s="6"/>
      <c r="H60" s="4">
        <v>8</v>
      </c>
      <c r="I60" s="4">
        <v>0</v>
      </c>
      <c r="J60" s="4"/>
      <c r="K60" s="6">
        <v>4</v>
      </c>
      <c r="L60" s="6">
        <v>1</v>
      </c>
      <c r="M60" s="6"/>
      <c r="N60" s="4">
        <v>3</v>
      </c>
      <c r="O60" s="4">
        <v>0</v>
      </c>
      <c r="P60" s="4"/>
      <c r="Q60" s="6">
        <v>1</v>
      </c>
      <c r="R60" s="6">
        <v>0</v>
      </c>
      <c r="S60" s="6"/>
      <c r="T60" s="2">
        <v>39</v>
      </c>
      <c r="U60" s="2">
        <v>4</v>
      </c>
      <c r="V60" s="2">
        <v>0</v>
      </c>
    </row>
    <row r="61" spans="1:22" x14ac:dyDescent="0.25">
      <c r="A61" s="56">
        <v>28</v>
      </c>
      <c r="B61" s="56" t="s">
        <v>370</v>
      </c>
      <c r="C61" s="56" t="s">
        <v>354</v>
      </c>
      <c r="D61" s="37" t="s">
        <v>224</v>
      </c>
      <c r="E61" s="6">
        <v>25</v>
      </c>
      <c r="F61" s="6">
        <v>0</v>
      </c>
      <c r="G61" s="6"/>
      <c r="H61" s="56">
        <v>6</v>
      </c>
      <c r="I61" s="56">
        <v>0</v>
      </c>
      <c r="J61" s="56"/>
      <c r="K61" s="6">
        <v>3</v>
      </c>
      <c r="L61" s="6">
        <v>0</v>
      </c>
      <c r="M61" s="6"/>
      <c r="N61" s="56">
        <v>5</v>
      </c>
      <c r="O61" s="56">
        <v>0</v>
      </c>
      <c r="P61" s="56"/>
      <c r="Q61" s="6">
        <v>0</v>
      </c>
      <c r="R61" s="6">
        <v>0</v>
      </c>
      <c r="S61" s="6"/>
      <c r="T61" s="2">
        <v>39</v>
      </c>
      <c r="U61" s="2">
        <v>0</v>
      </c>
      <c r="V61" s="2">
        <v>7</v>
      </c>
    </row>
    <row r="62" spans="1:22" x14ac:dyDescent="0.25">
      <c r="A62" s="56">
        <v>26</v>
      </c>
      <c r="B62" s="56" t="s">
        <v>384</v>
      </c>
      <c r="C62" s="56" t="s">
        <v>351</v>
      </c>
      <c r="D62" s="37" t="s">
        <v>30</v>
      </c>
      <c r="E62" s="6">
        <v>15</v>
      </c>
      <c r="F62" s="6">
        <v>0</v>
      </c>
      <c r="G62" s="6"/>
      <c r="H62" s="56">
        <v>9</v>
      </c>
      <c r="I62" s="56">
        <v>0</v>
      </c>
      <c r="J62" s="56"/>
      <c r="K62" s="6">
        <v>6</v>
      </c>
      <c r="L62" s="6">
        <v>0</v>
      </c>
      <c r="M62" s="6"/>
      <c r="N62" s="56">
        <v>7</v>
      </c>
      <c r="O62" s="56">
        <v>0</v>
      </c>
      <c r="P62" s="56"/>
      <c r="Q62" s="6">
        <v>1</v>
      </c>
      <c r="R62" s="6">
        <v>0</v>
      </c>
      <c r="S62" s="6"/>
      <c r="T62" s="2">
        <v>38</v>
      </c>
      <c r="U62" s="2">
        <v>0</v>
      </c>
      <c r="V62" s="2">
        <v>1</v>
      </c>
    </row>
    <row r="63" spans="1:22" x14ac:dyDescent="0.25">
      <c r="A63" s="56">
        <v>12</v>
      </c>
      <c r="B63" s="56" t="s">
        <v>358</v>
      </c>
      <c r="C63" s="56" t="s">
        <v>355</v>
      </c>
      <c r="D63" s="37" t="s">
        <v>197</v>
      </c>
      <c r="E63" s="6">
        <v>25</v>
      </c>
      <c r="F63" s="6">
        <v>1</v>
      </c>
      <c r="G63" s="6"/>
      <c r="H63" s="56">
        <v>9</v>
      </c>
      <c r="I63" s="56">
        <v>0</v>
      </c>
      <c r="J63" s="56"/>
      <c r="K63" s="6">
        <v>2</v>
      </c>
      <c r="L63" s="6">
        <v>0</v>
      </c>
      <c r="M63" s="6"/>
      <c r="N63" s="56">
        <v>1</v>
      </c>
      <c r="O63" s="56">
        <v>0</v>
      </c>
      <c r="P63" s="56"/>
      <c r="Q63" s="6">
        <v>0</v>
      </c>
      <c r="R63" s="6">
        <v>0</v>
      </c>
      <c r="S63" s="6"/>
      <c r="T63" s="2">
        <v>37</v>
      </c>
      <c r="U63" s="2">
        <v>1</v>
      </c>
      <c r="V63" s="2">
        <v>5</v>
      </c>
    </row>
    <row r="64" spans="1:22" x14ac:dyDescent="0.25">
      <c r="A64" s="56">
        <v>2</v>
      </c>
      <c r="B64" s="56" t="s">
        <v>352</v>
      </c>
      <c r="C64" s="56" t="s">
        <v>353</v>
      </c>
      <c r="D64" s="40" t="s">
        <v>9</v>
      </c>
      <c r="E64" s="6">
        <v>13</v>
      </c>
      <c r="F64" s="6">
        <v>1</v>
      </c>
      <c r="G64" s="6"/>
      <c r="H64" s="4">
        <v>10</v>
      </c>
      <c r="I64" s="4">
        <v>1</v>
      </c>
      <c r="J64" s="4"/>
      <c r="K64" s="6">
        <v>2</v>
      </c>
      <c r="L64" s="6">
        <v>0</v>
      </c>
      <c r="M64" s="6"/>
      <c r="N64" s="4">
        <v>4</v>
      </c>
      <c r="O64" s="4">
        <v>0</v>
      </c>
      <c r="P64" s="4"/>
      <c r="Q64" s="6">
        <v>1</v>
      </c>
      <c r="R64" s="6">
        <v>0</v>
      </c>
      <c r="S64" s="6"/>
      <c r="T64" s="2">
        <v>30</v>
      </c>
      <c r="U64" s="2">
        <v>2</v>
      </c>
      <c r="V64" s="2">
        <v>2</v>
      </c>
    </row>
    <row r="65" spans="1:22" x14ac:dyDescent="0.25">
      <c r="A65" s="56">
        <v>30</v>
      </c>
      <c r="B65" s="56" t="s">
        <v>356</v>
      </c>
      <c r="C65" s="56" t="s">
        <v>355</v>
      </c>
      <c r="D65" s="37" t="s">
        <v>295</v>
      </c>
      <c r="E65" s="6">
        <v>17</v>
      </c>
      <c r="F65" s="6">
        <v>0</v>
      </c>
      <c r="G65" s="6"/>
      <c r="H65" s="56">
        <v>5</v>
      </c>
      <c r="I65" s="56">
        <v>0</v>
      </c>
      <c r="J65" s="56"/>
      <c r="K65" s="6">
        <v>1</v>
      </c>
      <c r="L65" s="6">
        <v>0</v>
      </c>
      <c r="M65" s="6"/>
      <c r="N65" s="56">
        <v>4</v>
      </c>
      <c r="O65" s="56">
        <v>1</v>
      </c>
      <c r="P65" s="56"/>
      <c r="Q65" s="6">
        <v>0</v>
      </c>
      <c r="R65" s="6">
        <v>0</v>
      </c>
      <c r="S65" s="6"/>
      <c r="T65" s="2">
        <v>28</v>
      </c>
      <c r="U65" s="2">
        <v>1</v>
      </c>
      <c r="V65" s="2">
        <v>1</v>
      </c>
    </row>
    <row r="66" spans="1:22" x14ac:dyDescent="0.25">
      <c r="A66" s="56">
        <v>20</v>
      </c>
      <c r="B66" s="56" t="s">
        <v>363</v>
      </c>
      <c r="C66" s="56" t="s">
        <v>353</v>
      </c>
      <c r="D66" s="37" t="s">
        <v>223</v>
      </c>
      <c r="E66" s="6">
        <v>22</v>
      </c>
      <c r="F66" s="6">
        <v>1</v>
      </c>
      <c r="G66" s="6"/>
      <c r="H66" s="56">
        <v>0</v>
      </c>
      <c r="I66" s="56">
        <v>0</v>
      </c>
      <c r="J66" s="56"/>
      <c r="K66" s="6">
        <v>1</v>
      </c>
      <c r="L66" s="6">
        <v>0</v>
      </c>
      <c r="M66" s="6"/>
      <c r="N66" s="56">
        <v>5</v>
      </c>
      <c r="O66" s="56">
        <v>0</v>
      </c>
      <c r="P66" s="56"/>
      <c r="Q66" s="6">
        <v>0</v>
      </c>
      <c r="R66" s="6">
        <v>0</v>
      </c>
      <c r="S66" s="6"/>
      <c r="T66" s="2">
        <v>28</v>
      </c>
      <c r="U66" s="2">
        <v>1</v>
      </c>
      <c r="V66" s="2">
        <v>0</v>
      </c>
    </row>
    <row r="67" spans="1:22" x14ac:dyDescent="0.25">
      <c r="A67" s="56">
        <v>12</v>
      </c>
      <c r="B67" s="56" t="s">
        <v>367</v>
      </c>
      <c r="C67" s="56" t="s">
        <v>353</v>
      </c>
      <c r="D67" s="40" t="s">
        <v>170</v>
      </c>
      <c r="E67" s="6">
        <v>14</v>
      </c>
      <c r="F67" s="6">
        <v>0</v>
      </c>
      <c r="G67" s="6"/>
      <c r="H67" s="4">
        <v>6</v>
      </c>
      <c r="I67" s="4">
        <v>0</v>
      </c>
      <c r="J67" s="4"/>
      <c r="K67" s="6">
        <v>1</v>
      </c>
      <c r="L67" s="6">
        <v>0</v>
      </c>
      <c r="M67" s="6"/>
      <c r="N67" s="4">
        <v>2</v>
      </c>
      <c r="O67" s="4">
        <v>1</v>
      </c>
      <c r="P67" s="4"/>
      <c r="Q67" s="6">
        <v>0</v>
      </c>
      <c r="R67" s="6">
        <v>0</v>
      </c>
      <c r="S67" s="6"/>
      <c r="T67" s="2">
        <v>23</v>
      </c>
      <c r="U67" s="2">
        <v>1</v>
      </c>
      <c r="V67" s="2">
        <v>5</v>
      </c>
    </row>
    <row r="68" spans="1:22" x14ac:dyDescent="0.25">
      <c r="A68" s="56">
        <v>22</v>
      </c>
      <c r="B68" s="56" t="s">
        <v>350</v>
      </c>
      <c r="C68" s="56" t="s">
        <v>353</v>
      </c>
      <c r="D68" s="37" t="s">
        <v>193</v>
      </c>
      <c r="E68" s="6">
        <v>14</v>
      </c>
      <c r="F68" s="6">
        <v>0</v>
      </c>
      <c r="G68" s="6"/>
      <c r="H68" s="56">
        <v>5</v>
      </c>
      <c r="I68" s="56">
        <v>1</v>
      </c>
      <c r="J68" s="56"/>
      <c r="K68" s="6">
        <v>3</v>
      </c>
      <c r="L68" s="6">
        <v>0</v>
      </c>
      <c r="M68" s="6"/>
      <c r="N68" s="56">
        <v>1</v>
      </c>
      <c r="O68" s="56">
        <v>0</v>
      </c>
      <c r="P68" s="56"/>
      <c r="Q68" s="6">
        <v>0</v>
      </c>
      <c r="R68" s="6">
        <v>0</v>
      </c>
      <c r="S68" s="6"/>
      <c r="T68" s="2">
        <v>22</v>
      </c>
      <c r="U68" s="2">
        <v>1</v>
      </c>
      <c r="V68" s="2">
        <v>1</v>
      </c>
    </row>
    <row r="69" spans="1:22" x14ac:dyDescent="0.25">
      <c r="A69" s="56">
        <v>28</v>
      </c>
      <c r="B69" s="56" t="s">
        <v>350</v>
      </c>
      <c r="C69" s="56" t="s">
        <v>355</v>
      </c>
      <c r="D69" s="40" t="s">
        <v>106</v>
      </c>
      <c r="E69" s="6">
        <v>12</v>
      </c>
      <c r="F69" s="6">
        <v>1</v>
      </c>
      <c r="G69" s="6"/>
      <c r="H69" s="4">
        <v>3</v>
      </c>
      <c r="I69" s="4">
        <v>3</v>
      </c>
      <c r="J69" s="4"/>
      <c r="K69" s="6">
        <v>4</v>
      </c>
      <c r="L69" s="6">
        <v>1</v>
      </c>
      <c r="M69" s="6"/>
      <c r="N69" s="4">
        <v>3</v>
      </c>
      <c r="O69" s="4">
        <v>2</v>
      </c>
      <c r="P69" s="4"/>
      <c r="Q69" s="6">
        <v>0</v>
      </c>
      <c r="R69" s="6">
        <v>0</v>
      </c>
      <c r="S69" s="6"/>
      <c r="T69" s="2">
        <v>22</v>
      </c>
      <c r="U69" s="2">
        <v>7</v>
      </c>
      <c r="V69" s="2">
        <v>2</v>
      </c>
    </row>
    <row r="70" spans="1:22" x14ac:dyDescent="0.25">
      <c r="A70" s="4">
        <v>22</v>
      </c>
      <c r="B70" s="4" t="s">
        <v>352</v>
      </c>
      <c r="C70" s="4" t="s">
        <v>355</v>
      </c>
      <c r="D70" s="35" t="s">
        <v>27</v>
      </c>
      <c r="E70" s="6">
        <v>11</v>
      </c>
      <c r="F70" s="6">
        <v>0</v>
      </c>
      <c r="G70" s="6"/>
      <c r="H70" s="4">
        <v>4</v>
      </c>
      <c r="I70" s="4">
        <v>1</v>
      </c>
      <c r="J70" s="4"/>
      <c r="K70" s="6">
        <v>4</v>
      </c>
      <c r="L70" s="6">
        <v>0</v>
      </c>
      <c r="M70" s="6"/>
      <c r="N70" s="4">
        <v>0</v>
      </c>
      <c r="O70" s="4">
        <v>0</v>
      </c>
      <c r="P70" s="4"/>
      <c r="Q70" s="6">
        <v>1</v>
      </c>
      <c r="R70" s="6">
        <v>0</v>
      </c>
      <c r="S70" s="6"/>
      <c r="T70" s="2">
        <v>20</v>
      </c>
      <c r="U70" s="2">
        <v>1</v>
      </c>
      <c r="V70" s="2">
        <v>1</v>
      </c>
    </row>
    <row r="71" spans="1:22" x14ac:dyDescent="0.25">
      <c r="A71" s="56">
        <v>16</v>
      </c>
      <c r="B71" s="56" t="s">
        <v>385</v>
      </c>
      <c r="C71" s="56" t="s">
        <v>354</v>
      </c>
      <c r="D71" s="37" t="s">
        <v>315</v>
      </c>
      <c r="E71" s="6">
        <v>7</v>
      </c>
      <c r="F71" s="6">
        <v>0</v>
      </c>
      <c r="G71" s="6"/>
      <c r="H71" s="56">
        <v>6</v>
      </c>
      <c r="I71" s="56">
        <v>0</v>
      </c>
      <c r="J71" s="56"/>
      <c r="K71" s="6">
        <v>4</v>
      </c>
      <c r="L71" s="6">
        <v>0</v>
      </c>
      <c r="M71" s="6"/>
      <c r="N71" s="56">
        <v>3</v>
      </c>
      <c r="O71" s="56">
        <v>0</v>
      </c>
      <c r="P71" s="56"/>
      <c r="Q71" s="6">
        <v>0</v>
      </c>
      <c r="R71" s="6">
        <v>0</v>
      </c>
      <c r="S71" s="6"/>
      <c r="T71" s="2">
        <v>20</v>
      </c>
      <c r="U71" s="2">
        <v>0</v>
      </c>
      <c r="V71" s="2">
        <v>0</v>
      </c>
    </row>
    <row r="72" spans="1:22" x14ac:dyDescent="0.25">
      <c r="A72" s="4">
        <v>27</v>
      </c>
      <c r="B72" s="4" t="s">
        <v>364</v>
      </c>
      <c r="C72" s="4" t="s">
        <v>355</v>
      </c>
      <c r="D72" s="35" t="s">
        <v>31</v>
      </c>
      <c r="E72" s="6">
        <v>10</v>
      </c>
      <c r="F72" s="6">
        <v>1</v>
      </c>
      <c r="G72" s="6"/>
      <c r="H72" s="4">
        <v>3</v>
      </c>
      <c r="I72" s="4">
        <v>0</v>
      </c>
      <c r="J72" s="4"/>
      <c r="K72" s="6">
        <v>2</v>
      </c>
      <c r="L72" s="6">
        <v>0</v>
      </c>
      <c r="M72" s="6"/>
      <c r="N72" s="4">
        <v>3</v>
      </c>
      <c r="O72" s="4">
        <v>0</v>
      </c>
      <c r="P72" s="4"/>
      <c r="Q72" s="6">
        <v>0</v>
      </c>
      <c r="R72" s="6">
        <v>0</v>
      </c>
      <c r="S72" s="6"/>
      <c r="T72" s="2">
        <v>18</v>
      </c>
      <c r="U72" s="2">
        <v>1</v>
      </c>
      <c r="V72" s="2">
        <v>1</v>
      </c>
    </row>
    <row r="73" spans="1:22" x14ac:dyDescent="0.25">
      <c r="A73" s="56">
        <v>32</v>
      </c>
      <c r="B73" s="56" t="s">
        <v>356</v>
      </c>
      <c r="C73" s="56" t="s">
        <v>355</v>
      </c>
      <c r="D73" s="40" t="s">
        <v>35</v>
      </c>
      <c r="E73" s="6">
        <v>4</v>
      </c>
      <c r="F73" s="6">
        <v>0</v>
      </c>
      <c r="G73" s="6"/>
      <c r="H73" s="4">
        <v>0</v>
      </c>
      <c r="I73" s="4">
        <v>0</v>
      </c>
      <c r="J73" s="4"/>
      <c r="K73" s="6">
        <v>4</v>
      </c>
      <c r="L73" s="6">
        <v>0</v>
      </c>
      <c r="M73" s="6"/>
      <c r="N73" s="4">
        <v>4</v>
      </c>
      <c r="O73" s="4">
        <v>0</v>
      </c>
      <c r="P73" s="4"/>
      <c r="Q73" s="6">
        <v>0</v>
      </c>
      <c r="R73" s="6">
        <v>0</v>
      </c>
      <c r="S73" s="6"/>
      <c r="T73" s="2">
        <v>12</v>
      </c>
      <c r="U73" s="2">
        <v>0</v>
      </c>
      <c r="V73" s="2">
        <v>0</v>
      </c>
    </row>
    <row r="74" spans="1:22" x14ac:dyDescent="0.25">
      <c r="A74" s="56">
        <v>26</v>
      </c>
      <c r="B74" s="56" t="s">
        <v>386</v>
      </c>
      <c r="C74" s="56" t="s">
        <v>355</v>
      </c>
      <c r="D74" s="37" t="s">
        <v>206</v>
      </c>
      <c r="E74" s="6">
        <v>2</v>
      </c>
      <c r="F74" s="6">
        <v>0</v>
      </c>
      <c r="G74" s="6"/>
      <c r="H74" s="56">
        <v>5</v>
      </c>
      <c r="I74" s="56">
        <v>2</v>
      </c>
      <c r="J74" s="56"/>
      <c r="K74" s="6">
        <v>1</v>
      </c>
      <c r="L74" s="6">
        <v>0</v>
      </c>
      <c r="M74" s="6"/>
      <c r="N74" s="56">
        <v>3</v>
      </c>
      <c r="O74" s="56">
        <v>0</v>
      </c>
      <c r="P74" s="56"/>
      <c r="Q74" s="6">
        <v>0</v>
      </c>
      <c r="R74" s="6">
        <v>0</v>
      </c>
      <c r="S74" s="6"/>
      <c r="T74" s="2">
        <v>11</v>
      </c>
      <c r="U74" s="2">
        <v>2</v>
      </c>
      <c r="V74" s="2">
        <v>0</v>
      </c>
    </row>
    <row r="75" spans="1:22" x14ac:dyDescent="0.25">
      <c r="A75" s="56">
        <v>27</v>
      </c>
      <c r="B75" s="28" t="s">
        <v>362</v>
      </c>
      <c r="C75" s="56" t="s">
        <v>353</v>
      </c>
      <c r="D75" s="37" t="s">
        <v>167</v>
      </c>
      <c r="E75" s="6">
        <v>7</v>
      </c>
      <c r="F75" s="6">
        <v>0</v>
      </c>
      <c r="G75" s="6"/>
      <c r="H75" s="56">
        <v>1</v>
      </c>
      <c r="I75" s="56">
        <v>0</v>
      </c>
      <c r="J75" s="56"/>
      <c r="K75" s="6">
        <v>0</v>
      </c>
      <c r="L75" s="6">
        <v>0</v>
      </c>
      <c r="M75" s="6"/>
      <c r="N75" s="56">
        <v>0</v>
      </c>
      <c r="O75" s="56">
        <v>0</v>
      </c>
      <c r="P75" s="56"/>
      <c r="Q75" s="6">
        <v>0</v>
      </c>
      <c r="R75" s="6">
        <v>0</v>
      </c>
      <c r="S75" s="6"/>
      <c r="T75" s="2">
        <v>8</v>
      </c>
      <c r="U75" s="2">
        <v>0</v>
      </c>
      <c r="V75" s="2">
        <v>0</v>
      </c>
    </row>
    <row r="76" spans="1:22" x14ac:dyDescent="0.25">
      <c r="A76" s="56">
        <v>22</v>
      </c>
      <c r="B76" s="56" t="s">
        <v>352</v>
      </c>
      <c r="C76" s="56" t="s">
        <v>354</v>
      </c>
      <c r="D76" s="40" t="s">
        <v>105</v>
      </c>
      <c r="E76" s="6">
        <v>0</v>
      </c>
      <c r="F76" s="6">
        <v>0</v>
      </c>
      <c r="G76" s="6"/>
      <c r="H76" s="4">
        <v>0</v>
      </c>
      <c r="I76" s="4">
        <v>0</v>
      </c>
      <c r="J76" s="4"/>
      <c r="K76" s="6">
        <v>5</v>
      </c>
      <c r="L76" s="6">
        <v>0</v>
      </c>
      <c r="M76" s="6"/>
      <c r="N76" s="4">
        <v>3</v>
      </c>
      <c r="O76" s="4">
        <v>0</v>
      </c>
      <c r="P76" s="4"/>
      <c r="Q76" s="6">
        <v>0</v>
      </c>
      <c r="R76" s="6">
        <v>0</v>
      </c>
      <c r="S76" s="6"/>
      <c r="T76" s="2">
        <v>8</v>
      </c>
      <c r="U76" s="2">
        <v>0</v>
      </c>
      <c r="V76" s="2">
        <v>0</v>
      </c>
    </row>
    <row r="77" spans="1:22" x14ac:dyDescent="0.25">
      <c r="A77" s="4">
        <v>31</v>
      </c>
      <c r="B77" s="56" t="s">
        <v>392</v>
      </c>
      <c r="C77" s="4" t="s">
        <v>355</v>
      </c>
      <c r="D77" s="145" t="s">
        <v>40</v>
      </c>
      <c r="E77" s="6">
        <v>1</v>
      </c>
      <c r="F77" s="6">
        <v>0</v>
      </c>
      <c r="G77" s="6"/>
      <c r="H77" s="4">
        <v>2</v>
      </c>
      <c r="I77" s="4">
        <v>0</v>
      </c>
      <c r="J77" s="4"/>
      <c r="K77" s="6">
        <v>0</v>
      </c>
      <c r="L77" s="6">
        <v>0</v>
      </c>
      <c r="M77" s="6"/>
      <c r="N77" s="4">
        <v>2</v>
      </c>
      <c r="O77" s="4">
        <v>0</v>
      </c>
      <c r="P77" s="4"/>
      <c r="Q77" s="6">
        <v>0</v>
      </c>
      <c r="R77" s="6">
        <v>0</v>
      </c>
      <c r="S77" s="6"/>
      <c r="T77" s="2">
        <v>7</v>
      </c>
      <c r="U77" s="2">
        <v>0</v>
      </c>
      <c r="V77" s="2">
        <v>1</v>
      </c>
    </row>
    <row r="78" spans="1:22" x14ac:dyDescent="0.25">
      <c r="A78" s="56">
        <v>30</v>
      </c>
      <c r="B78" s="56" t="s">
        <v>386</v>
      </c>
      <c r="C78" s="56" t="s">
        <v>351</v>
      </c>
      <c r="D78" s="37" t="s">
        <v>261</v>
      </c>
      <c r="E78" s="6">
        <v>0</v>
      </c>
      <c r="F78" s="6">
        <v>0</v>
      </c>
      <c r="G78" s="6"/>
      <c r="H78" s="56">
        <v>5</v>
      </c>
      <c r="I78" s="56">
        <v>0</v>
      </c>
      <c r="J78" s="56"/>
      <c r="K78" s="6">
        <v>2</v>
      </c>
      <c r="L78" s="6">
        <v>0</v>
      </c>
      <c r="M78" s="6"/>
      <c r="N78" s="56">
        <v>0</v>
      </c>
      <c r="O78" s="56">
        <v>0</v>
      </c>
      <c r="P78" s="56"/>
      <c r="Q78" s="6">
        <v>0</v>
      </c>
      <c r="R78" s="6">
        <v>0</v>
      </c>
      <c r="S78" s="6"/>
      <c r="T78" s="2">
        <v>7</v>
      </c>
      <c r="U78" s="2">
        <v>0</v>
      </c>
      <c r="V78" s="2">
        <v>0</v>
      </c>
    </row>
    <row r="79" spans="1:22" x14ac:dyDescent="0.25">
      <c r="A79" s="56">
        <v>27</v>
      </c>
      <c r="B79" s="56" t="s">
        <v>358</v>
      </c>
      <c r="C79" s="56" t="s">
        <v>355</v>
      </c>
      <c r="D79" s="37" t="s">
        <v>263</v>
      </c>
      <c r="E79" s="6">
        <v>1</v>
      </c>
      <c r="F79" s="6">
        <v>0</v>
      </c>
      <c r="G79" s="6"/>
      <c r="H79" s="56">
        <v>3</v>
      </c>
      <c r="I79" s="56">
        <v>1</v>
      </c>
      <c r="J79" s="56"/>
      <c r="K79" s="6">
        <v>1</v>
      </c>
      <c r="L79" s="6">
        <v>0</v>
      </c>
      <c r="M79" s="6"/>
      <c r="N79" s="56">
        <v>1</v>
      </c>
      <c r="O79" s="56">
        <v>0</v>
      </c>
      <c r="P79" s="56"/>
      <c r="Q79" s="6">
        <v>0</v>
      </c>
      <c r="R79" s="6">
        <v>0</v>
      </c>
      <c r="S79" s="6"/>
      <c r="T79" s="2">
        <v>6</v>
      </c>
      <c r="U79" s="2">
        <v>1</v>
      </c>
      <c r="V79" s="2">
        <v>0</v>
      </c>
    </row>
    <row r="80" spans="1:22" x14ac:dyDescent="0.25">
      <c r="A80" s="56">
        <v>13</v>
      </c>
      <c r="B80" s="56" t="s">
        <v>387</v>
      </c>
      <c r="C80" s="56" t="s">
        <v>351</v>
      </c>
      <c r="D80" s="37" t="s">
        <v>205</v>
      </c>
      <c r="E80" s="6">
        <v>1</v>
      </c>
      <c r="F80" s="6">
        <v>0</v>
      </c>
      <c r="G80" s="6"/>
      <c r="H80" s="56">
        <v>4</v>
      </c>
      <c r="I80" s="56">
        <v>0</v>
      </c>
      <c r="J80" s="56"/>
      <c r="K80" s="6">
        <v>0</v>
      </c>
      <c r="L80" s="6">
        <v>0</v>
      </c>
      <c r="M80" s="6"/>
      <c r="N80" s="56">
        <v>1</v>
      </c>
      <c r="O80" s="56">
        <v>0</v>
      </c>
      <c r="P80" s="56"/>
      <c r="Q80" s="6">
        <v>0</v>
      </c>
      <c r="R80" s="6">
        <v>0</v>
      </c>
      <c r="S80" s="6"/>
      <c r="T80" s="2">
        <v>6</v>
      </c>
      <c r="U80" s="2">
        <v>0</v>
      </c>
      <c r="V80" s="2">
        <v>0</v>
      </c>
    </row>
    <row r="81" spans="1:22" x14ac:dyDescent="0.25">
      <c r="A81" s="56">
        <v>22</v>
      </c>
      <c r="B81" s="56" t="s">
        <v>350</v>
      </c>
      <c r="C81" s="56" t="s">
        <v>354</v>
      </c>
      <c r="D81" s="40" t="s">
        <v>185</v>
      </c>
      <c r="E81" s="6">
        <v>4</v>
      </c>
      <c r="F81" s="6">
        <v>0</v>
      </c>
      <c r="G81" s="6"/>
      <c r="H81" s="4">
        <v>2</v>
      </c>
      <c r="I81" s="4">
        <v>0</v>
      </c>
      <c r="J81" s="4"/>
      <c r="K81" s="6">
        <v>0</v>
      </c>
      <c r="L81" s="6">
        <v>0</v>
      </c>
      <c r="M81" s="6"/>
      <c r="N81" s="4">
        <v>0</v>
      </c>
      <c r="O81" s="4">
        <v>0</v>
      </c>
      <c r="P81" s="4"/>
      <c r="Q81" s="6">
        <v>0</v>
      </c>
      <c r="R81" s="6">
        <v>0</v>
      </c>
      <c r="S81" s="6"/>
      <c r="T81" s="2">
        <v>6</v>
      </c>
      <c r="U81" s="2">
        <v>0</v>
      </c>
      <c r="V81" s="2">
        <v>0</v>
      </c>
    </row>
    <row r="82" spans="1:22" x14ac:dyDescent="0.25">
      <c r="A82" s="56">
        <v>40</v>
      </c>
      <c r="B82" s="56" t="s">
        <v>386</v>
      </c>
      <c r="C82" s="56" t="s">
        <v>354</v>
      </c>
      <c r="D82" s="37" t="s">
        <v>34</v>
      </c>
      <c r="E82" s="6">
        <v>0</v>
      </c>
      <c r="F82" s="6">
        <v>0</v>
      </c>
      <c r="G82" s="6"/>
      <c r="H82" s="56">
        <v>1</v>
      </c>
      <c r="I82" s="56">
        <v>0</v>
      </c>
      <c r="J82" s="56"/>
      <c r="K82" s="6">
        <v>1</v>
      </c>
      <c r="L82" s="6">
        <v>0</v>
      </c>
      <c r="M82" s="6"/>
      <c r="N82" s="56">
        <v>2</v>
      </c>
      <c r="O82" s="56">
        <v>0</v>
      </c>
      <c r="P82" s="56"/>
      <c r="Q82" s="6">
        <v>0</v>
      </c>
      <c r="R82" s="6">
        <v>0</v>
      </c>
      <c r="S82" s="6"/>
      <c r="T82" s="2">
        <v>4</v>
      </c>
      <c r="U82" s="2">
        <v>0</v>
      </c>
      <c r="V82" s="2">
        <v>0</v>
      </c>
    </row>
    <row r="83" spans="1:22" x14ac:dyDescent="0.25">
      <c r="A83" s="56">
        <v>43</v>
      </c>
      <c r="B83" s="56" t="s">
        <v>356</v>
      </c>
      <c r="C83" s="56" t="s">
        <v>354</v>
      </c>
      <c r="D83" s="40" t="s">
        <v>118</v>
      </c>
      <c r="E83" s="6">
        <v>0</v>
      </c>
      <c r="F83" s="6">
        <v>0</v>
      </c>
      <c r="G83" s="6"/>
      <c r="H83" s="4">
        <v>0</v>
      </c>
      <c r="I83" s="4">
        <v>0</v>
      </c>
      <c r="J83" s="4"/>
      <c r="K83" s="6">
        <v>0</v>
      </c>
      <c r="L83" s="6">
        <v>0</v>
      </c>
      <c r="M83" s="6"/>
      <c r="N83" s="4">
        <v>3</v>
      </c>
      <c r="O83" s="4">
        <v>0</v>
      </c>
      <c r="P83" s="4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58</v>
      </c>
      <c r="B84" s="56" t="s">
        <v>356</v>
      </c>
      <c r="C84" s="56" t="s">
        <v>354</v>
      </c>
      <c r="D84" s="40" t="s">
        <v>122</v>
      </c>
      <c r="E84" s="6">
        <v>0</v>
      </c>
      <c r="F84" s="6">
        <v>0</v>
      </c>
      <c r="G84" s="6"/>
      <c r="H84" s="4">
        <v>3</v>
      </c>
      <c r="I84" s="4">
        <v>0</v>
      </c>
      <c r="J84" s="4"/>
      <c r="K84" s="6">
        <v>0</v>
      </c>
      <c r="L84" s="6">
        <v>0</v>
      </c>
      <c r="M84" s="6"/>
      <c r="N84" s="4">
        <v>0</v>
      </c>
      <c r="O84" s="4">
        <v>0</v>
      </c>
      <c r="P84" s="4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47</v>
      </c>
      <c r="B85" s="56" t="s">
        <v>356</v>
      </c>
      <c r="C85" s="56" t="s">
        <v>353</v>
      </c>
      <c r="D85" s="37" t="s">
        <v>178</v>
      </c>
      <c r="E85" s="6">
        <v>0</v>
      </c>
      <c r="F85" s="6">
        <v>0</v>
      </c>
      <c r="G85" s="6"/>
      <c r="H85" s="56">
        <v>2</v>
      </c>
      <c r="I85" s="56">
        <v>0</v>
      </c>
      <c r="J85" s="56"/>
      <c r="K85" s="6">
        <v>1</v>
      </c>
      <c r="L85" s="6">
        <v>0</v>
      </c>
      <c r="M85" s="6"/>
      <c r="N85" s="56">
        <v>0</v>
      </c>
      <c r="O85" s="56">
        <v>0</v>
      </c>
      <c r="P85" s="56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33</v>
      </c>
      <c r="B86" s="56" t="s">
        <v>393</v>
      </c>
      <c r="C86" s="56" t="s">
        <v>351</v>
      </c>
      <c r="D86" s="37" t="s">
        <v>218</v>
      </c>
      <c r="E86" s="6">
        <v>3</v>
      </c>
      <c r="F86" s="6">
        <v>0</v>
      </c>
      <c r="G86" s="6"/>
      <c r="H86" s="56">
        <v>0</v>
      </c>
      <c r="I86" s="56">
        <v>0</v>
      </c>
      <c r="J86" s="56"/>
      <c r="K86" s="6">
        <v>0</v>
      </c>
      <c r="L86" s="6">
        <v>0</v>
      </c>
      <c r="M86" s="6"/>
      <c r="N86" s="56">
        <v>0</v>
      </c>
      <c r="O86" s="56">
        <v>0</v>
      </c>
      <c r="P86" s="56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37</v>
      </c>
      <c r="B87" s="56" t="s">
        <v>369</v>
      </c>
      <c r="C87" s="56" t="s">
        <v>353</v>
      </c>
      <c r="D87" s="40" t="s">
        <v>85</v>
      </c>
      <c r="E87" s="6">
        <v>0</v>
      </c>
      <c r="F87" s="6">
        <v>0</v>
      </c>
      <c r="G87" s="6"/>
      <c r="H87" s="4">
        <v>0</v>
      </c>
      <c r="I87" s="4">
        <v>0</v>
      </c>
      <c r="J87" s="4"/>
      <c r="K87" s="6">
        <v>0</v>
      </c>
      <c r="L87" s="6">
        <v>0</v>
      </c>
      <c r="M87" s="6"/>
      <c r="N87" s="4">
        <v>2</v>
      </c>
      <c r="O87" s="4">
        <v>0</v>
      </c>
      <c r="P87" s="4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43</v>
      </c>
      <c r="B88" s="56" t="s">
        <v>376</v>
      </c>
      <c r="C88" s="56" t="s">
        <v>354</v>
      </c>
      <c r="D88" s="40" t="s">
        <v>179</v>
      </c>
      <c r="E88" s="6">
        <v>0</v>
      </c>
      <c r="F88" s="6">
        <v>0</v>
      </c>
      <c r="G88" s="6"/>
      <c r="H88" s="4">
        <v>2</v>
      </c>
      <c r="I88" s="4">
        <v>0</v>
      </c>
      <c r="J88" s="4"/>
      <c r="K88" s="6">
        <v>0</v>
      </c>
      <c r="L88" s="6">
        <v>0</v>
      </c>
      <c r="M88" s="6"/>
      <c r="N88" s="4">
        <v>0</v>
      </c>
      <c r="O88" s="4">
        <v>0</v>
      </c>
      <c r="P88" s="4"/>
      <c r="Q88" s="6">
        <v>0</v>
      </c>
      <c r="R88" s="6">
        <v>0</v>
      </c>
      <c r="S88" s="6"/>
      <c r="T88" s="2">
        <v>2</v>
      </c>
      <c r="U88" s="2">
        <v>0</v>
      </c>
      <c r="V88" s="2">
        <v>0</v>
      </c>
    </row>
    <row r="89" spans="1:22" x14ac:dyDescent="0.25">
      <c r="A89" s="56">
        <v>42</v>
      </c>
      <c r="B89" s="56" t="s">
        <v>356</v>
      </c>
      <c r="C89" s="56" t="s">
        <v>354</v>
      </c>
      <c r="D89" s="37" t="s">
        <v>37</v>
      </c>
      <c r="E89" s="6">
        <v>0</v>
      </c>
      <c r="F89" s="6">
        <v>0</v>
      </c>
      <c r="G89" s="6"/>
      <c r="H89" s="56">
        <v>0</v>
      </c>
      <c r="I89" s="56">
        <v>0</v>
      </c>
      <c r="J89" s="56"/>
      <c r="K89" s="6">
        <v>0</v>
      </c>
      <c r="L89" s="6">
        <v>0</v>
      </c>
      <c r="M89" s="6"/>
      <c r="N89" s="56">
        <v>2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87</v>
      </c>
      <c r="B90" s="56" t="s">
        <v>356</v>
      </c>
      <c r="C90" s="56" t="s">
        <v>354</v>
      </c>
      <c r="D90" s="37" t="s">
        <v>227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1</v>
      </c>
      <c r="L90" s="6">
        <v>0</v>
      </c>
      <c r="M90" s="6"/>
      <c r="N90" s="56">
        <v>1</v>
      </c>
      <c r="O90" s="56">
        <v>1</v>
      </c>
      <c r="P90" s="56"/>
      <c r="Q90" s="6">
        <v>0</v>
      </c>
      <c r="R90" s="6">
        <v>0</v>
      </c>
      <c r="S90" s="6"/>
      <c r="T90" s="2">
        <v>2</v>
      </c>
      <c r="U90" s="2">
        <v>1</v>
      </c>
      <c r="V90" s="2">
        <v>0</v>
      </c>
    </row>
    <row r="91" spans="1:22" x14ac:dyDescent="0.25">
      <c r="A91" s="56">
        <v>65</v>
      </c>
      <c r="B91" s="56" t="s">
        <v>356</v>
      </c>
      <c r="C91" s="56" t="s">
        <v>354</v>
      </c>
      <c r="D91" s="37" t="s">
        <v>121</v>
      </c>
      <c r="E91" s="6">
        <v>0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1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68</v>
      </c>
      <c r="B92" s="56" t="s">
        <v>356</v>
      </c>
      <c r="C92" s="56" t="s">
        <v>355</v>
      </c>
      <c r="D92" s="37" t="s">
        <v>109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0</v>
      </c>
      <c r="L92" s="6">
        <v>0</v>
      </c>
      <c r="M92" s="6"/>
      <c r="N92" s="56">
        <v>2</v>
      </c>
      <c r="O92" s="56">
        <v>0</v>
      </c>
      <c r="P92" s="56"/>
      <c r="Q92" s="6">
        <v>0</v>
      </c>
      <c r="R92" s="6">
        <v>0</v>
      </c>
      <c r="S92" s="6"/>
      <c r="T92" s="2">
        <v>2</v>
      </c>
      <c r="U92" s="2">
        <v>0</v>
      </c>
      <c r="V92" s="2">
        <v>0</v>
      </c>
    </row>
    <row r="93" spans="1:22" x14ac:dyDescent="0.25">
      <c r="A93" s="56">
        <v>37</v>
      </c>
      <c r="B93" s="56" t="s">
        <v>356</v>
      </c>
      <c r="C93" s="56" t="s">
        <v>355</v>
      </c>
      <c r="D93" s="37" t="s">
        <v>308</v>
      </c>
      <c r="E93" s="6">
        <v>1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0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66</v>
      </c>
      <c r="B94" s="56" t="s">
        <v>356</v>
      </c>
      <c r="C94" s="56" t="s">
        <v>354</v>
      </c>
      <c r="D94" s="37" t="s">
        <v>208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36</v>
      </c>
      <c r="B95" s="56" t="s">
        <v>388</v>
      </c>
      <c r="C95" s="56" t="s">
        <v>354</v>
      </c>
      <c r="D95" s="40" t="s">
        <v>94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42</v>
      </c>
      <c r="B96" s="56" t="s">
        <v>356</v>
      </c>
      <c r="C96" s="56" t="s">
        <v>354</v>
      </c>
      <c r="D96" s="37" t="s">
        <v>207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47</v>
      </c>
      <c r="B97" s="56" t="s">
        <v>389</v>
      </c>
      <c r="C97" s="56" t="s">
        <v>354</v>
      </c>
      <c r="D97" s="37" t="s">
        <v>96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33</v>
      </c>
      <c r="B98" s="56" t="s">
        <v>356</v>
      </c>
      <c r="C98" s="56" t="s">
        <v>351</v>
      </c>
      <c r="D98" s="37" t="s">
        <v>124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73</v>
      </c>
      <c r="B99" s="56" t="s">
        <v>356</v>
      </c>
      <c r="C99" s="56" t="s">
        <v>353</v>
      </c>
      <c r="D99" s="37" t="s">
        <v>42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0</v>
      </c>
      <c r="O99" s="56">
        <v>0</v>
      </c>
      <c r="P99" s="56"/>
      <c r="Q99" s="6">
        <v>1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76</v>
      </c>
      <c r="B100" s="56" t="s">
        <v>356</v>
      </c>
      <c r="C100" s="56" t="s">
        <v>353</v>
      </c>
      <c r="D100" s="37" t="s">
        <v>305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47</v>
      </c>
      <c r="B101" s="56" t="s">
        <v>390</v>
      </c>
      <c r="C101" s="56" t="s">
        <v>353</v>
      </c>
      <c r="D101" s="37" t="s">
        <v>300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31</v>
      </c>
      <c r="B102" s="56" t="s">
        <v>391</v>
      </c>
      <c r="C102" s="56" t="s">
        <v>351</v>
      </c>
      <c r="D102" s="37" t="s">
        <v>271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51</v>
      </c>
      <c r="B103" s="56" t="s">
        <v>356</v>
      </c>
      <c r="C103" s="56" t="s">
        <v>353</v>
      </c>
      <c r="D103" s="37" t="s">
        <v>301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53</v>
      </c>
      <c r="B104" s="56" t="s">
        <v>350</v>
      </c>
      <c r="C104" s="56" t="s">
        <v>353</v>
      </c>
      <c r="D104" s="37" t="s">
        <v>177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32</v>
      </c>
      <c r="B105" s="56" t="s">
        <v>358</v>
      </c>
      <c r="C105" s="56" t="s">
        <v>351</v>
      </c>
      <c r="D105" s="37" t="s">
        <v>296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0</v>
      </c>
      <c r="O105" s="56">
        <v>0</v>
      </c>
      <c r="P105" s="56"/>
      <c r="Q105" s="6">
        <v>0</v>
      </c>
      <c r="R105" s="6">
        <v>0</v>
      </c>
      <c r="S105" s="6"/>
      <c r="T105" s="2">
        <v>0</v>
      </c>
      <c r="U105" s="2">
        <v>0</v>
      </c>
      <c r="V105" s="2">
        <v>9</v>
      </c>
    </row>
    <row r="106" spans="1:22" x14ac:dyDescent="0.25">
      <c r="A106" s="56">
        <v>33</v>
      </c>
      <c r="B106" s="56" t="s">
        <v>375</v>
      </c>
      <c r="C106" s="56" t="s">
        <v>351</v>
      </c>
      <c r="D106" s="37" t="s">
        <v>222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0</v>
      </c>
      <c r="O106" s="56">
        <v>0</v>
      </c>
      <c r="P106" s="56"/>
      <c r="Q106" s="6">
        <v>0</v>
      </c>
      <c r="R106" s="6">
        <v>0</v>
      </c>
      <c r="S106" s="6"/>
      <c r="T106" s="2">
        <v>0</v>
      </c>
      <c r="U106" s="2">
        <v>0</v>
      </c>
      <c r="V106" s="2">
        <v>8</v>
      </c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6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0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39" sqref="A39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196">
        <v>1</v>
      </c>
      <c r="G1" s="197"/>
      <c r="H1" s="198"/>
      <c r="I1" s="196">
        <v>2</v>
      </c>
      <c r="J1" s="197"/>
      <c r="K1" s="198"/>
      <c r="L1" s="196">
        <v>3</v>
      </c>
      <c r="M1" s="197"/>
      <c r="N1" s="198"/>
      <c r="O1" s="196">
        <v>4</v>
      </c>
      <c r="P1" s="197"/>
      <c r="Q1" s="198"/>
      <c r="R1" s="196">
        <v>5</v>
      </c>
      <c r="S1" s="197"/>
      <c r="T1" s="198"/>
      <c r="U1" s="196">
        <v>6</v>
      </c>
      <c r="V1" s="197"/>
      <c r="W1" s="198"/>
      <c r="X1" s="196">
        <v>7</v>
      </c>
      <c r="Y1" s="197"/>
      <c r="Z1" s="198"/>
      <c r="AA1" s="196">
        <v>8</v>
      </c>
      <c r="AB1" s="197"/>
      <c r="AC1" s="198"/>
      <c r="AD1" s="196">
        <v>9</v>
      </c>
      <c r="AE1" s="197"/>
      <c r="AF1" s="198"/>
      <c r="AG1" s="196">
        <v>10</v>
      </c>
      <c r="AH1" s="197"/>
      <c r="AI1" s="198"/>
      <c r="AJ1" s="196">
        <v>11</v>
      </c>
      <c r="AK1" s="197"/>
      <c r="AL1" s="198"/>
      <c r="AM1" s="196">
        <v>12</v>
      </c>
      <c r="AN1" s="197"/>
      <c r="AO1" s="198"/>
      <c r="AP1" s="196">
        <v>13</v>
      </c>
      <c r="AQ1" s="197"/>
      <c r="AR1" s="198"/>
      <c r="AS1" s="196">
        <v>14</v>
      </c>
      <c r="AT1" s="197"/>
      <c r="AU1" s="198"/>
      <c r="AV1" s="196">
        <v>15</v>
      </c>
      <c r="AW1" s="197"/>
      <c r="AX1" s="198"/>
      <c r="AY1" s="196">
        <v>16</v>
      </c>
      <c r="AZ1" s="197"/>
      <c r="BA1" s="198"/>
      <c r="BB1" s="196">
        <v>17</v>
      </c>
      <c r="BC1" s="197"/>
      <c r="BD1" s="198"/>
      <c r="BE1" s="196">
        <v>18</v>
      </c>
      <c r="BF1" s="197"/>
      <c r="BG1" s="198"/>
      <c r="BH1" s="196">
        <v>19</v>
      </c>
      <c r="BI1" s="197"/>
      <c r="BJ1" s="198"/>
      <c r="BK1" s="196">
        <v>20</v>
      </c>
      <c r="BL1" s="197"/>
      <c r="BM1" s="198"/>
      <c r="BN1" s="196">
        <v>21</v>
      </c>
      <c r="BO1" s="197"/>
      <c r="BP1" s="198"/>
      <c r="BQ1" s="196">
        <v>22</v>
      </c>
      <c r="BR1" s="197"/>
      <c r="BS1" s="198"/>
      <c r="BT1" s="196">
        <v>23</v>
      </c>
      <c r="BU1" s="197"/>
      <c r="BV1" s="198"/>
      <c r="BW1" s="196">
        <v>24</v>
      </c>
      <c r="BX1" s="197"/>
      <c r="BY1" s="198"/>
      <c r="BZ1" s="196">
        <v>25</v>
      </c>
      <c r="CA1" s="197"/>
      <c r="CB1" s="198"/>
      <c r="CC1" s="196">
        <v>26</v>
      </c>
      <c r="CD1" s="197"/>
      <c r="CE1" s="198"/>
      <c r="CF1" s="196">
        <v>27</v>
      </c>
      <c r="CG1" s="197"/>
      <c r="CH1" s="198"/>
      <c r="CI1" s="196">
        <v>28</v>
      </c>
      <c r="CJ1" s="197"/>
      <c r="CK1" s="198"/>
      <c r="CL1" s="196">
        <v>29</v>
      </c>
      <c r="CM1" s="197"/>
      <c r="CN1" s="198"/>
      <c r="CO1" s="196">
        <v>30</v>
      </c>
      <c r="CP1" s="197"/>
      <c r="CQ1" s="198"/>
      <c r="CR1" s="196">
        <v>31</v>
      </c>
      <c r="CS1" s="197"/>
      <c r="CT1" s="198"/>
      <c r="CU1" s="196">
        <v>32</v>
      </c>
      <c r="CV1" s="197"/>
      <c r="CW1" s="198"/>
      <c r="CX1" s="196">
        <v>33</v>
      </c>
      <c r="CY1" s="197"/>
      <c r="CZ1" s="198"/>
      <c r="DA1" s="196">
        <v>34</v>
      </c>
      <c r="DB1" s="197"/>
      <c r="DC1" s="198"/>
      <c r="DD1" s="196">
        <v>35</v>
      </c>
      <c r="DE1" s="197"/>
      <c r="DF1" s="198"/>
      <c r="DG1" s="196">
        <v>36</v>
      </c>
      <c r="DH1" s="197"/>
      <c r="DI1" s="198"/>
      <c r="DJ1" s="196">
        <v>37</v>
      </c>
      <c r="DK1" s="197"/>
      <c r="DL1" s="198"/>
      <c r="DM1" s="196">
        <v>38</v>
      </c>
      <c r="DN1" s="197"/>
      <c r="DO1" s="198"/>
    </row>
    <row r="2" spans="1:119" ht="15.75" thickBot="1" x14ac:dyDescent="0.3">
      <c r="A2" s="3"/>
      <c r="B2" s="17"/>
      <c r="C2" s="202" t="s">
        <v>397</v>
      </c>
      <c r="D2" s="202" t="s">
        <v>398</v>
      </c>
      <c r="E2" s="202" t="s">
        <v>399</v>
      </c>
      <c r="F2" s="199" t="s">
        <v>347</v>
      </c>
      <c r="G2" s="200"/>
      <c r="H2" s="201"/>
      <c r="I2" s="204" t="s">
        <v>332</v>
      </c>
      <c r="J2" s="205"/>
      <c r="K2" s="206"/>
      <c r="L2" s="199" t="s">
        <v>331</v>
      </c>
      <c r="M2" s="200"/>
      <c r="N2" s="201"/>
      <c r="O2" s="199" t="s">
        <v>329</v>
      </c>
      <c r="P2" s="200"/>
      <c r="Q2" s="201"/>
      <c r="R2" s="199" t="s">
        <v>336</v>
      </c>
      <c r="S2" s="200"/>
      <c r="T2" s="201"/>
      <c r="U2" s="199" t="s">
        <v>321</v>
      </c>
      <c r="V2" s="200"/>
      <c r="W2" s="201"/>
      <c r="X2" s="199" t="s">
        <v>338</v>
      </c>
      <c r="Y2" s="200"/>
      <c r="Z2" s="201"/>
      <c r="AA2" s="199" t="s">
        <v>335</v>
      </c>
      <c r="AB2" s="200"/>
      <c r="AC2" s="201"/>
      <c r="AD2" s="199" t="s">
        <v>322</v>
      </c>
      <c r="AE2" s="200"/>
      <c r="AF2" s="201"/>
      <c r="AG2" s="199" t="s">
        <v>348</v>
      </c>
      <c r="AH2" s="200"/>
      <c r="AI2" s="201"/>
      <c r="AJ2" s="199" t="s">
        <v>325</v>
      </c>
      <c r="AK2" s="200"/>
      <c r="AL2" s="201"/>
      <c r="AM2" s="199" t="s">
        <v>324</v>
      </c>
      <c r="AN2" s="200"/>
      <c r="AO2" s="201"/>
      <c r="AP2" s="199" t="s">
        <v>333</v>
      </c>
      <c r="AQ2" s="200"/>
      <c r="AR2" s="201"/>
      <c r="AS2" s="199" t="s">
        <v>330</v>
      </c>
      <c r="AT2" s="200"/>
      <c r="AU2" s="201"/>
      <c r="AV2" s="199" t="s">
        <v>337</v>
      </c>
      <c r="AW2" s="200"/>
      <c r="AX2" s="201"/>
      <c r="AY2" s="199" t="s">
        <v>306</v>
      </c>
      <c r="AZ2" s="200"/>
      <c r="BA2" s="201"/>
      <c r="BB2" s="199" t="s">
        <v>327</v>
      </c>
      <c r="BC2" s="200"/>
      <c r="BD2" s="201"/>
      <c r="BE2" s="199" t="s">
        <v>326</v>
      </c>
      <c r="BF2" s="200"/>
      <c r="BG2" s="201"/>
      <c r="BH2" s="199" t="s">
        <v>349</v>
      </c>
      <c r="BI2" s="200"/>
      <c r="BJ2" s="201"/>
      <c r="BK2" s="199" t="s">
        <v>333</v>
      </c>
      <c r="BL2" s="200"/>
      <c r="BM2" s="201"/>
      <c r="BN2" s="199" t="s">
        <v>348</v>
      </c>
      <c r="BO2" s="200"/>
      <c r="BP2" s="201"/>
      <c r="BQ2" s="199" t="s">
        <v>325</v>
      </c>
      <c r="BR2" s="200"/>
      <c r="BS2" s="201"/>
      <c r="BT2" s="199" t="s">
        <v>324</v>
      </c>
      <c r="BU2" s="200"/>
      <c r="BV2" s="201"/>
      <c r="BW2" s="199" t="s">
        <v>322</v>
      </c>
      <c r="BX2" s="200"/>
      <c r="BY2" s="201"/>
      <c r="BZ2" s="199" t="s">
        <v>349</v>
      </c>
      <c r="CA2" s="200"/>
      <c r="CB2" s="201"/>
      <c r="CC2" s="199" t="s">
        <v>326</v>
      </c>
      <c r="CD2" s="200"/>
      <c r="CE2" s="201"/>
      <c r="CF2" s="199" t="s">
        <v>306</v>
      </c>
      <c r="CG2" s="200"/>
      <c r="CH2" s="201"/>
      <c r="CI2" s="199" t="s">
        <v>327</v>
      </c>
      <c r="CJ2" s="200"/>
      <c r="CK2" s="201"/>
      <c r="CL2" s="199" t="s">
        <v>331</v>
      </c>
      <c r="CM2" s="200"/>
      <c r="CN2" s="201"/>
      <c r="CO2" s="199" t="s">
        <v>329</v>
      </c>
      <c r="CP2" s="200"/>
      <c r="CQ2" s="201"/>
      <c r="CR2" s="199" t="s">
        <v>347</v>
      </c>
      <c r="CS2" s="200"/>
      <c r="CT2" s="201"/>
      <c r="CU2" s="199" t="s">
        <v>332</v>
      </c>
      <c r="CV2" s="200"/>
      <c r="CW2" s="201"/>
      <c r="CX2" s="199" t="s">
        <v>337</v>
      </c>
      <c r="CY2" s="200"/>
      <c r="CZ2" s="201"/>
      <c r="DA2" s="199" t="s">
        <v>330</v>
      </c>
      <c r="DB2" s="200"/>
      <c r="DC2" s="201"/>
      <c r="DD2" s="199" t="s">
        <v>321</v>
      </c>
      <c r="DE2" s="200"/>
      <c r="DF2" s="201"/>
      <c r="DG2" s="199" t="s">
        <v>338</v>
      </c>
      <c r="DH2" s="200"/>
      <c r="DI2" s="201"/>
      <c r="DJ2" s="199" t="s">
        <v>335</v>
      </c>
      <c r="DK2" s="200"/>
      <c r="DL2" s="201"/>
      <c r="DM2" s="199" t="s">
        <v>336</v>
      </c>
      <c r="DN2" s="200"/>
      <c r="DO2" s="201"/>
    </row>
    <row r="3" spans="1:119" x14ac:dyDescent="0.25">
      <c r="A3" s="3" t="s">
        <v>48</v>
      </c>
      <c r="B3" s="17" t="s">
        <v>1</v>
      </c>
      <c r="C3" s="207"/>
      <c r="D3" s="207"/>
      <c r="E3" s="203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7" si="1">SUM(F5,I5,L5,O5,R5,U5,X5,AA5,AD5,AG5,AJ5,AM5,AP5,AS5,AV5,AY5,BB5,BE5,BH5,BK5,BN5,BQ5,BT5,BW5,BZ5,CC5,CF5,CI5,CL5,CO5,CR5,CU5,CX5,DA5,DD5,DG5,DJ5,DM5)</f>
        <v>0</v>
      </c>
      <c r="D5" s="58">
        <f t="shared" ref="D5:D17" si="2">SUM(G5,J5,M5,P5,S5,V5,Y5,AB5,AE5,AH5,AK5,AN5,AQ5,AT5,AW5,AZ5,BC5,BF5,BI5,BL5,BO5,BR5,BU5,BX5,CA5,CD5,CG5,CJ5,CM5,CP5,CS5,CV5,CY5,DB5,DE5,DH5,DK5,DN5)</f>
        <v>0</v>
      </c>
      <c r="E5" s="58">
        <f t="shared" ref="E5:E17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2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>
        <v>1</v>
      </c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ht="14.25" customHeight="1" x14ac:dyDescent="0.25">
      <c r="A18" s="27">
        <v>15</v>
      </c>
      <c r="B18" s="149" t="s">
        <v>438</v>
      </c>
      <c r="C18" s="58">
        <f t="shared" ref="C18:C39" si="4">SUM(F18,I18,L18,O18,R18,U18,X18,AA18,AD18,AG18,AJ18,AM18,AP18,AS18,AV18,AY18,BB18,BE18,BH18,BK18,BN18,BQ18,BT18,BW18,BZ18,CC18,CF18,CI18,CL18,CO18,CR18,CU18,CX18,DA18,DD18,DG18,DJ18,DM18)</f>
        <v>1</v>
      </c>
      <c r="D18" s="58">
        <f t="shared" ref="D18:D39" si="5">SUM(G18,J18,M18,P18,S18,V18,Y18,AB18,AE18,AH18,AK18,AN18,AQ18,AT18,AW18,AZ18,BC18,BF18,BI18,BL18,BO18,BR18,BU18,BX18,CA18,CD18,CG18,CJ18,CM18,CP18,CS18,CV18,CY18,DB18,DE18,DH18,DK18,DN18)</f>
        <v>0</v>
      </c>
      <c r="E18" s="58">
        <f t="shared" ref="E18:E39" si="6">SUM(H18,K18,N18,Q18,T18,W18,Z18,AC18,AF18,AI18,AL18,AO18,AR18,AU18,AX18,BA18,BD18,BG18,BJ18,BM18,BP18,BS18,BV18,BY18,CB18,CE18,CH18,CK18,CN18,CQ18,CT18,CW18,CZ18,DC18,DF18,DI18,DL18,DO18)</f>
        <v>0</v>
      </c>
      <c r="F18" s="52"/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17</v>
      </c>
      <c r="B19" s="148" t="s">
        <v>344</v>
      </c>
      <c r="C19" s="58">
        <f t="shared" si="4"/>
        <v>2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>
        <v>1</v>
      </c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20</v>
      </c>
      <c r="B20" s="148" t="s">
        <v>316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22</v>
      </c>
      <c r="B21" s="40" t="s">
        <v>264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7">
        <v>23</v>
      </c>
      <c r="B22" s="37" t="s">
        <v>294</v>
      </c>
      <c r="C22" s="58">
        <f t="shared" si="4"/>
        <v>2</v>
      </c>
      <c r="D22" s="58">
        <f t="shared" si="5"/>
        <v>0</v>
      </c>
      <c r="E22" s="58">
        <f t="shared" si="6"/>
        <v>0</v>
      </c>
      <c r="F22" s="52">
        <v>1</v>
      </c>
      <c r="G22" s="36"/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29</v>
      </c>
      <c r="B23" s="148" t="s">
        <v>276</v>
      </c>
      <c r="C23" s="58">
        <f t="shared" si="4"/>
        <v>2</v>
      </c>
      <c r="D23" s="58">
        <f t="shared" si="5"/>
        <v>1</v>
      </c>
      <c r="E23" s="58">
        <f t="shared" si="6"/>
        <v>0</v>
      </c>
      <c r="F23" s="52">
        <v>1</v>
      </c>
      <c r="G23" s="36">
        <v>1</v>
      </c>
      <c r="H23" s="53"/>
      <c r="I23" s="52">
        <v>1</v>
      </c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30</v>
      </c>
      <c r="B24" s="148" t="s">
        <v>345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33</v>
      </c>
      <c r="B25" s="148" t="s">
        <v>292</v>
      </c>
      <c r="C25" s="58">
        <f t="shared" si="4"/>
        <v>2</v>
      </c>
      <c r="D25" s="58">
        <f t="shared" si="5"/>
        <v>0</v>
      </c>
      <c r="E25" s="58">
        <f t="shared" si="6"/>
        <v>2</v>
      </c>
      <c r="F25" s="52">
        <v>1</v>
      </c>
      <c r="G25" s="36"/>
      <c r="H25" s="53">
        <v>1</v>
      </c>
      <c r="I25" s="52">
        <v>1</v>
      </c>
      <c r="J25" s="36"/>
      <c r="K25" s="53">
        <v>1</v>
      </c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35</v>
      </c>
      <c r="B26" s="148" t="s">
        <v>304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36</v>
      </c>
      <c r="B27" s="148" t="s">
        <v>314</v>
      </c>
      <c r="C27" s="58">
        <f t="shared" si="4"/>
        <v>2</v>
      </c>
      <c r="D27" s="58">
        <f t="shared" si="5"/>
        <v>0</v>
      </c>
      <c r="E27" s="58">
        <f t="shared" si="6"/>
        <v>0</v>
      </c>
      <c r="F27" s="52">
        <v>1</v>
      </c>
      <c r="G27" s="36"/>
      <c r="H27" s="53"/>
      <c r="I27" s="52">
        <v>1</v>
      </c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39</v>
      </c>
      <c r="B28" s="148" t="s">
        <v>346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>
        <v>1</v>
      </c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7">
        <v>40</v>
      </c>
      <c r="B29" s="149" t="s">
        <v>342</v>
      </c>
      <c r="C29" s="58">
        <f>SUM(F29,I29,L29,O29,R29,U29,X29,AA29,AD29,AG29,AJ29,AM29,AP29,AS29,AV29,AY29,BB29,BE29,BH29,BK29,BN29,BQ29,BT29,BW29,BZ29,CC29,CF29,CI29,CL29,CO29,CR29,CU29,CX29,DA29,DD29,DG29,DJ29,DM29)</f>
        <v>0</v>
      </c>
      <c r="D29" s="58">
        <f>SUM(G29,J29,M29,P29,S29,V29,Y29,AB29,AE29,AH29,AK29,AN29,AQ29,AT29,AW29,AZ29,BC29,BF29,BI29,BL29,BO29,BR29,BU29,BX29,CA29,CD29,CG29,CJ29,CM29,CP29,CS29,CV29,CY29,DB29,DE29,DH29,DK29,DN29)</f>
        <v>0</v>
      </c>
      <c r="E29" s="58">
        <f>SUM(H29,K29,N29,Q29,T29,W29,Z29,AC29,AF29,AI29,AL29,AO29,AR29,AU29,AX29,BA29,BD29,BG29,BJ29,BM29,BP29,BS29,BV29,BY29,CB29,CE29,CH29,CK29,CN29,CQ29,CT29,CW29,CZ29,DC29,DF29,DI29,DL29,DO29)</f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7">
        <v>41</v>
      </c>
      <c r="B30" s="35" t="s">
        <v>278</v>
      </c>
      <c r="C30" s="58">
        <f t="shared" si="4"/>
        <v>2</v>
      </c>
      <c r="D30" s="58">
        <f t="shared" si="5"/>
        <v>0</v>
      </c>
      <c r="E30" s="58">
        <f t="shared" si="6"/>
        <v>0</v>
      </c>
      <c r="F30" s="52">
        <v>1</v>
      </c>
      <c r="G30" s="36"/>
      <c r="H30" s="53"/>
      <c r="I30" s="52">
        <v>1</v>
      </c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56">
        <v>43</v>
      </c>
      <c r="B31" s="148" t="s">
        <v>328</v>
      </c>
      <c r="C31" s="58">
        <f>SUM(F31,I31,L31,O31,R31,U31,X31,AA31,AD31,AG31,AJ31,AM31,AP31,AS31,AV31,AY31,BB31,BE31,BH31,BK31,BN31,BQ31,BT31,BW31,BZ31,CC31,CF31,CI31,CL31,CO31,CR31,CU31,CX31,DA31,DD31,DG31,DJ31,DM31)</f>
        <v>0</v>
      </c>
      <c r="D31" s="58">
        <f>SUM(G31,J31,M31,P31,S31,V31,Y31,AB31,AE31,AH31,AK31,AN31,AQ31,AT31,AW31,AZ31,BC31,BF31,BI31,BL31,BO31,BR31,BU31,BX31,CA31,CD31,CG31,CJ31,CM31,CP31,CS31,CV31,CY31,DB31,DE31,DH31,DK31,DN31)</f>
        <v>0</v>
      </c>
      <c r="E31" s="58">
        <f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8">
        <v>44</v>
      </c>
      <c r="B32" s="148" t="s">
        <v>339</v>
      </c>
      <c r="C32" s="58">
        <f>SUM(F32,I32,L32,O32,R32,U32,X32,AA32,AD32,AG32,AJ32,AM32,AP32,AS32,AV32,AY32,BB32,BE32,BH32,BK32,BN32,BQ32,BT32,BW32,BZ32,CC32,CF32,CI32,CL32,CO32,CR32,CU32,CX32,DA32,DD32,DG32,DJ32,DM32)</f>
        <v>0</v>
      </c>
      <c r="D32" s="58">
        <f>SUM(G32,J32,M32,P32,S32,V32,Y32,AB32,AE32,AH32,AK32,AN32,AQ32,AT32,AW32,AZ32,BC32,BF32,BI32,BL32,BO32,BR32,BU32,BX32,CA32,CD32,CG32,CJ32,CM32,CP32,CS32,CV32,CY32,DB32,DE32,DH32,DK32,DN32)</f>
        <v>0</v>
      </c>
      <c r="E32" s="58">
        <f>SUM(H32,K32,N32,Q32,T32,W32,Z32,AC32,AF32,AI32,AL32,AO32,AR32,AU32,AX32,BA32,BD32,BG32,BJ32,BM32,BP32,BS32,BV32,BY32,CB32,CE32,CH32,CK32,CN32,CQ32,CT32,CW32,CZ32,DC32,DF32,DI32,DL32,DO32)</f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46</v>
      </c>
      <c r="B33" s="34" t="s">
        <v>299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49</v>
      </c>
      <c r="B34" s="35" t="s">
        <v>298</v>
      </c>
      <c r="C34" s="58">
        <f t="shared" si="4"/>
        <v>2</v>
      </c>
      <c r="D34" s="58">
        <f t="shared" si="5"/>
        <v>0</v>
      </c>
      <c r="E34" s="58">
        <f t="shared" si="6"/>
        <v>0</v>
      </c>
      <c r="F34" s="52">
        <v>1</v>
      </c>
      <c r="G34" s="36"/>
      <c r="H34" s="53"/>
      <c r="I34" s="52">
        <v>1</v>
      </c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ht="15.75" thickBot="1" x14ac:dyDescent="0.3">
      <c r="A36" s="28">
        <v>55</v>
      </c>
      <c r="B36" s="37" t="s">
        <v>302</v>
      </c>
      <c r="C36" s="58">
        <f>SUM(F36,I36,L36,O36,R36,U36,X36,AA36,AD36,AG36,AJ36,AM36,AP36,AS36,AV36,AY36,BB36,BE36,BH36,BK36,BN36,BQ36,BT36,BW36,BZ36,CC36,CF36,CI36,CL36,CO36,CR36,CU36,CX36,DA36,DD36,DG36,DJ36,DM36)</f>
        <v>0</v>
      </c>
      <c r="D36" s="58">
        <f>SUM(G36,J36,M36,P36,S36,V36,Y36,AB36,AE36,AH36,AK36,AN36,AQ36,AT36,AW36,AZ36,BC36,BF36,BI36,BL36,BO36,BR36,BU36,BX36,CA36,CD36,CG36,CJ36,CM36,CP36,CS36,CV36,CY36,DB36,DE36,DH36,DK36,DN36)</f>
        <v>0</v>
      </c>
      <c r="E36" s="58">
        <f>SUM(H36,K36,N36,Q36,T36,W36,Z36,AC36,AF36,AI36,AL36,AO36,AR36,AU36,AX36,BA36,BD36,BG36,BJ36,BM36,BP36,BS36,BV36,BY36,CB36,CE36,CH36,CK36,CN36,CQ36,CT36,CW36,CZ36,DC36,DF36,DI36,DL36,DO36)</f>
        <v>0</v>
      </c>
      <c r="F36" s="146"/>
      <c r="G36" s="163"/>
      <c r="H36" s="147"/>
      <c r="I36" s="146"/>
      <c r="J36" s="163"/>
      <c r="K36" s="147"/>
      <c r="L36" s="146"/>
      <c r="M36" s="163"/>
      <c r="N36" s="147"/>
      <c r="O36" s="146"/>
      <c r="P36" s="163"/>
      <c r="Q36" s="147"/>
      <c r="R36" s="146"/>
      <c r="S36" s="163"/>
      <c r="T36" s="147"/>
      <c r="U36" s="146"/>
      <c r="V36" s="163"/>
      <c r="W36" s="147"/>
      <c r="X36" s="146"/>
      <c r="Y36" s="163"/>
      <c r="Z36" s="147"/>
      <c r="AA36" s="146"/>
      <c r="AB36" s="163"/>
      <c r="AC36" s="147"/>
      <c r="AD36" s="146"/>
      <c r="AE36" s="163"/>
      <c r="AF36" s="147"/>
      <c r="AG36" s="146"/>
      <c r="AH36" s="163"/>
      <c r="AI36" s="147"/>
      <c r="AJ36" s="146"/>
      <c r="AK36" s="163"/>
      <c r="AL36" s="147"/>
      <c r="AM36" s="146"/>
      <c r="AN36" s="163"/>
      <c r="AO36" s="147"/>
      <c r="AP36" s="146"/>
      <c r="AQ36" s="163"/>
      <c r="AR36" s="147"/>
      <c r="AS36" s="146"/>
      <c r="AT36" s="163"/>
      <c r="AU36" s="147"/>
      <c r="AV36" s="146"/>
      <c r="AW36" s="163"/>
      <c r="AX36" s="147"/>
      <c r="AY36" s="146"/>
      <c r="AZ36" s="163"/>
      <c r="BA36" s="147"/>
      <c r="BB36" s="146"/>
      <c r="BC36" s="163"/>
      <c r="BD36" s="147"/>
      <c r="BE36" s="146"/>
      <c r="BF36" s="163"/>
      <c r="BG36" s="147"/>
      <c r="BH36" s="146"/>
      <c r="BI36" s="163"/>
      <c r="BJ36" s="147"/>
      <c r="BK36" s="146"/>
      <c r="BL36" s="163"/>
      <c r="BM36" s="147"/>
      <c r="BN36" s="146"/>
      <c r="BO36" s="163"/>
      <c r="BP36" s="147"/>
      <c r="BQ36" s="146"/>
      <c r="BR36" s="163"/>
      <c r="BS36" s="147"/>
      <c r="BT36" s="146"/>
      <c r="BU36" s="163"/>
      <c r="BV36" s="147"/>
      <c r="BW36" s="146"/>
      <c r="BX36" s="163"/>
      <c r="BY36" s="147"/>
      <c r="BZ36" s="146"/>
      <c r="CA36" s="163"/>
      <c r="CB36" s="147"/>
      <c r="CC36" s="146"/>
      <c r="CD36" s="163"/>
      <c r="CE36" s="147"/>
      <c r="CF36" s="146"/>
      <c r="CG36" s="163"/>
      <c r="CH36" s="147"/>
      <c r="CI36" s="146"/>
      <c r="CJ36" s="163"/>
      <c r="CK36" s="147"/>
      <c r="CL36" s="146"/>
      <c r="CM36" s="163"/>
      <c r="CN36" s="147"/>
      <c r="CO36" s="146"/>
      <c r="CP36" s="163"/>
      <c r="CQ36" s="147"/>
      <c r="CR36" s="146"/>
      <c r="CS36" s="163"/>
      <c r="CT36" s="147"/>
      <c r="CU36" s="146"/>
      <c r="CV36" s="163"/>
      <c r="CW36" s="147"/>
      <c r="CX36" s="146"/>
      <c r="CY36" s="163"/>
      <c r="CZ36" s="147"/>
      <c r="DA36" s="146"/>
      <c r="DB36" s="163"/>
      <c r="DC36" s="147"/>
      <c r="DD36" s="146"/>
      <c r="DE36" s="163"/>
      <c r="DF36" s="147"/>
      <c r="DG36" s="146"/>
      <c r="DH36" s="163"/>
      <c r="DI36" s="147"/>
      <c r="DJ36" s="146"/>
      <c r="DK36" s="163"/>
      <c r="DL36" s="147"/>
      <c r="DM36" s="146"/>
      <c r="DN36" s="163"/>
      <c r="DO36" s="147"/>
    </row>
    <row r="37" spans="1:119" s="54" customFormat="1" x14ac:dyDescent="0.25">
      <c r="A37" s="27">
        <v>56</v>
      </c>
      <c r="B37" s="149" t="s">
        <v>323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71</v>
      </c>
      <c r="B38" s="148" t="s">
        <v>340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89</v>
      </c>
      <c r="B39" s="148" t="s">
        <v>334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x14ac:dyDescent="0.25">
      <c r="A40"/>
      <c r="B40"/>
      <c r="C40"/>
      <c r="D40"/>
      <c r="E40"/>
      <c r="F40" s="73">
        <f>SUM(F4:F39)</f>
        <v>16</v>
      </c>
      <c r="G40" s="73">
        <f>SUM(G4:G39)</f>
        <v>3</v>
      </c>
      <c r="H40" s="73">
        <f>SUM(H4:H39)</f>
        <v>2</v>
      </c>
      <c r="I40" s="73">
        <f>SUM(I4:I39)</f>
        <v>16</v>
      </c>
      <c r="J40" s="73">
        <f>SUM(J4:J39)</f>
        <v>1</v>
      </c>
      <c r="K40" s="73">
        <f>SUM(K4:K39)</f>
        <v>1</v>
      </c>
      <c r="L40" s="73">
        <f>SUM(L4:L39)</f>
        <v>0</v>
      </c>
      <c r="M40" s="73">
        <f>SUM(M4:M39)</f>
        <v>0</v>
      </c>
      <c r="N40" s="73">
        <f>SUM(N4:N39)</f>
        <v>0</v>
      </c>
      <c r="O40" s="73">
        <f>SUM(O4:O39)</f>
        <v>0</v>
      </c>
      <c r="P40" s="73">
        <f>SUM(P4:P39)</f>
        <v>0</v>
      </c>
      <c r="Q40" s="73">
        <f>SUM(Q4:Q39)</f>
        <v>0</v>
      </c>
      <c r="R40" s="73">
        <f>SUM(R4:R39)</f>
        <v>0</v>
      </c>
      <c r="S40" s="73">
        <f>SUM(S4:S39)</f>
        <v>0</v>
      </c>
      <c r="T40" s="73">
        <f>SUM(T4:T39)</f>
        <v>0</v>
      </c>
      <c r="U40" s="73">
        <f>SUM(U4:U39)</f>
        <v>0</v>
      </c>
      <c r="V40" s="73">
        <f>SUM(V4:V39)</f>
        <v>0</v>
      </c>
      <c r="W40" s="73">
        <f>SUM(W4:W39)</f>
        <v>0</v>
      </c>
      <c r="X40" s="73">
        <f>SUM(X4:X39)</f>
        <v>0</v>
      </c>
      <c r="Y40" s="73">
        <f>SUM(Y4:Y39)</f>
        <v>0</v>
      </c>
      <c r="Z40" s="73">
        <f>SUM(Z4:Z39)</f>
        <v>0</v>
      </c>
      <c r="AA40" s="73">
        <f>SUM(AA4:AA39)</f>
        <v>0</v>
      </c>
      <c r="AB40" s="73">
        <f>SUM(AB4:AB39)</f>
        <v>0</v>
      </c>
      <c r="AC40" s="73">
        <f>SUM(AC4:AC39)</f>
        <v>0</v>
      </c>
      <c r="AD40" s="73">
        <f>SUM(AD4:AD39)</f>
        <v>0</v>
      </c>
      <c r="AE40" s="73">
        <f>SUM(AE4:AE39)</f>
        <v>0</v>
      </c>
      <c r="AF40" s="73">
        <f>SUM(AF4:AF39)</f>
        <v>0</v>
      </c>
      <c r="AG40" s="73">
        <f>SUM(AG4:AG39)</f>
        <v>0</v>
      </c>
      <c r="AH40" s="73">
        <f>SUM(AH4:AH39)</f>
        <v>0</v>
      </c>
      <c r="AI40" s="73">
        <f>SUM(AI4:AI39)</f>
        <v>0</v>
      </c>
      <c r="AJ40" s="73">
        <f>SUM(AJ4:AJ39)</f>
        <v>0</v>
      </c>
      <c r="AK40" s="73">
        <f>SUM(AK4:AK39)</f>
        <v>0</v>
      </c>
      <c r="AL40" s="73">
        <f>SUM(AL4:AL39)</f>
        <v>0</v>
      </c>
      <c r="AM40" s="73">
        <f>SUM(AM4:AM39)</f>
        <v>0</v>
      </c>
      <c r="AN40" s="73">
        <f>SUM(AN4:AN39)</f>
        <v>0</v>
      </c>
      <c r="AO40" s="73">
        <f>SUM(AO4:AO39)</f>
        <v>0</v>
      </c>
      <c r="AP40" s="73">
        <f>SUM(AP4:AP39)</f>
        <v>0</v>
      </c>
      <c r="AQ40" s="73">
        <f>SUM(AQ4:AQ39)</f>
        <v>0</v>
      </c>
      <c r="AR40" s="73">
        <f>SUM(AR4:AR39)</f>
        <v>0</v>
      </c>
      <c r="AS40" s="73">
        <f>SUM(AS4:AS39)</f>
        <v>0</v>
      </c>
      <c r="AT40" s="73">
        <f>SUM(AT4:AT39)</f>
        <v>0</v>
      </c>
      <c r="AU40" s="73">
        <f>SUM(AU4:AU39)</f>
        <v>0</v>
      </c>
      <c r="AV40" s="73">
        <f>SUM(AV4:AV39)</f>
        <v>0</v>
      </c>
      <c r="AW40" s="73">
        <f>SUM(AW4:AW39)</f>
        <v>0</v>
      </c>
      <c r="AX40" s="73">
        <f>SUM(AX4:AX39)</f>
        <v>0</v>
      </c>
      <c r="AY40" s="73">
        <f>SUM(AY4:AY39)</f>
        <v>0</v>
      </c>
      <c r="AZ40" s="73">
        <f>SUM(AZ4:AZ39)</f>
        <v>0</v>
      </c>
      <c r="BA40" s="73">
        <f>SUM(BA4:BA39)</f>
        <v>0</v>
      </c>
      <c r="BB40" s="73">
        <f>SUM(BB4:BB39)</f>
        <v>0</v>
      </c>
      <c r="BC40" s="73">
        <f>SUM(BC4:BC39)</f>
        <v>0</v>
      </c>
      <c r="BD40" s="73">
        <f>SUM(BD4:BD39)</f>
        <v>0</v>
      </c>
      <c r="BE40" s="73">
        <f>SUM(BE4:BE39)</f>
        <v>0</v>
      </c>
      <c r="BF40" s="73">
        <f>SUM(BF4:BF39)</f>
        <v>0</v>
      </c>
      <c r="BG40" s="73">
        <f>SUM(BG4:BG39)</f>
        <v>0</v>
      </c>
      <c r="BH40" s="73">
        <f>SUM(BH4:BH39)</f>
        <v>0</v>
      </c>
      <c r="BI40" s="73">
        <f>SUM(BI4:BI39)</f>
        <v>0</v>
      </c>
      <c r="BJ40" s="73">
        <f>SUM(BJ4:BJ39)</f>
        <v>0</v>
      </c>
      <c r="BK40" s="73">
        <f>SUM(BK4:BK39)</f>
        <v>0</v>
      </c>
      <c r="BL40" s="73">
        <f>SUM(BL4:BL39)</f>
        <v>0</v>
      </c>
      <c r="BM40" s="73">
        <f>SUM(BM4:BM39)</f>
        <v>0</v>
      </c>
      <c r="BN40" s="73">
        <f>SUM(BN4:BN39)</f>
        <v>0</v>
      </c>
      <c r="BO40" s="73">
        <f>SUM(BO4:BO39)</f>
        <v>0</v>
      </c>
      <c r="BP40" s="73">
        <f>SUM(BP4:BP39)</f>
        <v>0</v>
      </c>
      <c r="BQ40" s="73">
        <f>SUM(BQ4:BQ39)</f>
        <v>0</v>
      </c>
      <c r="BR40" s="73">
        <f>SUM(BR4:BR39)</f>
        <v>0</v>
      </c>
      <c r="BS40" s="73">
        <f>SUM(BS4:BS39)</f>
        <v>0</v>
      </c>
      <c r="BT40" s="73">
        <f>SUM(BT4:BT39)</f>
        <v>0</v>
      </c>
      <c r="BU40" s="73">
        <f>SUM(BU4:BU39)</f>
        <v>0</v>
      </c>
      <c r="BV40" s="73">
        <f>SUM(BV4:BV39)</f>
        <v>0</v>
      </c>
      <c r="BW40" s="73">
        <f>SUM(BW4:BW39)</f>
        <v>0</v>
      </c>
      <c r="BX40" s="73">
        <f>SUM(BX4:BX39)</f>
        <v>0</v>
      </c>
      <c r="BY40" s="73">
        <f>SUM(BY4:BY39)</f>
        <v>0</v>
      </c>
      <c r="BZ40" s="73">
        <f>SUM(BZ4:BZ39)</f>
        <v>0</v>
      </c>
      <c r="CA40" s="73">
        <f>SUM(CA4:CA39)</f>
        <v>0</v>
      </c>
      <c r="CB40" s="73">
        <f>SUM(CB4:CB39)</f>
        <v>0</v>
      </c>
      <c r="CC40" s="73">
        <f>SUM(CC4:CC39)</f>
        <v>0</v>
      </c>
      <c r="CD40" s="73">
        <f>SUM(CD4:CD39)</f>
        <v>0</v>
      </c>
      <c r="CE40" s="73">
        <f>SUM(CE4:CE39)</f>
        <v>0</v>
      </c>
      <c r="CF40" s="73">
        <f>SUM(CF4:CF39)</f>
        <v>0</v>
      </c>
      <c r="CG40" s="73">
        <f>SUM(CG4:CG39)</f>
        <v>0</v>
      </c>
      <c r="CH40" s="73">
        <f>SUM(CH4:CH39)</f>
        <v>0</v>
      </c>
      <c r="CI40" s="73">
        <f>SUM(CI4:CI39)</f>
        <v>0</v>
      </c>
      <c r="CJ40" s="73">
        <f>SUM(CJ4:CJ39)</f>
        <v>0</v>
      </c>
      <c r="CK40" s="73">
        <f>SUM(CK4:CK39)</f>
        <v>0</v>
      </c>
      <c r="CL40" s="73">
        <f>SUM(CL4:CL39)</f>
        <v>0</v>
      </c>
      <c r="CM40" s="73">
        <f>SUM(CM4:CM39)</f>
        <v>0</v>
      </c>
      <c r="CN40" s="73">
        <f>SUM(CN4:CN39)</f>
        <v>0</v>
      </c>
      <c r="CO40" s="73">
        <f>SUM(CO4:CO39)</f>
        <v>0</v>
      </c>
      <c r="CP40" s="73">
        <f>SUM(CP4:CP39)</f>
        <v>0</v>
      </c>
      <c r="CQ40" s="73">
        <f>SUM(CQ4:CQ39)</f>
        <v>0</v>
      </c>
      <c r="CR40" s="73">
        <f>SUM(CR4:CR39)</f>
        <v>0</v>
      </c>
      <c r="CS40" s="73">
        <f>SUM(CS4:CS39)</f>
        <v>0</v>
      </c>
      <c r="CT40" s="73">
        <f>SUM(CT4:CT39)</f>
        <v>0</v>
      </c>
      <c r="CU40" s="73">
        <f>SUM(CU4:CU39)</f>
        <v>0</v>
      </c>
      <c r="CV40" s="73">
        <f>SUM(CV4:CV39)</f>
        <v>0</v>
      </c>
      <c r="CW40" s="73">
        <f>SUM(CW4:CW39)</f>
        <v>0</v>
      </c>
      <c r="CX40" s="73">
        <f>SUM(CX4:CX39)</f>
        <v>0</v>
      </c>
      <c r="CY40" s="73">
        <f>SUM(CY4:CY39)</f>
        <v>0</v>
      </c>
      <c r="CZ40" s="73">
        <f>SUM(CZ4:CZ39)</f>
        <v>0</v>
      </c>
      <c r="DA40" s="73">
        <f>SUM(DA4:DA39)</f>
        <v>0</v>
      </c>
      <c r="DB40" s="73">
        <f>SUM(DB4:DB39)</f>
        <v>0</v>
      </c>
      <c r="DC40" s="73">
        <f>SUM(DC4:DC39)</f>
        <v>0</v>
      </c>
      <c r="DD40" s="73">
        <f>SUM(DD4:DD39)</f>
        <v>0</v>
      </c>
      <c r="DE40" s="73">
        <f>SUM(DE4:DE39)</f>
        <v>0</v>
      </c>
      <c r="DF40" s="73">
        <f>SUM(DF4:DF39)</f>
        <v>0</v>
      </c>
      <c r="DG40" s="73">
        <f>SUM(DG4:DG39)</f>
        <v>0</v>
      </c>
      <c r="DH40" s="73">
        <f>SUM(DH4:DH39)</f>
        <v>0</v>
      </c>
      <c r="DI40" s="73">
        <f>SUM(DI4:DI39)</f>
        <v>0</v>
      </c>
      <c r="DJ40" s="73">
        <f>SUM(DJ4:DJ39)</f>
        <v>0</v>
      </c>
      <c r="DK40" s="73">
        <f>SUM(DK4:DK39)</f>
        <v>0</v>
      </c>
      <c r="DL40" s="73">
        <f>SUM(DL4:DL39)</f>
        <v>0</v>
      </c>
      <c r="DM40" s="73">
        <f>SUM(DM4:DM39)</f>
        <v>0</v>
      </c>
      <c r="DN40" s="73">
        <f>SUM(DN4:DN39)</f>
        <v>0</v>
      </c>
      <c r="DO40" s="73">
        <f>SUM(DO4:DO39)</f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9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0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0"/>
  <sheetViews>
    <sheetView zoomScale="85" zoomScaleNormal="85" workbookViewId="0">
      <selection activeCell="A39" sqref="A39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29" t="s">
        <v>397</v>
      </c>
      <c r="D1" s="229" t="s">
        <v>398</v>
      </c>
      <c r="E1" s="229" t="s">
        <v>399</v>
      </c>
      <c r="F1" s="220" t="s">
        <v>303</v>
      </c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2"/>
      <c r="AD1" s="235" t="s">
        <v>282</v>
      </c>
      <c r="AE1" s="236"/>
      <c r="AF1" s="236"/>
      <c r="AG1" s="236"/>
      <c r="AH1" s="236"/>
      <c r="AI1" s="237"/>
      <c r="AJ1" s="220" t="s">
        <v>283</v>
      </c>
      <c r="AK1" s="221"/>
      <c r="AL1" s="221"/>
      <c r="AM1" s="221"/>
      <c r="AN1" s="221"/>
      <c r="AO1" s="222"/>
      <c r="AP1" s="223" t="s">
        <v>284</v>
      </c>
      <c r="AQ1" s="224"/>
      <c r="AR1" s="224"/>
      <c r="AS1" s="224"/>
      <c r="AT1" s="224"/>
      <c r="AU1" s="225"/>
      <c r="AV1" s="226" t="s">
        <v>86</v>
      </c>
      <c r="AW1" s="227"/>
      <c r="AX1" s="228"/>
    </row>
    <row r="2" spans="1:50" x14ac:dyDescent="0.25">
      <c r="A2" s="3"/>
      <c r="B2" s="5"/>
      <c r="C2" s="230"/>
      <c r="D2" s="230"/>
      <c r="E2" s="230"/>
      <c r="F2" s="232"/>
      <c r="G2" s="233"/>
      <c r="H2" s="234"/>
      <c r="I2" s="232"/>
      <c r="J2" s="233"/>
      <c r="K2" s="234"/>
      <c r="L2" s="232"/>
      <c r="M2" s="233"/>
      <c r="N2" s="234"/>
      <c r="O2" s="232"/>
      <c r="P2" s="233"/>
      <c r="Q2" s="234"/>
      <c r="R2" s="232"/>
      <c r="S2" s="233"/>
      <c r="T2" s="234"/>
      <c r="U2" s="232"/>
      <c r="V2" s="233"/>
      <c r="W2" s="234"/>
      <c r="X2" s="232"/>
      <c r="Y2" s="233"/>
      <c r="Z2" s="234"/>
      <c r="AA2" s="232"/>
      <c r="AB2" s="233"/>
      <c r="AC2" s="233"/>
      <c r="AD2" s="232"/>
      <c r="AE2" s="233"/>
      <c r="AF2" s="234"/>
      <c r="AG2" s="232"/>
      <c r="AH2" s="233"/>
      <c r="AI2" s="234"/>
      <c r="AJ2" s="232"/>
      <c r="AK2" s="233"/>
      <c r="AL2" s="234"/>
      <c r="AM2" s="232"/>
      <c r="AN2" s="233"/>
      <c r="AO2" s="234"/>
      <c r="AP2" s="232"/>
      <c r="AQ2" s="233"/>
      <c r="AR2" s="234"/>
      <c r="AS2" s="232"/>
      <c r="AT2" s="233"/>
      <c r="AU2" s="234"/>
      <c r="AV2" s="232"/>
      <c r="AW2" s="233"/>
      <c r="AX2" s="234"/>
    </row>
    <row r="3" spans="1:50" x14ac:dyDescent="0.25">
      <c r="A3" s="3" t="s">
        <v>48</v>
      </c>
      <c r="B3" s="5" t="s">
        <v>1</v>
      </c>
      <c r="C3" s="231"/>
      <c r="D3" s="231"/>
      <c r="E3" s="231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7" si="1">SUM(F5,I5,L5,O5,R5,X5,AA5,AD5,U5,AG5,AJ5,AM5,AP5,AS5,AV5)</f>
        <v>0</v>
      </c>
      <c r="D5" s="58">
        <f t="shared" ref="D5:D17" si="2">SUM(G5,J5,M5,P5,S5,Y5,AB5,AE5,V5,AH5,AK5,AN5,AQ5,AT5,AW5)</f>
        <v>0</v>
      </c>
      <c r="E5" s="58">
        <f t="shared" ref="E5:E17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15</v>
      </c>
      <c r="B18" s="149" t="s">
        <v>438</v>
      </c>
      <c r="C18" s="58">
        <f t="shared" ref="C18:C39" si="4">SUM(F18,I18,L18,O18,R18,X18,AA18,AD18,U18,AG18,AJ18,AM18,AP18,AS18,AV18)</f>
        <v>0</v>
      </c>
      <c r="D18" s="58">
        <f t="shared" ref="D18:D39" si="5">SUM(G18,J18,M18,P18,S18,Y18,AB18,AE18,V18,AH18,AK18,AN18,AQ18,AT18,AW18)</f>
        <v>0</v>
      </c>
      <c r="E18" s="58">
        <f t="shared" ref="E18:E39" si="6">SUM(H18,K18,N18,Q18,T18,Z18,AC18,AF18,W18,AI18,AL18,AO18,AR18,AU18,AX18)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17</v>
      </c>
      <c r="B19" s="148" t="s">
        <v>344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20</v>
      </c>
      <c r="B20" s="148" t="s">
        <v>316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22</v>
      </c>
      <c r="B21" s="40" t="s">
        <v>264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7">
        <v>23</v>
      </c>
      <c r="B22" s="37" t="s">
        <v>294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29</v>
      </c>
      <c r="B23" s="148" t="s">
        <v>276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30</v>
      </c>
      <c r="B24" s="148" t="s">
        <v>345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33</v>
      </c>
      <c r="B25" s="148" t="s">
        <v>292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35</v>
      </c>
      <c r="B26" s="148" t="s">
        <v>304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36</v>
      </c>
      <c r="B27" s="148" t="s">
        <v>314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39</v>
      </c>
      <c r="B28" s="148" t="s">
        <v>346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7">
        <v>40</v>
      </c>
      <c r="B29" s="149" t="s">
        <v>342</v>
      </c>
      <c r="C29" s="58">
        <f>SUM(F29,I29,L29,O29,R29,X29,AA29,AD29,U29,AG29,AJ29,AM29,AP29,AS29,AV29)</f>
        <v>0</v>
      </c>
      <c r="D29" s="58">
        <f>SUM(G29,J29,M29,P29,S29,Y29,AB29,AE29,V29,AH29,AK29,AN29,AQ29,AT29,AW29)</f>
        <v>0</v>
      </c>
      <c r="E29" s="58">
        <f>SUM(H29,K29,N29,Q29,T29,Z29,AC29,AF29,W29,AI29,AL29,AO29,AR29,AU29,AX29)</f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7">
        <v>41</v>
      </c>
      <c r="B30" s="35" t="s">
        <v>278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56">
        <v>43</v>
      </c>
      <c r="B31" s="148" t="s">
        <v>328</v>
      </c>
      <c r="C31" s="58">
        <f>SUM(F31,I31,L31,O31,R31,X31,AA31,AD31,U31,AG31,AJ31,AM31,AP31,AS31,AV31)</f>
        <v>0</v>
      </c>
      <c r="D31" s="58">
        <f>SUM(G31,J31,M31,P31,S31,Y31,AB31,AE31,V31,AH31,AK31,AN31,AQ31,AT31,AW31)</f>
        <v>0</v>
      </c>
      <c r="E31" s="58">
        <f>SUM(H31,K31,N31,Q31,T31,Z31,AC31,AF31,W31,AI31,AL31,AO31,AR31,AU31,AX31)</f>
        <v>0</v>
      </c>
      <c r="F31" s="49"/>
      <c r="G31" s="166"/>
      <c r="H31" s="50"/>
      <c r="I31" s="49"/>
      <c r="J31" s="166"/>
      <c r="K31" s="50"/>
      <c r="L31" s="49"/>
      <c r="M31" s="166"/>
      <c r="N31" s="50"/>
      <c r="O31" s="49"/>
      <c r="P31" s="166"/>
      <c r="Q31" s="50"/>
      <c r="R31" s="49"/>
      <c r="S31" s="166"/>
      <c r="T31" s="50"/>
      <c r="U31" s="49"/>
      <c r="V31" s="166"/>
      <c r="W31" s="50"/>
      <c r="X31" s="49"/>
      <c r="Y31" s="166"/>
      <c r="Z31" s="50"/>
      <c r="AA31" s="49"/>
      <c r="AB31" s="166"/>
      <c r="AC31" s="169"/>
      <c r="AD31" s="49"/>
      <c r="AE31" s="166"/>
      <c r="AF31" s="50"/>
      <c r="AG31" s="49"/>
      <c r="AH31" s="166"/>
      <c r="AI31" s="50"/>
      <c r="AJ31" s="49"/>
      <c r="AK31" s="166"/>
      <c r="AL31" s="50"/>
      <c r="AM31" s="49"/>
      <c r="AN31" s="166"/>
      <c r="AO31" s="50"/>
      <c r="AP31" s="49"/>
      <c r="AQ31" s="166"/>
      <c r="AR31" s="50"/>
      <c r="AS31" s="49"/>
      <c r="AT31" s="166"/>
      <c r="AU31" s="50"/>
      <c r="AV31" s="49"/>
      <c r="AW31" s="166"/>
      <c r="AX31" s="75"/>
    </row>
    <row r="32" spans="1:50" x14ac:dyDescent="0.25">
      <c r="A32" s="28">
        <v>44</v>
      </c>
      <c r="B32" s="148" t="s">
        <v>339</v>
      </c>
      <c r="C32" s="58">
        <f>SUM(F32,I32,L32,O32,R32,X32,AA32,AD32,U32,AG32,AJ32,AM32,AP32,AS32,AV32)</f>
        <v>0</v>
      </c>
      <c r="D32" s="58">
        <f>SUM(G32,J32,M32,P32,S32,Y32,AB32,AE32,V32,AH32,AK32,AN32,AQ32,AT32,AW32)</f>
        <v>0</v>
      </c>
      <c r="E32" s="58">
        <f>SUM(H32,K32,N32,Q32,T32,Z32,AC32,AF32,W32,AI32,AL32,AO32,AR32,AU32,AX32)</f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7">
        <v>46</v>
      </c>
      <c r="B33" s="34" t="s">
        <v>299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168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75"/>
    </row>
    <row r="34" spans="1:50" x14ac:dyDescent="0.25">
      <c r="A34" s="27">
        <v>49</v>
      </c>
      <c r="B34" s="35" t="s">
        <v>298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55</v>
      </c>
      <c r="B36" s="37" t="s">
        <v>302</v>
      </c>
      <c r="C36" s="58">
        <f>SUM(F36,I36,L36,O36,R36,X36,AA36,AD36,U36,AG36,AJ36,AM36,AP36,AS36,AV36)</f>
        <v>0</v>
      </c>
      <c r="D36" s="58">
        <f>SUM(G36,J36,M36,P36,S36,Y36,AB36,AE36,V36,AH36,AK36,AN36,AQ36,AT36,AW36)</f>
        <v>0</v>
      </c>
      <c r="E36" s="58">
        <f>SUM(H36,K36,N36,Q36,T36,Z36,AC36,AF36,W36,AI36,AL36,AO36,AR36,AU36,AX36)</f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7">
        <v>56</v>
      </c>
      <c r="B37" s="149" t="s">
        <v>323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71</v>
      </c>
      <c r="B38" s="148" t="s">
        <v>340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89</v>
      </c>
      <c r="B39" s="148" t="s">
        <v>334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ht="15.75" thickBot="1" x14ac:dyDescent="0.3">
      <c r="F40" s="172">
        <f>SUM(F4:F39)</f>
        <v>0</v>
      </c>
      <c r="G40" s="173">
        <f>SUM(G4:G39)</f>
        <v>0</v>
      </c>
      <c r="H40" s="174">
        <f>SUM(H4:H39)</f>
        <v>0</v>
      </c>
      <c r="I40" s="172">
        <f>SUM(I4:I39)</f>
        <v>0</v>
      </c>
      <c r="J40" s="173">
        <f>SUM(J4:J39)</f>
        <v>0</v>
      </c>
      <c r="K40" s="174">
        <f>SUM(K4:K39)</f>
        <v>0</v>
      </c>
      <c r="L40" s="172">
        <f>SUM(L4:L39)</f>
        <v>0</v>
      </c>
      <c r="M40" s="173">
        <f>SUM(M4:M39)</f>
        <v>0</v>
      </c>
      <c r="N40" s="174">
        <f>SUM(N4:N39)</f>
        <v>0</v>
      </c>
      <c r="O40" s="172">
        <f>SUM(O4:O39)</f>
        <v>0</v>
      </c>
      <c r="P40" s="173">
        <f>SUM(P4:P39)</f>
        <v>0</v>
      </c>
      <c r="Q40" s="174">
        <f>SUM(Q4:Q39)</f>
        <v>0</v>
      </c>
      <c r="R40" s="172">
        <f>SUM(R4:R39)</f>
        <v>0</v>
      </c>
      <c r="S40" s="173">
        <f>SUM(S4:S39)</f>
        <v>0</v>
      </c>
      <c r="T40" s="174">
        <f>SUM(T4:T39)</f>
        <v>0</v>
      </c>
      <c r="U40" s="172">
        <f>SUM(U4:U39)</f>
        <v>0</v>
      </c>
      <c r="V40" s="173">
        <f>SUM(V4:V39)</f>
        <v>0</v>
      </c>
      <c r="W40" s="174">
        <f>SUM(W4:W39)</f>
        <v>0</v>
      </c>
      <c r="X40" s="172">
        <f>SUM(X4:X39)</f>
        <v>0</v>
      </c>
      <c r="Y40" s="173">
        <f>SUM(Y4:Y39)</f>
        <v>0</v>
      </c>
      <c r="Z40" s="174">
        <f>SUM(Z4:Z39)</f>
        <v>0</v>
      </c>
      <c r="AA40" s="172">
        <f>SUM(AA4:AA39)</f>
        <v>0</v>
      </c>
      <c r="AB40" s="173">
        <f>SUM(AB4:AB39)</f>
        <v>0</v>
      </c>
      <c r="AC40" s="175">
        <f>SUM(AC4:AC39)</f>
        <v>0</v>
      </c>
      <c r="AD40" s="172">
        <f>SUM(AD4:AD39)</f>
        <v>0</v>
      </c>
      <c r="AE40" s="173">
        <f>SUM(AE4:AE39)</f>
        <v>0</v>
      </c>
      <c r="AF40" s="174">
        <f>SUM(AF4:AF39)</f>
        <v>0</v>
      </c>
      <c r="AG40" s="172">
        <f>SUM(AG4:AG39)</f>
        <v>0</v>
      </c>
      <c r="AH40" s="173">
        <f>SUM(AH4:AH39)</f>
        <v>0</v>
      </c>
      <c r="AI40" s="174">
        <f>SUM(AI4:AI39)</f>
        <v>0</v>
      </c>
      <c r="AJ40" s="172">
        <f>SUM(AJ4:AJ39)</f>
        <v>0</v>
      </c>
      <c r="AK40" s="173">
        <f>SUM(AK4:AK39)</f>
        <v>0</v>
      </c>
      <c r="AL40" s="174">
        <f>SUM(AL4:AL39)</f>
        <v>0</v>
      </c>
      <c r="AM40" s="172">
        <f>SUM(AM4:AM39)</f>
        <v>0</v>
      </c>
      <c r="AN40" s="173">
        <f>SUM(AN4:AN39)</f>
        <v>0</v>
      </c>
      <c r="AO40" s="174">
        <f>SUM(AO4:AO39)</f>
        <v>0</v>
      </c>
      <c r="AP40" s="172">
        <f>SUM(AP4:AP39)</f>
        <v>0</v>
      </c>
      <c r="AQ40" s="173">
        <f>SUM(AQ4:AQ39)</f>
        <v>0</v>
      </c>
      <c r="AR40" s="174">
        <f>SUM(AR4:AR39)</f>
        <v>0</v>
      </c>
      <c r="AS40" s="172">
        <f>SUM(AS4:AS39)</f>
        <v>0</v>
      </c>
      <c r="AT40" s="173">
        <f>SUM(AT4:AT39)</f>
        <v>0</v>
      </c>
      <c r="AU40" s="174">
        <f>SUM(AU4:AU39)</f>
        <v>0</v>
      </c>
      <c r="AV40" s="172">
        <f>SUM(AV4:AV39)</f>
        <v>0</v>
      </c>
      <c r="AW40" s="173">
        <f>SUM(AW4:AW39)</f>
        <v>0</v>
      </c>
      <c r="AX40" s="174">
        <f>SUM(AX4:AX39)</f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3">
    <cfRule type="cellIs" dxfId="15" priority="1" operator="equal">
      <formula>1</formula>
    </cfRule>
  </conditionalFormatting>
  <conditionalFormatting sqref="F4:AW39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0"/>
  <sheetViews>
    <sheetView zoomScale="85" zoomScaleNormal="85" zoomScalePageLayoutView="130" workbookViewId="0">
      <selection activeCell="B38" sqref="B38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29" t="s">
        <v>397</v>
      </c>
      <c r="D1" s="229" t="s">
        <v>398</v>
      </c>
      <c r="E1" s="229" t="s">
        <v>399</v>
      </c>
      <c r="F1" s="269" t="s">
        <v>87</v>
      </c>
      <c r="G1" s="270"/>
      <c r="H1" s="271"/>
      <c r="I1" s="272" t="s">
        <v>88</v>
      </c>
      <c r="J1" s="273"/>
      <c r="K1" s="274"/>
      <c r="L1" s="239" t="s">
        <v>89</v>
      </c>
      <c r="M1" s="240"/>
      <c r="N1" s="241"/>
      <c r="O1" s="242" t="s">
        <v>199</v>
      </c>
      <c r="P1" s="243"/>
      <c r="Q1" s="244"/>
      <c r="R1" s="245" t="s">
        <v>200</v>
      </c>
      <c r="S1" s="246"/>
      <c r="T1" s="247"/>
      <c r="U1" s="248" t="s">
        <v>307</v>
      </c>
      <c r="V1" s="249"/>
      <c r="W1" s="250"/>
    </row>
    <row r="2" spans="1:23" x14ac:dyDescent="0.25">
      <c r="A2" s="3"/>
      <c r="B2" s="5"/>
      <c r="C2" s="230"/>
      <c r="D2" s="230"/>
      <c r="E2" s="230"/>
      <c r="F2" s="251"/>
      <c r="G2" s="252"/>
      <c r="H2" s="253"/>
      <c r="I2" s="266"/>
      <c r="J2" s="267"/>
      <c r="K2" s="268"/>
      <c r="L2" s="263"/>
      <c r="M2" s="264"/>
      <c r="N2" s="265"/>
      <c r="O2" s="260"/>
      <c r="P2" s="261"/>
      <c r="Q2" s="262"/>
      <c r="R2" s="257"/>
      <c r="S2" s="258"/>
      <c r="T2" s="259"/>
      <c r="U2" s="254"/>
      <c r="V2" s="255"/>
      <c r="W2" s="256"/>
    </row>
    <row r="3" spans="1:23" ht="15.75" thickBot="1" x14ac:dyDescent="0.3">
      <c r="A3" s="3" t="s">
        <v>48</v>
      </c>
      <c r="B3" s="17" t="s">
        <v>1</v>
      </c>
      <c r="C3" s="238"/>
      <c r="D3" s="238"/>
      <c r="E3" s="23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ref="C6:C39" si="2">SUM(F6,I6,L6,O6,R6,U6)</f>
        <v>0</v>
      </c>
      <c r="D6" s="58">
        <f t="shared" ref="D6:D39" si="3">SUM(G6,J6,M6,P6,S6,V6)</f>
        <v>0</v>
      </c>
      <c r="E6" s="58">
        <f t="shared" ref="E6:E39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29</v>
      </c>
      <c r="B23" s="148" t="s">
        <v>276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30</v>
      </c>
      <c r="B24" s="148" t="s">
        <v>345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33</v>
      </c>
      <c r="B25" s="148" t="s">
        <v>292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35</v>
      </c>
      <c r="B26" s="148" t="s">
        <v>304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36</v>
      </c>
      <c r="B27" s="148" t="s">
        <v>314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39</v>
      </c>
      <c r="B28" s="148" t="s">
        <v>346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40</v>
      </c>
      <c r="B29" s="149" t="s">
        <v>342</v>
      </c>
      <c r="C29" s="58">
        <f>SUM(F29,I29,L29,O29,R29,U29)</f>
        <v>0</v>
      </c>
      <c r="D29" s="58">
        <f>SUM(G29,J29,M29,P29,S29,V29)</f>
        <v>0</v>
      </c>
      <c r="E29" s="58">
        <f>SUM(H29,K29,N29,Q29,T29,W29)</f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2"/>
        <v>0</v>
      </c>
      <c r="D30" s="58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56">
        <v>43</v>
      </c>
      <c r="B31" s="148" t="s">
        <v>328</v>
      </c>
      <c r="C31" s="58">
        <f>SUM(F31,I31,L31,O31,R31,U31)</f>
        <v>0</v>
      </c>
      <c r="D31" s="58">
        <f>SUM(G31,J31,M31,P31,S31,V31)</f>
        <v>0</v>
      </c>
      <c r="E31" s="58">
        <f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8">
        <v>44</v>
      </c>
      <c r="B32" s="148" t="s">
        <v>339</v>
      </c>
      <c r="C32" s="58">
        <f>SUM(F32,I32,L32,O32,R32,U32)</f>
        <v>0</v>
      </c>
      <c r="D32" s="58">
        <f>SUM(G32,J32,M32,P32,S32,V32)</f>
        <v>0</v>
      </c>
      <c r="E32" s="58">
        <f>SUM(H32,K32,N32,Q32,T32,W32)</f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46</v>
      </c>
      <c r="B33" s="34" t="s">
        <v>299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49</v>
      </c>
      <c r="B34" s="35" t="s">
        <v>298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ht="15.75" thickBot="1" x14ac:dyDescent="0.3">
      <c r="A36" s="28">
        <v>55</v>
      </c>
      <c r="B36" s="37" t="s">
        <v>302</v>
      </c>
      <c r="C36" s="164">
        <f t="shared" ref="C36" si="5">SUM(F36,I36,L36,O36,R36,U36)</f>
        <v>0</v>
      </c>
      <c r="D36" s="192">
        <f t="shared" ref="D36:E36" si="6">SUM(G36,J36,M36,P36,S36,V36)</f>
        <v>0</v>
      </c>
      <c r="E36" s="192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7">
        <v>56</v>
      </c>
      <c r="B37" s="149" t="s">
        <v>323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340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2"/>
        <v>0</v>
      </c>
      <c r="D39" s="58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2">
        <f>SUM(F4:F39)</f>
        <v>0</v>
      </c>
      <c r="G40" s="173">
        <f>SUM(G4:G39)</f>
        <v>0</v>
      </c>
      <c r="H40" s="174">
        <f>SUM(H4:H39)</f>
        <v>0</v>
      </c>
      <c r="I40" s="172">
        <f>SUM(I4:I39)</f>
        <v>0</v>
      </c>
      <c r="J40" s="173">
        <f>SUM(J4:J39)</f>
        <v>0</v>
      </c>
      <c r="K40" s="174">
        <f>SUM(K4:K39)</f>
        <v>0</v>
      </c>
      <c r="L40" s="172">
        <f>SUM(L4:L39)</f>
        <v>0</v>
      </c>
      <c r="M40" s="173">
        <f>SUM(M4:M39)</f>
        <v>0</v>
      </c>
      <c r="N40" s="174">
        <f>SUM(N4:N39)</f>
        <v>0</v>
      </c>
      <c r="O40" s="172">
        <f>SUM(O4:O39)</f>
        <v>0</v>
      </c>
      <c r="P40" s="173">
        <f>SUM(P4:P39)</f>
        <v>0</v>
      </c>
      <c r="Q40" s="174">
        <f>SUM(Q4:Q39)</f>
        <v>0</v>
      </c>
      <c r="R40" s="172">
        <f>SUM(R4:R39)</f>
        <v>0</v>
      </c>
      <c r="S40" s="173">
        <f>SUM(S4:S39)</f>
        <v>0</v>
      </c>
      <c r="T40" s="174">
        <f>SUM(T4:T39)</f>
        <v>0</v>
      </c>
      <c r="U40" s="172">
        <f>SUM(U4:U39)</f>
        <v>0</v>
      </c>
      <c r="V40" s="173">
        <f>SUM(V4:V39)</f>
        <v>0</v>
      </c>
      <c r="W40" s="174">
        <f>SUM(W4:W39)</f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3">
    <cfRule type="cellIs" dxfId="13" priority="1" operator="equal">
      <formula>1</formula>
    </cfRule>
  </conditionalFormatting>
  <conditionalFormatting sqref="F4:W39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0"/>
  <sheetViews>
    <sheetView zoomScale="83" zoomScaleNormal="85" workbookViewId="0">
      <selection activeCell="B38" sqref="B38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29" t="s">
        <v>397</v>
      </c>
      <c r="D1" s="229" t="s">
        <v>398</v>
      </c>
      <c r="E1" s="229" t="s">
        <v>399</v>
      </c>
      <c r="F1" s="269" t="s">
        <v>87</v>
      </c>
      <c r="G1" s="270"/>
      <c r="H1" s="271"/>
      <c r="I1" s="272" t="s">
        <v>88</v>
      </c>
      <c r="J1" s="273"/>
      <c r="K1" s="274"/>
      <c r="L1" s="239" t="s">
        <v>89</v>
      </c>
      <c r="M1" s="240"/>
      <c r="N1" s="241"/>
      <c r="O1" s="242" t="s">
        <v>199</v>
      </c>
      <c r="P1" s="243"/>
      <c r="Q1" s="244"/>
      <c r="R1" s="245" t="s">
        <v>200</v>
      </c>
      <c r="S1" s="246"/>
      <c r="T1" s="247"/>
      <c r="U1" s="248" t="s">
        <v>307</v>
      </c>
      <c r="V1" s="249"/>
      <c r="W1" s="250"/>
    </row>
    <row r="2" spans="1:23" x14ac:dyDescent="0.25">
      <c r="A2" s="3"/>
      <c r="B2" s="17"/>
      <c r="C2" s="230"/>
      <c r="D2" s="230"/>
      <c r="E2" s="230"/>
      <c r="F2" s="251" t="s">
        <v>439</v>
      </c>
      <c r="G2" s="252"/>
      <c r="H2" s="253"/>
      <c r="I2" s="266"/>
      <c r="J2" s="267"/>
      <c r="K2" s="268"/>
      <c r="L2" s="263"/>
      <c r="M2" s="264"/>
      <c r="N2" s="265"/>
      <c r="O2" s="260"/>
      <c r="P2" s="261"/>
      <c r="Q2" s="262"/>
      <c r="R2" s="257"/>
      <c r="S2" s="258"/>
      <c r="T2" s="259"/>
      <c r="U2" s="254"/>
      <c r="V2" s="255"/>
      <c r="W2" s="256"/>
    </row>
    <row r="3" spans="1:23" ht="15.75" thickBot="1" x14ac:dyDescent="0.3">
      <c r="A3" s="3" t="s">
        <v>48</v>
      </c>
      <c r="B3" s="17" t="s">
        <v>1</v>
      </c>
      <c r="C3" s="238"/>
      <c r="D3" s="238"/>
      <c r="E3" s="23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7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1"/>
        <v>0</v>
      </c>
      <c r="D17" s="51">
        <f t="shared" si="1"/>
        <v>0</v>
      </c>
      <c r="E17" s="58">
        <f t="shared" si="1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ref="C18:C39" si="2">SUM(F18,I18,L18,O18,R18,U18)</f>
        <v>0</v>
      </c>
      <c r="D18" s="51">
        <f t="shared" ref="D18:D39" si="3">SUM(G18,J18,M18,P18,S18,V18)</f>
        <v>0</v>
      </c>
      <c r="E18" s="58">
        <f t="shared" ref="E18:E39" si="4">SUM(H18,K18,N18,Q18,T18,W18)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29</v>
      </c>
      <c r="B23" s="148" t="s">
        <v>276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30</v>
      </c>
      <c r="B24" s="148" t="s">
        <v>345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33</v>
      </c>
      <c r="B25" s="148" t="s">
        <v>292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35</v>
      </c>
      <c r="B26" s="148" t="s">
        <v>304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36</v>
      </c>
      <c r="B27" s="148" t="s">
        <v>314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39</v>
      </c>
      <c r="B28" s="148" t="s">
        <v>346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40</v>
      </c>
      <c r="B29" s="149" t="s">
        <v>342</v>
      </c>
      <c r="C29" s="58">
        <f>SUM(F29,I29,L29,O29,R29,U29)</f>
        <v>0</v>
      </c>
      <c r="D29" s="51">
        <f>SUM(G29,J29,M29,P29,S29,V29)</f>
        <v>0</v>
      </c>
      <c r="E29" s="58">
        <f>SUM(H29,K29,N29,Q29,T29,W29)</f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2"/>
        <v>0</v>
      </c>
      <c r="D30" s="51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56">
        <v>43</v>
      </c>
      <c r="B31" s="148" t="s">
        <v>328</v>
      </c>
      <c r="C31" s="58">
        <f>SUM(F31,I31,L31,O31,R31,U31)</f>
        <v>0</v>
      </c>
      <c r="D31" s="51">
        <f>SUM(G31,J31,M31,P31,S31,V31)</f>
        <v>0</v>
      </c>
      <c r="E31" s="58">
        <f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8">
        <v>44</v>
      </c>
      <c r="B32" s="148" t="s">
        <v>339</v>
      </c>
      <c r="C32" s="58">
        <f>SUM(F32,I32,L32,O32,R32,U32)</f>
        <v>0</v>
      </c>
      <c r="D32" s="51">
        <f>SUM(G32,J32,M32,P32,S32,V32)</f>
        <v>0</v>
      </c>
      <c r="E32" s="58">
        <f>SUM(H32,K32,N32,Q32,T32,W32)</f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46</v>
      </c>
      <c r="B33" s="34" t="s">
        <v>299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49</v>
      </c>
      <c r="B34" s="35" t="s">
        <v>298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55</v>
      </c>
      <c r="B36" s="37" t="s">
        <v>302</v>
      </c>
      <c r="C36" s="58">
        <f>SUM(F36,I36,L36,O36,R36,U36)</f>
        <v>0</v>
      </c>
      <c r="D36" s="51">
        <f>SUM(G36,J36,M36,P36,S36,V36)</f>
        <v>0</v>
      </c>
      <c r="E36" s="58">
        <f>SUM(H36,K36,N36,Q36,T36,W36)</f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7">
        <v>56</v>
      </c>
      <c r="B37" s="149" t="s">
        <v>323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340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2"/>
        <v>0</v>
      </c>
      <c r="D39" s="51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2">
        <f>SUM(F4:F39)</f>
        <v>0</v>
      </c>
      <c r="G40" s="173">
        <f>SUM(G4:G39)</f>
        <v>0</v>
      </c>
      <c r="H40" s="174">
        <f>SUM(H4:H39)</f>
        <v>0</v>
      </c>
      <c r="I40" s="172">
        <f>SUM(I4:I39)</f>
        <v>0</v>
      </c>
      <c r="J40" s="173">
        <f>SUM(J4:J39)</f>
        <v>0</v>
      </c>
      <c r="K40" s="174">
        <f>SUM(K4:K39)</f>
        <v>0</v>
      </c>
      <c r="L40" s="172">
        <f>SUM(L4:L39)</f>
        <v>0</v>
      </c>
      <c r="M40" s="173">
        <f>SUM(M4:M39)</f>
        <v>0</v>
      </c>
      <c r="N40" s="174">
        <f>SUM(N4:N39)</f>
        <v>0</v>
      </c>
      <c r="O40" s="172">
        <f>SUM(O4:O39)</f>
        <v>0</v>
      </c>
      <c r="P40" s="173">
        <f>SUM(P4:P39)</f>
        <v>0</v>
      </c>
      <c r="Q40" s="174">
        <f>SUM(Q4:Q39)</f>
        <v>0</v>
      </c>
      <c r="R40" s="172">
        <f>SUM(R4:R39)</f>
        <v>0</v>
      </c>
      <c r="S40" s="173">
        <f>SUM(S4:S39)</f>
        <v>0</v>
      </c>
      <c r="T40" s="174">
        <f>SUM(T4:T39)</f>
        <v>0</v>
      </c>
      <c r="U40" s="172">
        <f>SUM(U4:U39)</f>
        <v>0</v>
      </c>
      <c r="V40" s="173">
        <f>SUM(V4:V39)</f>
        <v>0</v>
      </c>
      <c r="W40" s="174">
        <f>SUM(W4:W39)</f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3">
    <cfRule type="cellIs" dxfId="11" priority="1" operator="equal">
      <formula>1</formula>
    </cfRule>
  </conditionalFormatting>
  <conditionalFormatting sqref="F4:W39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8"/>
  <sheetViews>
    <sheetView zoomScale="85" zoomScaleNormal="85" workbookViewId="0">
      <selection activeCell="AC31" sqref="AC31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341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15</v>
      </c>
      <c r="B17" s="149" t="s">
        <v>438</v>
      </c>
      <c r="C17" s="20"/>
      <c r="D17" s="20"/>
      <c r="E17" s="20"/>
    </row>
    <row r="18" spans="1:5" x14ac:dyDescent="0.25">
      <c r="A18" s="27">
        <v>17</v>
      </c>
      <c r="B18" s="148" t="s">
        <v>344</v>
      </c>
      <c r="C18" s="20">
        <v>1</v>
      </c>
      <c r="D18" s="20"/>
      <c r="E18" s="20">
        <v>2</v>
      </c>
    </row>
    <row r="19" spans="1:5" x14ac:dyDescent="0.25">
      <c r="A19" s="27">
        <v>20</v>
      </c>
      <c r="B19" s="148" t="s">
        <v>316</v>
      </c>
      <c r="C19" s="20">
        <v>1</v>
      </c>
      <c r="D19" s="20"/>
      <c r="E19" s="20"/>
    </row>
    <row r="20" spans="1:5" x14ac:dyDescent="0.25">
      <c r="A20" s="28">
        <v>22</v>
      </c>
      <c r="B20" s="158" t="s">
        <v>264</v>
      </c>
      <c r="C20" s="20"/>
      <c r="D20" s="20"/>
      <c r="E20" s="20"/>
    </row>
    <row r="21" spans="1:5" x14ac:dyDescent="0.25">
      <c r="A21" s="27">
        <v>23</v>
      </c>
      <c r="B21" s="148" t="s">
        <v>294</v>
      </c>
      <c r="C21" s="20"/>
      <c r="D21" s="20"/>
      <c r="E21" s="20"/>
    </row>
    <row r="22" spans="1:5" x14ac:dyDescent="0.25">
      <c r="A22" s="28">
        <v>29</v>
      </c>
      <c r="B22" s="148" t="s">
        <v>276</v>
      </c>
      <c r="C22" s="20">
        <v>1</v>
      </c>
      <c r="D22" s="20">
        <v>1</v>
      </c>
      <c r="E22" s="20"/>
    </row>
    <row r="23" spans="1:5" x14ac:dyDescent="0.25">
      <c r="A23" s="28">
        <v>30</v>
      </c>
      <c r="B23" s="148" t="s">
        <v>345</v>
      </c>
      <c r="C23" s="20"/>
      <c r="D23" s="20"/>
      <c r="E23" s="20"/>
    </row>
    <row r="24" spans="1:5" x14ac:dyDescent="0.25">
      <c r="A24" s="28">
        <v>33</v>
      </c>
      <c r="B24" s="148" t="s">
        <v>292</v>
      </c>
      <c r="C24" s="20">
        <v>1</v>
      </c>
      <c r="D24" s="20">
        <v>1</v>
      </c>
      <c r="E24" s="20"/>
    </row>
    <row r="25" spans="1:5" x14ac:dyDescent="0.25">
      <c r="A25" s="28">
        <v>35</v>
      </c>
      <c r="B25" s="148" t="s">
        <v>304</v>
      </c>
      <c r="C25" s="20"/>
      <c r="D25" s="20"/>
      <c r="E25" s="20"/>
    </row>
    <row r="26" spans="1:5" x14ac:dyDescent="0.25">
      <c r="A26" s="28">
        <v>36</v>
      </c>
      <c r="B26" s="148" t="s">
        <v>314</v>
      </c>
      <c r="C26" s="20">
        <v>1</v>
      </c>
      <c r="D26" s="20"/>
      <c r="E26" s="20"/>
    </row>
    <row r="27" spans="1:5" x14ac:dyDescent="0.25">
      <c r="A27" s="28">
        <v>39</v>
      </c>
      <c r="B27" s="148" t="s">
        <v>346</v>
      </c>
      <c r="C27" s="20">
        <v>1</v>
      </c>
      <c r="D27" s="20"/>
      <c r="E27" s="20"/>
    </row>
    <row r="28" spans="1:5" x14ac:dyDescent="0.25">
      <c r="A28" s="27">
        <v>40</v>
      </c>
      <c r="B28" s="149" t="s">
        <v>342</v>
      </c>
      <c r="C28" s="20"/>
      <c r="D28" s="20"/>
      <c r="E28" s="20"/>
    </row>
    <row r="29" spans="1:5" x14ac:dyDescent="0.25">
      <c r="A29" s="27">
        <v>41</v>
      </c>
      <c r="B29" s="149" t="s">
        <v>278</v>
      </c>
      <c r="C29" s="20">
        <v>1</v>
      </c>
      <c r="D29" s="20"/>
      <c r="E29" s="20"/>
    </row>
    <row r="30" spans="1:5" x14ac:dyDescent="0.25">
      <c r="A30" s="56">
        <v>43</v>
      </c>
      <c r="B30" s="148" t="s">
        <v>328</v>
      </c>
      <c r="C30" s="20"/>
      <c r="D30" s="20"/>
      <c r="E30" s="20"/>
    </row>
    <row r="31" spans="1:5" x14ac:dyDescent="0.25">
      <c r="A31" s="28">
        <v>44</v>
      </c>
      <c r="B31" s="148" t="s">
        <v>339</v>
      </c>
      <c r="C31" s="20"/>
      <c r="D31" s="20"/>
      <c r="E31" s="20"/>
    </row>
    <row r="32" spans="1:5" x14ac:dyDescent="0.25">
      <c r="A32" s="27">
        <v>46</v>
      </c>
      <c r="B32" s="159" t="s">
        <v>299</v>
      </c>
      <c r="C32" s="20"/>
      <c r="D32" s="20"/>
      <c r="E32" s="20"/>
    </row>
    <row r="33" spans="1:5" x14ac:dyDescent="0.25">
      <c r="A33" s="27">
        <v>49</v>
      </c>
      <c r="B33" s="149" t="s">
        <v>298</v>
      </c>
      <c r="C33" s="20">
        <v>1</v>
      </c>
      <c r="D33" s="20"/>
      <c r="E33" s="20">
        <v>1</v>
      </c>
    </row>
    <row r="34" spans="1:5" x14ac:dyDescent="0.25">
      <c r="A34" s="28">
        <v>53</v>
      </c>
      <c r="B34" s="148" t="s">
        <v>293</v>
      </c>
      <c r="C34" s="20"/>
      <c r="D34" s="20"/>
      <c r="E34" s="20"/>
    </row>
    <row r="35" spans="1:5" x14ac:dyDescent="0.25">
      <c r="A35" s="28">
        <v>55</v>
      </c>
      <c r="B35" s="148" t="s">
        <v>302</v>
      </c>
      <c r="C35" s="20"/>
      <c r="D35" s="20"/>
      <c r="E35" s="20"/>
    </row>
    <row r="36" spans="1:5" x14ac:dyDescent="0.25">
      <c r="A36" s="27">
        <v>56</v>
      </c>
      <c r="B36" s="149" t="s">
        <v>323</v>
      </c>
      <c r="C36" s="20"/>
      <c r="D36" s="20"/>
      <c r="E36" s="20"/>
    </row>
    <row r="37" spans="1:5" x14ac:dyDescent="0.25">
      <c r="A37" s="28">
        <v>71</v>
      </c>
      <c r="B37" s="148" t="s">
        <v>340</v>
      </c>
      <c r="C37" s="20"/>
      <c r="D37" s="20"/>
      <c r="E37" s="20"/>
    </row>
    <row r="38" spans="1:5" x14ac:dyDescent="0.25">
      <c r="A38" s="28">
        <v>89</v>
      </c>
      <c r="B38" s="148" t="s">
        <v>334</v>
      </c>
      <c r="C38" s="20"/>
      <c r="D38" s="20"/>
      <c r="E38" s="20"/>
    </row>
  </sheetData>
  <mergeCells count="1">
    <mergeCell ref="C1:E1"/>
  </mergeCells>
  <conditionalFormatting sqref="C3:E38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3" t="s">
        <v>202</v>
      </c>
      <c r="D1" s="284"/>
      <c r="E1" s="284"/>
      <c r="F1" s="284"/>
      <c r="G1" s="284"/>
      <c r="H1" s="284"/>
      <c r="I1" s="285"/>
      <c r="J1" s="114" t="s">
        <v>195</v>
      </c>
      <c r="K1" s="115" t="s">
        <v>194</v>
      </c>
      <c r="L1" s="277" t="s">
        <v>288</v>
      </c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2"/>
      <c r="AH1" s="277" t="s">
        <v>175</v>
      </c>
      <c r="AI1" s="278"/>
      <c r="AJ1" s="278"/>
      <c r="AK1" s="279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7" t="s">
        <v>175</v>
      </c>
      <c r="L80" s="308"/>
      <c r="M80" s="309"/>
      <c r="O80" s="133"/>
      <c r="P80" s="133"/>
      <c r="W80" s="280"/>
      <c r="X80" s="280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0"/>
      <c r="L81" s="311"/>
      <c r="M81" s="312"/>
      <c r="O81" s="133"/>
      <c r="P81" s="133"/>
      <c r="W81" s="280" t="s">
        <v>209</v>
      </c>
      <c r="X81" s="280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0"/>
      <c r="L82" s="311"/>
      <c r="M82" s="312"/>
      <c r="O82" s="133"/>
      <c r="P82" s="133"/>
      <c r="W82" s="280" t="s">
        <v>210</v>
      </c>
      <c r="X82" s="280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13"/>
      <c r="L83" s="314"/>
      <c r="M83" s="315"/>
      <c r="O83" s="133"/>
      <c r="P83" s="133"/>
      <c r="W83" s="280" t="s">
        <v>211</v>
      </c>
      <c r="X83" s="280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8" t="s">
        <v>285</v>
      </c>
      <c r="L84" s="299"/>
      <c r="M84" s="300"/>
      <c r="O84" s="141"/>
      <c r="P84" s="141"/>
      <c r="W84" s="280" t="s">
        <v>97</v>
      </c>
      <c r="X84" s="280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1"/>
      <c r="L85" s="302"/>
      <c r="M85" s="30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1"/>
      <c r="L86" s="302"/>
      <c r="M86" s="30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1"/>
      <c r="L87" s="302"/>
      <c r="M87" s="30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1"/>
      <c r="L88" s="302"/>
      <c r="M88" s="30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1"/>
      <c r="L89" s="302"/>
      <c r="M89" s="30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1"/>
      <c r="L90" s="302"/>
      <c r="M90" s="30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1"/>
      <c r="L91" s="302"/>
      <c r="M91" s="30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1"/>
      <c r="L92" s="302"/>
      <c r="M92" s="30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1"/>
      <c r="L93" s="302"/>
      <c r="M93" s="30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1"/>
      <c r="L94" s="302"/>
      <c r="M94" s="30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1"/>
      <c r="L95" s="302"/>
      <c r="M95" s="30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1"/>
      <c r="L96" s="302"/>
      <c r="M96" s="30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1"/>
      <c r="L97" s="302"/>
      <c r="M97" s="30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1"/>
      <c r="L98" s="302"/>
      <c r="M98" s="30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1"/>
      <c r="L99" s="302"/>
      <c r="M99" s="30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1"/>
      <c r="L100" s="302"/>
      <c r="M100" s="30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1"/>
      <c r="L101" s="302"/>
      <c r="M101" s="30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1"/>
      <c r="L102" s="302"/>
      <c r="M102" s="30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1"/>
      <c r="L103" s="302"/>
      <c r="M103" s="30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1"/>
      <c r="L104" s="302"/>
      <c r="M104" s="30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4"/>
      <c r="L105" s="305"/>
      <c r="M105" s="30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5" t="s">
        <v>287</v>
      </c>
      <c r="L106" s="296"/>
      <c r="M106" s="29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5" t="s">
        <v>289</v>
      </c>
      <c r="L107" s="296"/>
      <c r="M107" s="297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6" t="s">
        <v>290</v>
      </c>
      <c r="L108" s="287"/>
      <c r="M108" s="288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9"/>
      <c r="L109" s="290"/>
      <c r="M109" s="291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9"/>
      <c r="L110" s="290"/>
      <c r="M110" s="291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9"/>
      <c r="L111" s="290"/>
      <c r="M111" s="291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9"/>
      <c r="L112" s="290"/>
      <c r="M112" s="291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92"/>
      <c r="L113" s="293"/>
      <c r="M113" s="294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16" t="s">
        <v>407</v>
      </c>
      <c r="B1" s="316"/>
      <c r="C1" s="316"/>
      <c r="D1" s="316"/>
      <c r="E1" s="316"/>
      <c r="F1" s="316" t="s">
        <v>408</v>
      </c>
      <c r="G1" s="316"/>
      <c r="H1" s="316"/>
      <c r="I1" s="316"/>
      <c r="J1" s="316"/>
    </row>
    <row r="2" spans="1:21" x14ac:dyDescent="0.25">
      <c r="A2" s="316"/>
      <c r="B2" s="316"/>
      <c r="C2" s="316"/>
      <c r="D2" s="316"/>
      <c r="E2" s="316"/>
      <c r="F2" s="316"/>
      <c r="G2" s="316"/>
      <c r="H2" s="316"/>
      <c r="I2" s="316"/>
      <c r="J2" s="316"/>
      <c r="L2" t="s">
        <v>411</v>
      </c>
      <c r="M2" t="s">
        <v>412</v>
      </c>
      <c r="N2" t="s">
        <v>413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414</v>
      </c>
    </row>
    <row r="3" spans="1:21" x14ac:dyDescent="0.25">
      <c r="A3" t="s">
        <v>400</v>
      </c>
      <c r="B3" t="s">
        <v>401</v>
      </c>
      <c r="C3" t="s">
        <v>402</v>
      </c>
      <c r="D3" t="s">
        <v>403</v>
      </c>
      <c r="E3" t="s">
        <v>404</v>
      </c>
      <c r="F3" t="s">
        <v>400</v>
      </c>
      <c r="G3" t="s">
        <v>409</v>
      </c>
      <c r="H3" t="s">
        <v>402</v>
      </c>
      <c r="I3" t="s">
        <v>403</v>
      </c>
      <c r="J3" t="s">
        <v>404</v>
      </c>
      <c r="L3">
        <v>1</v>
      </c>
      <c r="M3" t="s">
        <v>410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442</v>
      </c>
      <c r="B4" s="194">
        <v>0.72916666666666663</v>
      </c>
      <c r="C4" t="s">
        <v>4</v>
      </c>
      <c r="D4" t="s">
        <v>420</v>
      </c>
      <c r="E4" t="s">
        <v>405</v>
      </c>
      <c r="F4" t="s">
        <v>436</v>
      </c>
      <c r="G4" s="194" t="s">
        <v>441</v>
      </c>
      <c r="H4" t="s">
        <v>4</v>
      </c>
      <c r="I4" t="s">
        <v>416</v>
      </c>
      <c r="J4" t="s">
        <v>437</v>
      </c>
      <c r="L4">
        <v>2</v>
      </c>
      <c r="M4" t="s">
        <v>415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424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420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418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429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422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426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419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428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431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425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434</v>
      </c>
      <c r="U14" s="195">
        <v>3</v>
      </c>
    </row>
    <row r="15" spans="1:21" x14ac:dyDescent="0.25">
      <c r="L15">
        <v>13</v>
      </c>
      <c r="M15" t="s">
        <v>427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417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433</v>
      </c>
      <c r="U16" s="195">
        <v>1</v>
      </c>
    </row>
    <row r="17" spans="12:21" x14ac:dyDescent="0.25">
      <c r="L17">
        <v>15</v>
      </c>
      <c r="M17" t="s">
        <v>430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433</v>
      </c>
      <c r="U17" s="195">
        <v>1</v>
      </c>
    </row>
    <row r="18" spans="12:21" x14ac:dyDescent="0.25">
      <c r="L18">
        <v>16</v>
      </c>
      <c r="M18" t="s">
        <v>423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434</v>
      </c>
      <c r="U18" s="195">
        <v>0</v>
      </c>
    </row>
    <row r="19" spans="12:21" x14ac:dyDescent="0.25">
      <c r="L19">
        <v>17</v>
      </c>
      <c r="M19" t="s">
        <v>406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435</v>
      </c>
      <c r="U19" s="195">
        <v>0</v>
      </c>
    </row>
    <row r="20" spans="12:21" x14ac:dyDescent="0.25">
      <c r="L20">
        <v>18</v>
      </c>
      <c r="M20" t="s">
        <v>421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440</v>
      </c>
      <c r="U20" s="195">
        <v>0</v>
      </c>
    </row>
    <row r="21" spans="12:21" x14ac:dyDescent="0.25">
      <c r="L21">
        <v>19</v>
      </c>
      <c r="M21" t="s">
        <v>416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440</v>
      </c>
      <c r="U21" s="195">
        <v>0</v>
      </c>
    </row>
    <row r="22" spans="12:21" x14ac:dyDescent="0.25">
      <c r="L22">
        <v>20</v>
      </c>
      <c r="M22" t="s">
        <v>432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440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12" t="s">
        <v>46</v>
      </c>
      <c r="B1" s="317"/>
      <c r="C1" s="318" t="s">
        <v>44</v>
      </c>
      <c r="D1" s="215"/>
      <c r="E1" s="319"/>
      <c r="H1" s="212" t="s">
        <v>47</v>
      </c>
      <c r="I1" s="317"/>
      <c r="J1" s="318" t="s">
        <v>44</v>
      </c>
      <c r="K1" s="215"/>
      <c r="L1" s="31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2026-09-01T12:45:17Z</dcterms:modified>
</cp:coreProperties>
</file>