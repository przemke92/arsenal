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036" documentId="13_ncr:1_{662DAA9A-C5C7-8346-85AE-B86E329139C8}" xr6:coauthVersionLast="47" xr6:coauthVersionMax="47" xr10:uidLastSave="{E33B02CA-D0DD-4BF8-AA58-CB4A87D8514E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26-27'!$A$3:$S$19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(CS)'!$A$2:$D$18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" i="21" l="1"/>
  <c r="AE83" i="21"/>
  <c r="AC83" i="21"/>
  <c r="I114" i="21"/>
  <c r="J114" i="21" s="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BD21" i="10" s="1"/>
  <c r="BG21" i="10" s="1"/>
  <c r="R19" i="1" s="1"/>
  <c r="Q19" i="30"/>
  <c r="BE21" i="10" s="1"/>
  <c r="BH21" i="10" s="1"/>
  <c r="S19" i="1" s="1"/>
  <c r="O20" i="30"/>
  <c r="BC22" i="10" s="1"/>
  <c r="BF22" i="10" s="1"/>
  <c r="Q20" i="1" s="1"/>
  <c r="P20" i="30"/>
  <c r="Q20" i="30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BE24" i="10" s="1"/>
  <c r="BH24" i="10" s="1"/>
  <c r="S22" i="1" s="1"/>
  <c r="O23" i="30"/>
  <c r="BC25" i="10" s="1"/>
  <c r="BF25" i="10" s="1"/>
  <c r="Q23" i="1" s="1"/>
  <c r="P23" i="30"/>
  <c r="BD25" i="10" s="1"/>
  <c r="BG25" i="10" s="1"/>
  <c r="R23" i="1" s="1"/>
  <c r="Q23" i="30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BD27" i="10" s="1"/>
  <c r="BG27" i="10" s="1"/>
  <c r="R25" i="1" s="1"/>
  <c r="Q25" i="30"/>
  <c r="BE27" i="10" s="1"/>
  <c r="BH27" i="10" s="1"/>
  <c r="S25" i="1" s="1"/>
  <c r="O26" i="30"/>
  <c r="BC28" i="10" s="1"/>
  <c r="BF28" i="10" s="1"/>
  <c r="Q26" i="1" s="1"/>
  <c r="P26" i="30"/>
  <c r="Q26" i="30"/>
  <c r="O27" i="30"/>
  <c r="BC29" i="10" s="1"/>
  <c r="BF29" i="10" s="1"/>
  <c r="Q27" i="1" s="1"/>
  <c r="P27" i="30"/>
  <c r="Q27" i="30"/>
  <c r="O29" i="30"/>
  <c r="BC31" i="10" s="1"/>
  <c r="BF31" i="10" s="1"/>
  <c r="Q29" i="1" s="1"/>
  <c r="P29" i="30"/>
  <c r="BD31" i="10" s="1"/>
  <c r="BG31" i="10" s="1"/>
  <c r="R29" i="1" s="1"/>
  <c r="Q29" i="30"/>
  <c r="BE31" i="10" s="1"/>
  <c r="BH31" i="10" s="1"/>
  <c r="S29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33" i="30"/>
  <c r="BC35" i="10" s="1"/>
  <c r="BF35" i="10" s="1"/>
  <c r="Q33" i="1" s="1"/>
  <c r="P33" i="30"/>
  <c r="BD35" i="10" s="1"/>
  <c r="BG35" i="10" s="1"/>
  <c r="R33" i="1" s="1"/>
  <c r="Q33" i="30"/>
  <c r="BE35" i="10" s="1"/>
  <c r="BH35" i="10" s="1"/>
  <c r="S33" i="1" s="1"/>
  <c r="O28" i="30"/>
  <c r="BC30" i="10" s="1"/>
  <c r="BF30" i="10" s="1"/>
  <c r="Q28" i="1" s="1"/>
  <c r="P28" i="30"/>
  <c r="BD30" i="10" s="1"/>
  <c r="BG30" i="10" s="1"/>
  <c r="R28" i="1" s="1"/>
  <c r="Q28" i="30"/>
  <c r="O34" i="30"/>
  <c r="BC36" i="10" s="1"/>
  <c r="BF36" i="10" s="1"/>
  <c r="Q34" i="1" s="1"/>
  <c r="P34" i="30"/>
  <c r="BD36" i="10" s="1"/>
  <c r="BG36" i="10" s="1"/>
  <c r="R34" i="1" s="1"/>
  <c r="Q34" i="30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0" i="30"/>
  <c r="P30" i="30"/>
  <c r="BD32" i="10" s="1"/>
  <c r="BG32" i="10" s="1"/>
  <c r="R30" i="1" s="1"/>
  <c r="Q30" i="30"/>
  <c r="O31" i="30"/>
  <c r="P31" i="30"/>
  <c r="BD33" i="10" s="1"/>
  <c r="BG33" i="10" s="1"/>
  <c r="R31" i="1" s="1"/>
  <c r="Q31" i="30"/>
  <c r="BE33" i="10" s="1"/>
  <c r="BH33" i="10" s="1"/>
  <c r="S31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8" i="30"/>
  <c r="BC40" i="10" s="1"/>
  <c r="BF40" i="10" s="1"/>
  <c r="Q38" i="1" s="1"/>
  <c r="P38" i="30"/>
  <c r="BD40" i="10" s="1"/>
  <c r="BG40" i="10" s="1"/>
  <c r="R38" i="1" s="1"/>
  <c r="Q38" i="30"/>
  <c r="BE40" i="10" s="1"/>
  <c r="BH40" i="10" s="1"/>
  <c r="S38" i="1" s="1"/>
  <c r="O35" i="30"/>
  <c r="P35" i="30"/>
  <c r="BD37" i="10" s="1"/>
  <c r="BG37" i="10" s="1"/>
  <c r="R35" i="1" s="1"/>
  <c r="Q35" i="30"/>
  <c r="BE37" i="10" s="1"/>
  <c r="BH37" i="10" s="1"/>
  <c r="S35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7" i="7"/>
  <c r="L27" i="30" s="1"/>
  <c r="AQ29" i="10" s="1"/>
  <c r="AT29" i="10" s="1"/>
  <c r="N27" i="1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28" i="7"/>
  <c r="L28" i="30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4" i="7"/>
  <c r="L34" i="30" s="1"/>
  <c r="AQ36" i="10" s="1"/>
  <c r="AT36" i="10" s="1"/>
  <c r="N34" i="1" s="1"/>
  <c r="D34" i="7"/>
  <c r="M34" i="30" s="1"/>
  <c r="AR36" i="10" s="1"/>
  <c r="AU36" i="10" s="1"/>
  <c r="O34" i="1" s="1"/>
  <c r="E34" i="7"/>
  <c r="N34" i="30" s="1"/>
  <c r="AS36" i="10" s="1"/>
  <c r="AV36" i="10" s="1"/>
  <c r="P34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8" i="7"/>
  <c r="L38" i="30" s="1"/>
  <c r="AQ40" i="10" s="1"/>
  <c r="AT40" i="10" s="1"/>
  <c r="N38" i="1" s="1"/>
  <c r="D38" i="7"/>
  <c r="M38" i="30" s="1"/>
  <c r="AR40" i="10" s="1"/>
  <c r="AU40" i="10" s="1"/>
  <c r="O38" i="1" s="1"/>
  <c r="E38" i="7"/>
  <c r="N38" i="30" s="1"/>
  <c r="AS40" i="10" s="1"/>
  <c r="AV40" i="10" s="1"/>
  <c r="P38" i="1" s="1"/>
  <c r="C35" i="7"/>
  <c r="L35" i="30" s="1"/>
  <c r="AQ37" i="10" s="1"/>
  <c r="AT37" i="10" s="1"/>
  <c r="N35" i="1" s="1"/>
  <c r="D35" i="7"/>
  <c r="M35" i="30" s="1"/>
  <c r="E35" i="7"/>
  <c r="N35" i="30" s="1"/>
  <c r="AS37" i="10" s="1"/>
  <c r="AV37" i="10" s="1"/>
  <c r="P35" i="1" s="1"/>
  <c r="E4" i="7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E16" i="7"/>
  <c r="N16" i="30" s="1"/>
  <c r="AS18" i="10" s="1"/>
  <c r="AV18" i="10" s="1"/>
  <c r="P16" i="1" s="1"/>
  <c r="D5" i="7"/>
  <c r="M5" i="30" s="1"/>
  <c r="AR7" i="10" s="1"/>
  <c r="AU7" i="10" s="1"/>
  <c r="O5" i="1" s="1"/>
  <c r="D4" i="7"/>
  <c r="N4" i="30"/>
  <c r="AS6" i="10" s="1"/>
  <c r="AV6" i="10" s="1"/>
  <c r="P4" i="1" s="1"/>
  <c r="E35" i="8"/>
  <c r="K35" i="30" s="1"/>
  <c r="AG37" i="10" s="1"/>
  <c r="AJ37" i="10" s="1"/>
  <c r="M35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K13" i="30" s="1"/>
  <c r="AG15" i="10" s="1"/>
  <c r="AJ15" i="10" s="1"/>
  <c r="M13" i="1" s="1"/>
  <c r="C14" i="8"/>
  <c r="I14" i="30" s="1"/>
  <c r="AE16" i="10" s="1"/>
  <c r="AH16" i="10" s="1"/>
  <c r="K14" i="1" s="1"/>
  <c r="D14" i="8"/>
  <c r="J14" i="30" s="1"/>
  <c r="AF16" i="10" s="1"/>
  <c r="AI16" i="10" s="1"/>
  <c r="L14" i="1" s="1"/>
  <c r="E14" i="8"/>
  <c r="C15" i="8"/>
  <c r="D15" i="8"/>
  <c r="J15" i="30" s="1"/>
  <c r="AF17" i="10" s="1"/>
  <c r="AI17" i="10" s="1"/>
  <c r="L15" i="1" s="1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AF19" i="10" s="1"/>
  <c r="AI19" i="10" s="1"/>
  <c r="L17" i="1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7" i="8"/>
  <c r="I27" i="30" s="1"/>
  <c r="AE29" i="10" s="1"/>
  <c r="AH29" i="10" s="1"/>
  <c r="K27" i="1" s="1"/>
  <c r="D27" i="8"/>
  <c r="J27" i="30" s="1"/>
  <c r="AF29" i="10" s="1"/>
  <c r="AI29" i="10" s="1"/>
  <c r="L27" i="1" s="1"/>
  <c r="E27" i="8"/>
  <c r="K27" i="30" s="1"/>
  <c r="AG29" i="10" s="1"/>
  <c r="AJ29" i="10" s="1"/>
  <c r="M27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28" i="8"/>
  <c r="I28" i="30" s="1"/>
  <c r="AE30" i="10" s="1"/>
  <c r="AH30" i="10" s="1"/>
  <c r="K28" i="1" s="1"/>
  <c r="D28" i="8"/>
  <c r="J28" i="30" s="1"/>
  <c r="E28" i="8"/>
  <c r="K28" i="30" s="1"/>
  <c r="AG30" i="10" s="1"/>
  <c r="AJ30" i="10" s="1"/>
  <c r="M28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E34" i="8"/>
  <c r="K34" i="30" s="1"/>
  <c r="AG36" i="10" s="1"/>
  <c r="AJ36" i="10" s="1"/>
  <c r="M34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C38" i="8"/>
  <c r="I38" i="30" s="1"/>
  <c r="AE40" i="10" s="1"/>
  <c r="AH40" i="10" s="1"/>
  <c r="K38" i="1" s="1"/>
  <c r="D38" i="8"/>
  <c r="J38" i="30" s="1"/>
  <c r="AF40" i="10" s="1"/>
  <c r="AI40" i="10" s="1"/>
  <c r="L38" i="1" s="1"/>
  <c r="E38" i="8"/>
  <c r="K38" i="30" s="1"/>
  <c r="AG40" i="10" s="1"/>
  <c r="AJ40" i="10" s="1"/>
  <c r="M38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8" i="9"/>
  <c r="F38" i="30" s="1"/>
  <c r="S40" i="10" s="1"/>
  <c r="V40" i="10" s="1"/>
  <c r="H38" i="1" s="1"/>
  <c r="D38" i="9"/>
  <c r="G38" i="30" s="1"/>
  <c r="T40" i="10" s="1"/>
  <c r="W40" i="10" s="1"/>
  <c r="I38" i="1" s="1"/>
  <c r="E38" i="9"/>
  <c r="H38" i="30" s="1"/>
  <c r="U40" i="10" s="1"/>
  <c r="X40" i="10" s="1"/>
  <c r="J38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17" i="5"/>
  <c r="C17" i="30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G20" i="10" s="1"/>
  <c r="J20" i="10" s="1"/>
  <c r="E18" i="1" s="1"/>
  <c r="D18" i="5"/>
  <c r="D18" i="30" s="1"/>
  <c r="H20" i="10" s="1"/>
  <c r="K20" i="10" s="1"/>
  <c r="F18" i="1" s="1"/>
  <c r="E18" i="5"/>
  <c r="E18" i="30" s="1"/>
  <c r="I20" i="10" s="1"/>
  <c r="L20" i="10" s="1"/>
  <c r="G18" i="1" s="1"/>
  <c r="C19" i="5"/>
  <c r="C19" i="30" s="1"/>
  <c r="D19" i="5"/>
  <c r="D19" i="30" s="1"/>
  <c r="E19" i="5"/>
  <c r="E19" i="30" s="1"/>
  <c r="I21" i="10" s="1"/>
  <c r="L21" i="10" s="1"/>
  <c r="G19" i="1" s="1"/>
  <c r="C20" i="5"/>
  <c r="C20" i="30" s="1"/>
  <c r="G22" i="10" s="1"/>
  <c r="J22" i="10" s="1"/>
  <c r="E20" i="1" s="1"/>
  <c r="D20" i="5"/>
  <c r="D20" i="30" s="1"/>
  <c r="H22" i="10" s="1"/>
  <c r="K22" i="10" s="1"/>
  <c r="F20" i="1" s="1"/>
  <c r="E20" i="5"/>
  <c r="E20" i="30" s="1"/>
  <c r="I22" i="10" s="1"/>
  <c r="L22" i="10" s="1"/>
  <c r="G20" i="1" s="1"/>
  <c r="C21" i="5"/>
  <c r="C21" i="30" s="1"/>
  <c r="D21" i="5"/>
  <c r="D21" i="30" s="1"/>
  <c r="E21" i="5"/>
  <c r="E21" i="30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G25" i="10" s="1"/>
  <c r="J25" i="10" s="1"/>
  <c r="E23" i="1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E24" i="5"/>
  <c r="E24" i="30" s="1"/>
  <c r="I26" i="10" s="1"/>
  <c r="L26" i="10" s="1"/>
  <c r="G24" i="1" s="1"/>
  <c r="C25" i="5"/>
  <c r="C25" i="30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29" i="5"/>
  <c r="C29" i="30" s="1"/>
  <c r="D29" i="5"/>
  <c r="D29" i="30" s="1"/>
  <c r="H31" i="10" s="1"/>
  <c r="K31" i="10" s="1"/>
  <c r="F29" i="1" s="1"/>
  <c r="E29" i="5"/>
  <c r="E29" i="30" s="1"/>
  <c r="C32" i="5"/>
  <c r="C32" i="30" s="1"/>
  <c r="G34" i="10" s="1"/>
  <c r="J34" i="10" s="1"/>
  <c r="E32" i="1" s="1"/>
  <c r="D32" i="5"/>
  <c r="D32" i="30" s="1"/>
  <c r="E32" i="5"/>
  <c r="E32" i="30" s="1"/>
  <c r="I34" i="10" s="1"/>
  <c r="L34" i="10" s="1"/>
  <c r="G32" i="1" s="1"/>
  <c r="C33" i="5"/>
  <c r="C33" i="30" s="1"/>
  <c r="G35" i="10" s="1"/>
  <c r="J35" i="10" s="1"/>
  <c r="E33" i="1" s="1"/>
  <c r="D33" i="5"/>
  <c r="D33" i="30" s="1"/>
  <c r="H35" i="10" s="1"/>
  <c r="K35" i="10" s="1"/>
  <c r="F33" i="1" s="1"/>
  <c r="E33" i="5"/>
  <c r="E33" i="30" s="1"/>
  <c r="I35" i="10" s="1"/>
  <c r="L35" i="10" s="1"/>
  <c r="G33" i="1" s="1"/>
  <c r="C28" i="5"/>
  <c r="C28" i="30" s="1"/>
  <c r="G30" i="10" s="1"/>
  <c r="J30" i="10" s="1"/>
  <c r="E28" i="1" s="1"/>
  <c r="D28" i="5"/>
  <c r="D28" i="30" s="1"/>
  <c r="H30" i="10" s="1"/>
  <c r="K30" i="10" s="1"/>
  <c r="F28" i="1" s="1"/>
  <c r="E28" i="5"/>
  <c r="E28" i="30" s="1"/>
  <c r="I30" i="10" s="1"/>
  <c r="L30" i="10" s="1"/>
  <c r="G28" i="1" s="1"/>
  <c r="C34" i="5"/>
  <c r="C34" i="30" s="1"/>
  <c r="D34" i="5"/>
  <c r="D34" i="30" s="1"/>
  <c r="E34" i="5"/>
  <c r="E34" i="30" s="1"/>
  <c r="I36" i="10" s="1"/>
  <c r="L36" i="10" s="1"/>
  <c r="G34" i="1" s="1"/>
  <c r="C36" i="5"/>
  <c r="C36" i="30" s="1"/>
  <c r="G38" i="10" s="1"/>
  <c r="J38" i="10" s="1"/>
  <c r="E36" i="1" s="1"/>
  <c r="D36" i="5"/>
  <c r="D36" i="30" s="1"/>
  <c r="H38" i="10" s="1"/>
  <c r="K38" i="10" s="1"/>
  <c r="F36" i="1" s="1"/>
  <c r="E36" i="5"/>
  <c r="E36" i="30" s="1"/>
  <c r="I38" i="10" s="1"/>
  <c r="L38" i="10" s="1"/>
  <c r="G36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1" i="5"/>
  <c r="C31" i="30" s="1"/>
  <c r="G33" i="10" s="1"/>
  <c r="J33" i="10" s="1"/>
  <c r="E31" i="1" s="1"/>
  <c r="D31" i="5"/>
  <c r="D31" i="30" s="1"/>
  <c r="H33" i="10" s="1"/>
  <c r="K33" i="10" s="1"/>
  <c r="F31" i="1" s="1"/>
  <c r="E31" i="5"/>
  <c r="E31" i="30" s="1"/>
  <c r="I33" i="10" s="1"/>
  <c r="L33" i="10" s="1"/>
  <c r="G31" i="1" s="1"/>
  <c r="C37" i="5"/>
  <c r="C37" i="30" s="1"/>
  <c r="D37" i="5"/>
  <c r="D37" i="30" s="1"/>
  <c r="E37" i="5"/>
  <c r="E37" i="30" s="1"/>
  <c r="C38" i="5"/>
  <c r="C38" i="30" s="1"/>
  <c r="G40" i="10" s="1"/>
  <c r="J40" i="10" s="1"/>
  <c r="E38" i="1" s="1"/>
  <c r="D38" i="5"/>
  <c r="D38" i="30" s="1"/>
  <c r="H40" i="10" s="1"/>
  <c r="K40" i="10" s="1"/>
  <c r="F38" i="1" s="1"/>
  <c r="E38" i="5"/>
  <c r="E38" i="30" s="1"/>
  <c r="I40" i="10" s="1"/>
  <c r="L40" i="10" s="1"/>
  <c r="G38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K14" i="30"/>
  <c r="AG16" i="10" s="1"/>
  <c r="AJ16" i="10" s="1"/>
  <c r="M14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6" i="7"/>
  <c r="M16" i="30" s="1"/>
  <c r="AR18" i="10" s="1"/>
  <c r="AU18" i="10" s="1"/>
  <c r="O16" i="1" s="1"/>
  <c r="C16" i="7"/>
  <c r="L16" i="30" s="1"/>
  <c r="AQ18" i="10" s="1"/>
  <c r="AT18" i="10" s="1"/>
  <c r="N16" i="1" s="1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S16" i="10" s="1"/>
  <c r="V16" i="10" s="1"/>
  <c r="H14" i="1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H16" i="10" s="1"/>
  <c r="K16" i="10" s="1"/>
  <c r="F14" i="1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E15" i="5"/>
  <c r="E15" i="30" s="1"/>
  <c r="I17" i="10" s="1"/>
  <c r="L17" i="10" s="1"/>
  <c r="G15" i="1" s="1"/>
  <c r="C16" i="5"/>
  <c r="C16" i="30" s="1"/>
  <c r="G18" i="10" s="1"/>
  <c r="J18" i="10" s="1"/>
  <c r="E16" i="1" s="1"/>
  <c r="D16" i="5"/>
  <c r="D16" i="30" s="1"/>
  <c r="H18" i="10" s="1"/>
  <c r="K18" i="10" s="1"/>
  <c r="F16" i="1" s="1"/>
  <c r="E16" i="5"/>
  <c r="E16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AE8" i="10" s="1"/>
  <c r="AH8" i="10" s="1"/>
  <c r="K6" i="1" s="1"/>
  <c r="J10" i="30"/>
  <c r="AF12" i="10" s="1"/>
  <c r="AI12" i="10" s="1"/>
  <c r="L10" i="1" s="1"/>
  <c r="I15" i="30"/>
  <c r="AE17" i="10" s="1"/>
  <c r="AH17" i="10" s="1"/>
  <c r="K15" i="1" s="1"/>
  <c r="J16" i="30"/>
  <c r="AF18" i="10" s="1"/>
  <c r="AI18" i="10" s="1"/>
  <c r="L16" i="1" s="1"/>
  <c r="D114" i="21" l="1"/>
  <c r="T37" i="30"/>
  <c r="S37" i="30"/>
  <c r="R34" i="30"/>
  <c r="R17" i="30"/>
  <c r="S21" i="30"/>
  <c r="V33" i="1"/>
  <c r="R28" i="30"/>
  <c r="S19" i="30"/>
  <c r="S38" i="30"/>
  <c r="S22" i="30"/>
  <c r="U31" i="1"/>
  <c r="T21" i="30"/>
  <c r="S34" i="30"/>
  <c r="T36" i="30"/>
  <c r="R36" i="30"/>
  <c r="R35" i="30"/>
  <c r="T34" i="30"/>
  <c r="R37" i="30"/>
  <c r="S32" i="30"/>
  <c r="I31" i="10"/>
  <c r="L31" i="10" s="1"/>
  <c r="G29" i="1" s="1"/>
  <c r="V29" i="1" s="1"/>
  <c r="T29" i="30"/>
  <c r="H25" i="10"/>
  <c r="K25" i="10" s="1"/>
  <c r="F23" i="1" s="1"/>
  <c r="U23" i="1" s="1"/>
  <c r="S23" i="30"/>
  <c r="R19" i="30"/>
  <c r="G21" i="10"/>
  <c r="J21" i="10" s="1"/>
  <c r="E19" i="1" s="1"/>
  <c r="T19" i="1" s="1"/>
  <c r="R25" i="30"/>
  <c r="G27" i="10"/>
  <c r="J27" i="10" s="1"/>
  <c r="E25" i="1" s="1"/>
  <c r="T25" i="1" s="1"/>
  <c r="I37" i="10"/>
  <c r="L37" i="10" s="1"/>
  <c r="G35" i="1" s="1"/>
  <c r="V35" i="1" s="1"/>
  <c r="T35" i="30"/>
  <c r="S35" i="30"/>
  <c r="S18" i="30"/>
  <c r="H34" i="10"/>
  <c r="K34" i="10" s="1"/>
  <c r="F32" i="1" s="1"/>
  <c r="U32" i="1" s="1"/>
  <c r="S28" i="30"/>
  <c r="R31" i="30"/>
  <c r="I39" i="10"/>
  <c r="L39" i="10" s="1"/>
  <c r="G37" i="1" s="1"/>
  <c r="V37" i="1" s="1"/>
  <c r="T36" i="1"/>
  <c r="V36" i="1"/>
  <c r="U36" i="1"/>
  <c r="T23" i="1"/>
  <c r="V19" i="1"/>
  <c r="V25" i="1"/>
  <c r="V22" i="1"/>
  <c r="V38" i="1"/>
  <c r="T38" i="30"/>
  <c r="R30" i="30"/>
  <c r="T27" i="30"/>
  <c r="R23" i="30"/>
  <c r="S17" i="30"/>
  <c r="H39" i="10"/>
  <c r="K39" i="10" s="1"/>
  <c r="F37" i="1" s="1"/>
  <c r="U37" i="1" s="1"/>
  <c r="H36" i="10"/>
  <c r="K36" i="10" s="1"/>
  <c r="F34" i="1" s="1"/>
  <c r="U34" i="1" s="1"/>
  <c r="H24" i="10"/>
  <c r="K24" i="10" s="1"/>
  <c r="F22" i="1" s="1"/>
  <c r="U22" i="1" s="1"/>
  <c r="BC32" i="10"/>
  <c r="BF32" i="10" s="1"/>
  <c r="Q30" i="1" s="1"/>
  <c r="T30" i="1" s="1"/>
  <c r="BE29" i="10"/>
  <c r="BH29" i="10" s="1"/>
  <c r="S27" i="1" s="1"/>
  <c r="V27" i="1" s="1"/>
  <c r="T33" i="30"/>
  <c r="S27" i="30"/>
  <c r="T23" i="30"/>
  <c r="T17" i="30"/>
  <c r="G39" i="10"/>
  <c r="J39" i="10" s="1"/>
  <c r="E37" i="1" s="1"/>
  <c r="T37" i="1" s="1"/>
  <c r="G36" i="10"/>
  <c r="J36" i="10" s="1"/>
  <c r="E34" i="1" s="1"/>
  <c r="T34" i="1" s="1"/>
  <c r="BD29" i="10"/>
  <c r="BG29" i="10" s="1"/>
  <c r="R27" i="1" s="1"/>
  <c r="U27" i="1" s="1"/>
  <c r="S36" i="30"/>
  <c r="S33" i="30"/>
  <c r="AQ30" i="10"/>
  <c r="AT30" i="10" s="1"/>
  <c r="N28" i="1" s="1"/>
  <c r="T28" i="1" s="1"/>
  <c r="T26" i="30"/>
  <c r="T20" i="30"/>
  <c r="H21" i="10"/>
  <c r="K21" i="10" s="1"/>
  <c r="F19" i="1" s="1"/>
  <c r="U19" i="1" s="1"/>
  <c r="AR37" i="10"/>
  <c r="AU37" i="10" s="1"/>
  <c r="O35" i="1" s="1"/>
  <c r="U35" i="1" s="1"/>
  <c r="R38" i="30"/>
  <c r="S26" i="30"/>
  <c r="T22" i="30"/>
  <c r="S20" i="30"/>
  <c r="BE28" i="10"/>
  <c r="BH28" i="10" s="1"/>
  <c r="S26" i="1" s="1"/>
  <c r="V26" i="1" s="1"/>
  <c r="BE25" i="10"/>
  <c r="BH25" i="10" s="1"/>
  <c r="S23" i="1" s="1"/>
  <c r="V23" i="1" s="1"/>
  <c r="T32" i="30"/>
  <c r="T25" i="30"/>
  <c r="T19" i="30"/>
  <c r="BD28" i="10"/>
  <c r="BG28" i="10" s="1"/>
  <c r="R26" i="1" s="1"/>
  <c r="U26" i="1" s="1"/>
  <c r="S25" i="30"/>
  <c r="I23" i="10"/>
  <c r="L23" i="10" s="1"/>
  <c r="G21" i="1" s="1"/>
  <c r="V21" i="1" s="1"/>
  <c r="BE22" i="10"/>
  <c r="BH22" i="10" s="1"/>
  <c r="S20" i="1" s="1"/>
  <c r="V20" i="1" s="1"/>
  <c r="H23" i="10"/>
  <c r="K23" i="10" s="1"/>
  <c r="F21" i="1" s="1"/>
  <c r="U21" i="1" s="1"/>
  <c r="AF30" i="10"/>
  <c r="AI30" i="10" s="1"/>
  <c r="L28" i="1" s="1"/>
  <c r="U28" i="1" s="1"/>
  <c r="BD22" i="10"/>
  <c r="BG22" i="10" s="1"/>
  <c r="R20" i="1" s="1"/>
  <c r="U20" i="1" s="1"/>
  <c r="AF20" i="10"/>
  <c r="AI20" i="10" s="1"/>
  <c r="L18" i="1" s="1"/>
  <c r="U18" i="1" s="1"/>
  <c r="BE36" i="10"/>
  <c r="BH36" i="10" s="1"/>
  <c r="S34" i="1" s="1"/>
  <c r="V34" i="1" s="1"/>
  <c r="BC33" i="10"/>
  <c r="BF33" i="10" s="1"/>
  <c r="Q31" i="1" s="1"/>
  <c r="T31" i="1" s="1"/>
  <c r="S31" i="30"/>
  <c r="S29" i="30"/>
  <c r="T30" i="30"/>
  <c r="T28" i="30"/>
  <c r="BC37" i="10"/>
  <c r="BF37" i="10" s="1"/>
  <c r="Q35" i="1" s="1"/>
  <c r="T35" i="1" s="1"/>
  <c r="BE32" i="10"/>
  <c r="BH32" i="10" s="1"/>
  <c r="S30" i="1" s="1"/>
  <c r="V30" i="1" s="1"/>
  <c r="BE30" i="10"/>
  <c r="BH30" i="10" s="1"/>
  <c r="S28" i="1" s="1"/>
  <c r="V28" i="1" s="1"/>
  <c r="T32" i="1"/>
  <c r="T27" i="1"/>
  <c r="T22" i="1"/>
  <c r="U25" i="1"/>
  <c r="V17" i="1"/>
  <c r="U17" i="1"/>
  <c r="U38" i="1"/>
  <c r="V32" i="1"/>
  <c r="U29" i="1"/>
  <c r="V18" i="1"/>
  <c r="T26" i="1"/>
  <c r="T38" i="1"/>
  <c r="U30" i="1"/>
  <c r="T33" i="1"/>
  <c r="V24" i="1"/>
  <c r="V31" i="1"/>
  <c r="U33" i="1"/>
  <c r="T20" i="1"/>
  <c r="R27" i="30"/>
  <c r="R26" i="30"/>
  <c r="G23" i="10"/>
  <c r="J23" i="10" s="1"/>
  <c r="E21" i="1" s="1"/>
  <c r="T21" i="1" s="1"/>
  <c r="R21" i="30"/>
  <c r="G19" i="10"/>
  <c r="J19" i="10" s="1"/>
  <c r="E17" i="1" s="1"/>
  <c r="T17" i="1" s="1"/>
  <c r="T24" i="30"/>
  <c r="H26" i="10"/>
  <c r="K26" i="10" s="1"/>
  <c r="F24" i="1" s="1"/>
  <c r="U24" i="1" s="1"/>
  <c r="S24" i="30"/>
  <c r="R18" i="30"/>
  <c r="T18" i="1"/>
  <c r="R29" i="30"/>
  <c r="G31" i="10"/>
  <c r="J31" i="10" s="1"/>
  <c r="E29" i="1" s="1"/>
  <c r="T29" i="1" s="1"/>
  <c r="R24" i="30"/>
  <c r="G26" i="10"/>
  <c r="J26" i="10" s="1"/>
  <c r="E24" i="1" s="1"/>
  <c r="T24" i="1" s="1"/>
  <c r="T31" i="30"/>
  <c r="R33" i="30"/>
  <c r="R22" i="30"/>
  <c r="R20" i="30"/>
  <c r="T18" i="30"/>
  <c r="R32" i="30"/>
  <c r="S30" i="30"/>
  <c r="S17" i="10"/>
  <c r="V17" i="10" s="1"/>
  <c r="H15" i="1" s="1"/>
  <c r="T15" i="1" s="1"/>
  <c r="R15" i="30"/>
  <c r="U9" i="1"/>
  <c r="V15" i="1"/>
  <c r="U13" i="1"/>
  <c r="T9" i="1"/>
  <c r="S15" i="30"/>
  <c r="T16" i="1"/>
  <c r="T8" i="30"/>
  <c r="T13" i="1"/>
  <c r="U12" i="1"/>
  <c r="U14" i="1"/>
  <c r="T5" i="1"/>
  <c r="T12" i="1"/>
  <c r="T4" i="30"/>
  <c r="T15" i="30"/>
  <c r="T14" i="1"/>
  <c r="U16" i="1"/>
  <c r="V6" i="1"/>
  <c r="T9" i="30"/>
  <c r="U7" i="1"/>
  <c r="U11" i="1"/>
  <c r="T14" i="30"/>
  <c r="T7" i="1"/>
  <c r="U6" i="1"/>
  <c r="V8" i="1"/>
  <c r="U10" i="1"/>
  <c r="U5" i="1"/>
  <c r="T6" i="1"/>
  <c r="T11" i="1"/>
  <c r="T10" i="1"/>
  <c r="I18" i="10"/>
  <c r="L18" i="10" s="1"/>
  <c r="G16" i="1" s="1"/>
  <c r="V16" i="1" s="1"/>
  <c r="T16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7" i="10"/>
  <c r="K17" i="10" s="1"/>
  <c r="F15" i="1" s="1"/>
  <c r="U15" i="1" s="1"/>
  <c r="R14" i="30"/>
  <c r="T11" i="30"/>
  <c r="T6" i="30"/>
  <c r="T13" i="30"/>
  <c r="S11" i="30"/>
  <c r="S6" i="30"/>
  <c r="R13" i="30"/>
  <c r="S16" i="30"/>
  <c r="S9" i="30"/>
  <c r="S13" i="30"/>
  <c r="R16" i="30"/>
  <c r="S7" i="30"/>
  <c r="S14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4" i="1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<sst xmlns="http://schemas.openxmlformats.org/spreadsheetml/2006/main" count="2212" uniqueCount="446">
  <si>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</si>
  <si>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</si>
  <si>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</si>
  <si>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</si>
  <si>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</si>
  <si>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</si>
  <si>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</si>
  <si>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</si>
  <si>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</si>
  <si>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</si>
  <si>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</si>
  <si>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</si>
  <si>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</si>
  <si>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</si>
  <si>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</si>
  <si>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</si>
  <si>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</si>
  <si>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</si>
  <si>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</si>
  <si>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</si>
  <si>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</si>
  <si>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</si>
  <si>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</si>
  <si>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</si>
  <si>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</si>
  <si>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</si>
  <si>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</si>
  <si>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</si>
  <si>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</si>
  <si>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</si>
  <si>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</si>
  <si>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</si>
  <si>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</si>
  <si>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</si>
  <si>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</si>
  <si>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</si>
  <si>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</si>
  <si>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</si>
  <si>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</si>
  <si>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</si>
  <si>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</si>
  <si>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</si>
  <si>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</si>
  <si>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</si>
  <si>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</si>
  <si>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</si>
  <si>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</si>
  <si>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</si>
  <si>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</si>
  <si>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</si>
  <si>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</si>
  <si>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</si>
  <si>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</si>
  <si>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</si>
  <si>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</si>
  <si>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</si>
  <si>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</si>
  <si>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</si>
  <si>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</si>
  <si>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</si>
  <si>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</si>
  <si>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</si>
  <si>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</si>
  <si>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</si>
  <si>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</si>
  <si>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</si>
  <si>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</si>
  <si>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</si>
  <si>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</si>
  <si>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</si>
  <si>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</si>
  <si>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</si>
  <si>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</si>
  <si>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</si>
  <si>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</si>
  <si>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</si>
  <si>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</si>
  <si>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</si>
  <si>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</si>
  <si>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</si>
  <si>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</si>
  <si>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</si>
  <si>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</si>
  <si>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</si>
  <si>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</si>
  <si>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</si>
  <si>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</si>
  <si>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</si>
  <si>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</si>
  <si>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</si>
  <si>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</si>
  <si>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</si>
  <si>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</si>
  <si>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</si>
  <si>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</si>
  <si>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</si>
  <si>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</si>
  <si>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</si>
  <si>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</si>
  <si>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</si>
  <si>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</si>
  <si>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</si>
  <si>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</si>
  <si>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</si>
  <si>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</si>
  <si>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</si>
  <si>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</si>
  <si>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</si>
  <si>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</si>
  <si>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</si>
  <si>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</si>
  <si>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</si>
  <si>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</si>
  <si>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</si>
  <si>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</si>
  <si>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</si>
  <si>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</si>
  <si>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</si>
  <si>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</si>
  <si>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</si>
  <si>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</si>
  <si>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</si>
  <si>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</si>
  <si>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</si>
  <si>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</si>
  <si>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</si>
  <si>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</si>
  <si>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</si>
  <si>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</si>
  <si>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</si>
  <si>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</si>
  <si>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</si>
  <si>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</si>
  <si>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</si>
  <si>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</si>
  <si>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</si>
  <si>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</si>
  <si>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</si>
  <si>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</si>
  <si>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</si>
  <si>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</si>
  <si>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</si>
  <si>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</si>
  <si>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</si>
  <si>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</si>
  <si>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</si>
  <si>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</si>
  <si>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</si>
  <si>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</si>
  <si>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</si>
  <si>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</si>
  <si>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</si>
  <si>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</si>
  <si>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</si>
  <si>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</si>
  <si>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</si>
  <si>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</si>
  <si>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</si>
  <si>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</si>
  <si>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</si>
  <si>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</si>
  <si>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</si>
  <si>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</si>
  <si>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</si>
  <si>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</si>
  <si>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</si>
  <si>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</si>
  <si>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</si>
  <si>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</si>
  <si>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</si>
  <si>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</si>
  <si>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</si>
  <si>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</si>
  <si>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</si>
  <si>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</si>
  <si>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</si>
  <si>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</si>
  <si>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</si>
  <si>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</si>
  <si>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</si>
  <si>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</si>
  <si>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</si>
  <si>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</si>
  <si>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</si>
  <si>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</si>
  <si>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</si>
  <si>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</si>
  <si>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</si>
  <si>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</si>
  <si>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</si>
  <si>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</si>
  <si>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</si>
  <si>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</si>
  <si>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</si>
  <si>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</si>
  <si>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</si>
  <si>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</si>
  <si>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</si>
  <si>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</si>
  <si>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</si>
  <si>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</si>
  <si>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</si>
  <si>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</si>
  <si>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</si>
  <si>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</si>
  <si>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</si>
  <si>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</si>
  <si>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</si>
  <si>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</si>
  <si>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</si>
  <si>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</si>
  <si>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</si>
  <si>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</si>
  <si>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</si>
  <si>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</si>
  <si>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</si>
  <si>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</si>
  <si>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</si>
  <si>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</si>
  <si>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</si>
  <si>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</si>
  <si>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</si>
  <si>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</si>
  <si>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</si>
  <si>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</si>
  <si>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</si>
  <si>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</si>
  <si>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</si>
  <si>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</si>
  <si>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</si>
  <si>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</si>
  <si>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</si>
  <si>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</si>
  <si>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</si>
  <si>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</si>
  <si>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</si>
  <si>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</si>
  <si>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</si>
  <si>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</si>
  <si>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</si>
  <si>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</si>
  <si>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</si>
  <si>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</si>
  <si>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</si>
  <si>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</si>
  <si>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</si>
  <si>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</si>
  <si>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</si>
  <si>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</si>
  <si>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</si>
  <si>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</si>
  <si>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</si>
  <si>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</si>
  <si>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</si>
  <si>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</si>
  <si>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</si>
  <si>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</si>
  <si>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</si>
  <si>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</si>
  <si>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</si>
  <si>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</si>
  <si>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</si>
  <si>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</si>
  <si>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</si>
  <si>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</si>
  <si>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</si>
  <si>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</si>
  <si>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</si>
  <si>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</si>
  <si>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</si>
  <si>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</si>
  <si>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</si>
  <si>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</si>
  <si>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</si>
  <si>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</si>
  <si>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</si>
  <si>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</si>
  <si>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</si>
  <si>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</si>
  <si>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</si>
  <si>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</si>
  <si>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</si>
  <si>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</si>
  <si>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</si>
  <si>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</si>
  <si>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</si>
  <si>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</si>
  <si>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</si>
  <si>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</si>
  <si>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</si>
  <si>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</si>
  <si>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</si>
  <si>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</si>
  <si>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</si>
  <si>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</si>
  <si>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</si>
  <si>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</si>
  <si>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</si>
  <si>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</si>
  <si>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</si>
  <si>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</si>
  <si>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</si>
  <si>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</si>
  <si>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</si>
  <si>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</si>
  <si>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</si>
  <si>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</si>
  <si>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</si>
  <si>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</si>
  <si>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</si>
  <si>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</si>
  <si>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</si>
  <si>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</si>
  <si>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</si>
  <si>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</si>
  <si>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</si>
  <si>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</si>
  <si>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</si>
  <si>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</si>
  <si>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</si>
  <si>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</si>
  <si>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</si>
  <si>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</si>
  <si>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</si>
  <si>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</si>
  <si>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</si>
  <si>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</si>
  <si>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</si>
  <si>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</si>
  <si>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</si>
  <si>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</si>
  <si>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</si>
  <si>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</si>
  <si>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</si>
  <si>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</si>
  <si>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</si>
  <si>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</si>
  <si>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</si>
  <si>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</si>
  <si>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</si>
  <si>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</si>
  <si>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</si>
  <si>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</si>
  <si>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</si>
  <si>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</si>
  <si>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</si>
  <si>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</si>
  <si>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</si>
  <si>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</si>
  <si>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</si>
  <si>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</si>
  <si>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</si>
  <si>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</si>
  <si>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</si>
  <si>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</si>
  <si>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</si>
  <si>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</si>
  <si>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</si>
  <si>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</si>
  <si>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</si>
  <si>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</si>
  <si>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</si>
  <si>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</si>
  <si>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</si>
  <si>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</si>
  <si>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</si>
  <si>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</si>
  <si>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</si>
  <si>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</si>
  <si>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</si>
  <si>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</si>
  <si>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</si>
  <si>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</si>
  <si>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</si>
  <si>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</si>
  <si>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</si>
  <si>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</si>
  <si>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</si>
  <si>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</si>
  <si>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</si>
  <si>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</si>
  <si>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</si>
  <si>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</si>
  <si>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</si>
  <si>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</si>
  <si>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</si>
  <si>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</si>
  <si>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</si>
  <si>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</si>
  <si>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</si>
  <si>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</si>
  <si>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</si>
  <si>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</si>
  <si>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</si>
  <si>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</si>
  <si>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</si>
  <si>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</si>
  <si>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</si>
  <si>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</si>
  <si>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</si>
  <si>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</si>
  <si>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</si>
  <si>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</si>
  <si>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</si>
  <si>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</si>
  <si>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</si>
  <si>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</si>
  <si>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</si>
  <si>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</si>
  <si>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</si>
  <si>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</si>
  <si>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</si>
  <si>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</si>
  <si>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</si>
  <si>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</si>
  <si>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</si>
  <si>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</si>
  <si>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</si>
  <si>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</si>
  <si>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</si>
  <si>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</si>
  <si>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</si>
  <si>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</si>
  <si>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</si>
  <si>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</si>
  <si>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</si>
  <si>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</si>
  <si>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</si>
  <si>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</si>
  <si>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</si>
  <si>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</si>
  <si>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</si>
  <si>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</si>
  <si>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</si>
  <si>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−4</t>
  </si>
  <si>
    <t>31.08.2026</t>
  </si>
  <si>
    <t>Villa Park (A)</t>
  </si>
  <si>
    <t>KONSA Ezri</t>
  </si>
  <si>
    <t>Ipswitch Town</t>
  </si>
  <si>
    <t>−5</t>
  </si>
  <si>
    <t>1-0</t>
  </si>
  <si>
    <t>06.09.2026</t>
  </si>
  <si>
    <t>GEORGE GRAHAM</t>
  </si>
  <si>
    <t>GRAHAM/HOUSTON</t>
  </si>
  <si>
    <t>BRUCE RIOCH</t>
  </si>
  <si>
    <t>2026/2027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</si>
</sst>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9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10" fontId="0" fillId="0" borderId="62" xfId="0" applyNumberFormat="1" applyBorder="1"/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MARTINELLI Gabriel</c:v>
                </c:pt>
                <c:pt idx="10">
                  <c:v>TIMBER Jurrien</c:v>
                </c:pt>
                <c:pt idx="11">
                  <c:v>KEPA Arrizabalaga</c:v>
                </c:pt>
                <c:pt idx="12">
                  <c:v>GYOKERES Viktor</c:v>
                </c:pt>
                <c:pt idx="13">
                  <c:v>KONSA Ezri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NWANERI Ethan</c:v>
                </c:pt>
                <c:pt idx="17">
                  <c:v>MERINO Mikel</c:v>
                </c:pt>
                <c:pt idx="18">
                  <c:v>HAVERTZ Kai</c:v>
                </c:pt>
                <c:pt idx="19">
                  <c:v>MESLIER Illan</c:v>
                </c:pt>
                <c:pt idx="20">
                  <c:v>CALAFIORI Riccardo</c:v>
                </c:pt>
                <c:pt idx="21">
                  <c:v>SETFORD Tommy</c:v>
                </c:pt>
                <c:pt idx="22">
                  <c:v>ZUBIMENDI Martin</c:v>
                </c:pt>
                <c:pt idx="23">
                  <c:v>GUIMARES Bruno</c:v>
                </c:pt>
                <c:pt idx="24">
                  <c:v>DIXON Jaden</c:v>
                </c:pt>
                <c:pt idx="25">
                  <c:v>RICE Declan</c:v>
                </c:pt>
                <c:pt idx="26">
                  <c:v>HARRIMAN-ANNOUS Andre</c:v>
                </c:pt>
                <c:pt idx="27">
                  <c:v>IBRAHIM Ife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3</c:v>
                </c:pt>
                <c:pt idx="23">
                  <c:v>2</c:v>
                </c:pt>
                <c:pt idx="24">
                  <c:v>0</c:v>
                </c:pt>
                <c:pt idx="25">
                  <c:v>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MARTINELLI Gabriel</c:v>
                </c:pt>
                <c:pt idx="10">
                  <c:v>TIMBER Jurrien</c:v>
                </c:pt>
                <c:pt idx="11">
                  <c:v>KEPA Arrizabalaga</c:v>
                </c:pt>
                <c:pt idx="12">
                  <c:v>GYOKERES Viktor</c:v>
                </c:pt>
                <c:pt idx="13">
                  <c:v>KONSA Ezri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NWANERI Ethan</c:v>
                </c:pt>
                <c:pt idx="17">
                  <c:v>MERINO Mikel</c:v>
                </c:pt>
                <c:pt idx="18">
                  <c:v>HAVERTZ Kai</c:v>
                </c:pt>
                <c:pt idx="19">
                  <c:v>MESLIER Illan</c:v>
                </c:pt>
                <c:pt idx="20">
                  <c:v>CALAFIORI Riccardo</c:v>
                </c:pt>
                <c:pt idx="21">
                  <c:v>SETFORD Tommy</c:v>
                </c:pt>
                <c:pt idx="22">
                  <c:v>ZUBIMENDI Martin</c:v>
                </c:pt>
                <c:pt idx="23">
                  <c:v>GUIMARES Bruno</c:v>
                </c:pt>
                <c:pt idx="24">
                  <c:v>DIXON Jaden</c:v>
                </c:pt>
                <c:pt idx="25">
                  <c:v>RICE Declan</c:v>
                </c:pt>
                <c:pt idx="26">
                  <c:v>HARRIMAN-ANNOUS Andre</c:v>
                </c:pt>
                <c:pt idx="27">
                  <c:v>IBRAHIM Ife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3CDB967-B45E-460B-AA44-A5D08BD3CB4E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9CBB045-FAB9-4ED4-9201-C3174285525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EEBC67C-E781-499C-B02E-F00C854A93D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7F408B1-F4D2-4958-A1B9-E388A673856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33E060B-3EAD-44D6-92B4-552E88412DE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26D3461-E7A5-4D8E-903C-3D9FCA2FB2E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C59FEB0-5F63-4FA9-A7C4-C64361C3A9F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738EC7-12A9-472E-AB4B-BAD51DC703A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11822CB-F914-4483-9382-C2EBDCFD336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58C4014-595F-43AC-9BDE-74F9F9A5225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7A960EA-0D3A-4FB9-AECD-5CB06567568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25A7587-7628-4C53-9C2F-475D9FCDB24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ADE368F-19D0-46E5-A0E8-1D92BD5B0A2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45D981B-9422-45D9-AE73-1E4A8C24091F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770C142-21C6-44CD-AFFF-453E9763105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31FE634-7135-4AA2-9535-1912DEE7E5D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08EBD0C-0007-47B3-B2C3-A6A16FA3747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6F0D138-D4DD-4253-A403-6A896EA433F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F5524F3-78D2-4423-BA85-53AAE9A4973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Goals'!$T$7:$T$25</c:f>
              <c:numCache>
                <c:formatCode>General</c:formatCode>
                <c:ptCount val="19"/>
                <c:pt idx="0">
                  <c:v>193</c:v>
                </c:pt>
                <c:pt idx="1">
                  <c:v>41</c:v>
                </c:pt>
                <c:pt idx="2">
                  <c:v>264</c:v>
                </c:pt>
                <c:pt idx="3">
                  <c:v>315</c:v>
                </c:pt>
                <c:pt idx="4">
                  <c:v>237</c:v>
                </c:pt>
                <c:pt idx="5">
                  <c:v>55</c:v>
                </c:pt>
                <c:pt idx="6">
                  <c:v>278</c:v>
                </c:pt>
                <c:pt idx="7">
                  <c:v>95</c:v>
                </c:pt>
                <c:pt idx="8">
                  <c:v>12</c:v>
                </c:pt>
                <c:pt idx="9">
                  <c:v>56</c:v>
                </c:pt>
                <c:pt idx="10">
                  <c:v>1</c:v>
                </c:pt>
                <c:pt idx="11">
                  <c:v>3</c:v>
                </c:pt>
                <c:pt idx="12">
                  <c:v>44</c:v>
                </c:pt>
                <c:pt idx="13">
                  <c:v>51</c:v>
                </c:pt>
                <c:pt idx="14">
                  <c:v>80</c:v>
                </c:pt>
                <c:pt idx="15">
                  <c:v>114</c:v>
                </c:pt>
                <c:pt idx="16">
                  <c:v>0</c:v>
                </c:pt>
                <c:pt idx="17">
                  <c:v>68</c:v>
                </c:pt>
                <c:pt idx="18">
                  <c:v>2</c:v>
                </c:pt>
              </c:numCache>
            </c:numRef>
          </c:xVal>
          <c:yVal>
            <c:numRef>
              <c:f>'Apps &amp; Goals'!$U$7:$U$25</c:f>
              <c:numCache>
                <c:formatCode>General</c:formatCode>
                <c:ptCount val="19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83</c:v>
                </c:pt>
                <c:pt idx="4">
                  <c:v>44</c:v>
                </c:pt>
                <c:pt idx="5">
                  <c:v>10</c:v>
                </c:pt>
                <c:pt idx="6">
                  <c:v>62</c:v>
                </c:pt>
                <c:pt idx="7">
                  <c:v>6</c:v>
                </c:pt>
                <c:pt idx="8">
                  <c:v>0</c:v>
                </c:pt>
                <c:pt idx="9">
                  <c:v>21</c:v>
                </c:pt>
                <c:pt idx="10">
                  <c:v>0</c:v>
                </c:pt>
                <c:pt idx="11">
                  <c:v>0</c:v>
                </c:pt>
                <c:pt idx="12">
                  <c:v>8</c:v>
                </c:pt>
                <c:pt idx="13">
                  <c:v>10</c:v>
                </c:pt>
                <c:pt idx="14">
                  <c:v>15</c:v>
                </c:pt>
                <c:pt idx="15">
                  <c:v>38</c:v>
                </c:pt>
                <c:pt idx="16">
                  <c:v>0</c:v>
                </c:pt>
                <c:pt idx="17">
                  <c:v>5</c:v>
                </c:pt>
                <c:pt idx="18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Goals'!$D$7:$D$25</c15:f>
                <c15:dlblRangeCache>
                  <c:ptCount val="19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MARTINELLI Gabriel</c:v>
                  </c:pt>
                  <c:pt idx="7">
                    <c:v>TIMBER Jurrien</c:v>
                  </c:pt>
                  <c:pt idx="8">
                    <c:v>KEPA Arrizabalaga</c:v>
                  </c:pt>
                  <c:pt idx="9">
                    <c:v>GYOKERES Viktor</c:v>
                  </c:pt>
                  <c:pt idx="10">
                    <c:v>KONSA Ezri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NWANERI Ethan</c:v>
                  </c:pt>
                  <c:pt idx="14">
                    <c:v>MERINO Mikel</c:v>
                  </c:pt>
                  <c:pt idx="15">
                    <c:v>HAVERTZ Kai</c:v>
                  </c:pt>
                  <c:pt idx="16">
                    <c:v>MESLIER Illan</c:v>
                  </c:pt>
                  <c:pt idx="17">
                    <c:v>CALAFIORI Riccardo</c:v>
                  </c:pt>
                  <c:pt idx="18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Goals'!$D$7:$D$25</c15:sqref>
                        </c15:formulaRef>
                      </c:ext>
                    </c:extLst>
                    <c:strCache>
                      <c:ptCount val="19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MARTINELLI Gabriel</c:v>
                      </c:pt>
                      <c:pt idx="7">
                        <c:v>TIMBER Jurrien</c:v>
                      </c:pt>
                      <c:pt idx="8">
                        <c:v>KEPA Arrizabalaga</c:v>
                      </c:pt>
                      <c:pt idx="9">
                        <c:v>GYOKERES Viktor</c:v>
                      </c:pt>
                      <c:pt idx="10">
                        <c:v>KONSA Ezri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NWANERI Ethan</c:v>
                      </c:pt>
                      <c:pt idx="14">
                        <c:v>MERINO Mikel</c:v>
                      </c:pt>
                      <c:pt idx="15">
                        <c:v>HAVERTZ Kai</c:v>
                      </c:pt>
                      <c:pt idx="16">
                        <c:v>MESLIER Illan</c:v>
                      </c:pt>
                      <c:pt idx="17">
                        <c:v>CALAFIORI Riccardo</c:v>
                      </c:pt>
                      <c:pt idx="18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Goals'!$U$7:$U$25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83</c:v>
                      </c:pt>
                      <c:pt idx="4">
                        <c:v>44</c:v>
                      </c:pt>
                      <c:pt idx="5">
                        <c:v>10</c:v>
                      </c:pt>
                      <c:pt idx="6">
                        <c:v>62</c:v>
                      </c:pt>
                      <c:pt idx="7">
                        <c:v>6</c:v>
                      </c:pt>
                      <c:pt idx="8">
                        <c:v>0</c:v>
                      </c:pt>
                      <c:pt idx="9">
                        <c:v>21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10</c:v>
                      </c:pt>
                      <c:pt idx="14">
                        <c:v>15</c:v>
                      </c:pt>
                      <c:pt idx="15">
                        <c:v>38</c:v>
                      </c:pt>
                      <c:pt idx="16">
                        <c:v>0</c:v>
                      </c:pt>
                      <c:pt idx="17">
                        <c:v>5</c:v>
                      </c:pt>
                      <c:pt idx="18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0" t="s">
        <v>4</v>
      </c>
      <c r="D1" s="210"/>
      <c r="E1" s="211" t="s">
        <v>120</v>
      </c>
      <c r="F1" s="211"/>
      <c r="G1" s="210" t="s">
        <v>108</v>
      </c>
      <c r="H1" s="210"/>
      <c r="I1" s="211" t="s">
        <v>110</v>
      </c>
      <c r="J1" s="211"/>
      <c r="K1" s="210" t="s">
        <v>39</v>
      </c>
      <c r="L1" s="210"/>
      <c r="M1" s="208" t="s">
        <v>7</v>
      </c>
      <c r="N1" s="209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topLeftCell="M1" zoomScale="70" zoomScaleNormal="70" zoomScalePageLayoutView="140" workbookViewId="0">
      <selection activeCell="P54" sqref="P54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2</v>
      </c>
      <c r="H6" s="21">
        <f>'Apps &amp; Goals 26-27'!D4</f>
        <v>0</v>
      </c>
      <c r="I6" s="21">
        <f>'Apps &amp; Goals 26-27'!E4</f>
        <v>0</v>
      </c>
      <c r="J6" s="25">
        <f>G6+C6</f>
        <v>109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8" si="0">G7+C7</f>
        <v>131</v>
      </c>
      <c r="K7" s="25">
        <f t="shared" ref="K7:K18" si="1">H7+D7</f>
        <v>7</v>
      </c>
      <c r="L7" s="25">
        <f t="shared" ref="L7:L18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8" si="3">S7+O7</f>
        <v>37</v>
      </c>
      <c r="W7" s="26">
        <f t="shared" ref="W7:W18" si="4">T7+P7</f>
        <v>1</v>
      </c>
      <c r="X7" s="26">
        <f t="shared" ref="X7:X18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8" si="6">AE7+AA7</f>
        <v>5</v>
      </c>
      <c r="AI7" s="24">
        <f t="shared" ref="AI7:AI18" si="7">AF7+AB7</f>
        <v>0</v>
      </c>
      <c r="AJ7" s="24">
        <f t="shared" ref="AJ7:AJ18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8" si="9">AQ7+AM7</f>
        <v>10</v>
      </c>
      <c r="AU7" s="18">
        <f t="shared" ref="AU7:AU18" si="10">AR7+AN7</f>
        <v>0</v>
      </c>
      <c r="AV7" s="18">
        <f t="shared" ref="AV7:AV18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8" si="12">BC7+AY7</f>
        <v>1</v>
      </c>
      <c r="BG7" s="33">
        <f t="shared" ref="BG7:BG18" si="13">BD7+AZ7</f>
        <v>0</v>
      </c>
      <c r="BH7" s="33">
        <f t="shared" ref="BH7:BH18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2</v>
      </c>
      <c r="H9" s="21">
        <f>'Apps &amp; Goals 26-27'!D7</f>
        <v>0</v>
      </c>
      <c r="I9" s="21">
        <f>'Apps &amp; Goals 26-27'!E7</f>
        <v>1</v>
      </c>
      <c r="J9" s="25">
        <f t="shared" si="0"/>
        <v>138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2</v>
      </c>
      <c r="H11" s="21">
        <f>'Apps &amp; Goals 26-27'!D9</f>
        <v>0</v>
      </c>
      <c r="I11" s="21">
        <f>'Apps &amp; Goals 26-27'!E9</f>
        <v>0</v>
      </c>
      <c r="J11" s="25">
        <f t="shared" si="0"/>
        <v>194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2</v>
      </c>
      <c r="H12" s="21">
        <f>'Apps &amp; Goals 26-27'!D10</f>
        <v>2</v>
      </c>
      <c r="I12" s="21">
        <f>'Apps &amp; Goals 26-27'!E10</f>
        <v>0</v>
      </c>
      <c r="J12" s="25">
        <f t="shared" si="0"/>
        <v>228</v>
      </c>
      <c r="K12" s="25">
        <f t="shared" si="1"/>
        <v>62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2</v>
      </c>
      <c r="H13" s="21">
        <f>'Apps &amp; Goals 26-27'!D11</f>
        <v>1</v>
      </c>
      <c r="I13" s="21">
        <f>'Apps &amp; Goals 26-27'!E11</f>
        <v>0</v>
      </c>
      <c r="J13" s="25">
        <f t="shared" si="0"/>
        <v>178</v>
      </c>
      <c r="K13" s="25">
        <f t="shared" si="1"/>
        <v>36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2</v>
      </c>
      <c r="H14" s="21">
        <f>'Apps &amp; Goals 26-27'!D12</f>
        <v>0</v>
      </c>
      <c r="I14" s="21">
        <f>'Apps &amp; Goals 26-27'!E12</f>
        <v>0</v>
      </c>
      <c r="J14" s="25">
        <f t="shared" si="0"/>
        <v>34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13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11</v>
      </c>
      <c r="B15" s="22" t="s">
        <v>188</v>
      </c>
      <c r="C15" s="25">
        <v>191</v>
      </c>
      <c r="D15" s="25">
        <v>41</v>
      </c>
      <c r="E15" s="25">
        <v>24</v>
      </c>
      <c r="F15" s="25"/>
      <c r="G15" s="21">
        <f>'Apps &amp; Goals 26-27'!C13</f>
        <v>0</v>
      </c>
      <c r="H15" s="21">
        <f>'Apps &amp; Goals 26-27'!D13</f>
        <v>0</v>
      </c>
      <c r="I15" s="21">
        <f>'Apps &amp; Goals 26-27'!E13</f>
        <v>0</v>
      </c>
      <c r="J15" s="25">
        <f t="shared" si="0"/>
        <v>191</v>
      </c>
      <c r="K15" s="25">
        <f t="shared" si="1"/>
        <v>41</v>
      </c>
      <c r="L15" s="25">
        <f t="shared" si="2"/>
        <v>24</v>
      </c>
      <c r="M15">
        <v>11</v>
      </c>
      <c r="N15" s="45" t="s">
        <v>188</v>
      </c>
      <c r="O15" s="26">
        <v>53</v>
      </c>
      <c r="P15" s="26">
        <v>13</v>
      </c>
      <c r="Q15" s="26">
        <v>8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53</v>
      </c>
      <c r="W15" s="26">
        <f t="shared" si="4"/>
        <v>13</v>
      </c>
      <c r="X15" s="26">
        <f t="shared" si="5"/>
        <v>8</v>
      </c>
      <c r="Z15" s="57" t="s">
        <v>188</v>
      </c>
      <c r="AA15" s="24">
        <v>13</v>
      </c>
      <c r="AB15" s="24">
        <v>4</v>
      </c>
      <c r="AC15" s="24">
        <v>3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13</v>
      </c>
      <c r="AI15" s="24">
        <f t="shared" si="7"/>
        <v>4</v>
      </c>
      <c r="AJ15" s="24">
        <f t="shared" si="8"/>
        <v>3</v>
      </c>
      <c r="AL15" s="63" t="s">
        <v>188</v>
      </c>
      <c r="AM15" s="18">
        <v>20</v>
      </c>
      <c r="AN15" s="18">
        <v>4</v>
      </c>
      <c r="AO15" s="18">
        <v>1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20</v>
      </c>
      <c r="AU15" s="18">
        <f t="shared" si="10"/>
        <v>4</v>
      </c>
      <c r="AV15" s="18">
        <f t="shared" si="11"/>
        <v>1</v>
      </c>
      <c r="AX15" s="32" t="s">
        <v>188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12</v>
      </c>
      <c r="B16" s="22" t="s">
        <v>276</v>
      </c>
      <c r="C16" s="25">
        <v>62</v>
      </c>
      <c r="D16" s="25">
        <v>4</v>
      </c>
      <c r="E16" s="25">
        <v>8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62</v>
      </c>
      <c r="K16" s="25">
        <f t="shared" si="1"/>
        <v>4</v>
      </c>
      <c r="L16" s="25">
        <f t="shared" si="2"/>
        <v>8</v>
      </c>
      <c r="M16">
        <v>12</v>
      </c>
      <c r="N16" s="45" t="s">
        <v>276</v>
      </c>
      <c r="O16" s="26">
        <v>21</v>
      </c>
      <c r="P16" s="26">
        <v>2</v>
      </c>
      <c r="Q16" s="26">
        <v>2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21</v>
      </c>
      <c r="W16" s="26">
        <f t="shared" si="4"/>
        <v>2</v>
      </c>
      <c r="X16" s="26">
        <f t="shared" si="5"/>
        <v>2</v>
      </c>
      <c r="Z16" s="57" t="s">
        <v>276</v>
      </c>
      <c r="AA16" s="24">
        <v>3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3</v>
      </c>
      <c r="AI16" s="24">
        <f t="shared" si="7"/>
        <v>0</v>
      </c>
      <c r="AJ16" s="24">
        <f t="shared" si="8"/>
        <v>0</v>
      </c>
      <c r="AL16" s="63" t="s">
        <v>276</v>
      </c>
      <c r="AM16" s="18">
        <v>8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8</v>
      </c>
      <c r="AU16" s="18">
        <f t="shared" si="10"/>
        <v>0</v>
      </c>
      <c r="AV16" s="18">
        <f t="shared" si="11"/>
        <v>0</v>
      </c>
      <c r="AX16" s="32" t="s">
        <v>276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13</v>
      </c>
      <c r="B17" s="22" t="s">
        <v>312</v>
      </c>
      <c r="C17" s="25">
        <v>1</v>
      </c>
      <c r="D17" s="25">
        <v>0</v>
      </c>
      <c r="E17" s="25">
        <v>0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1</v>
      </c>
      <c r="K17" s="25">
        <f t="shared" si="1"/>
        <v>0</v>
      </c>
      <c r="L17" s="25">
        <f t="shared" si="2"/>
        <v>0</v>
      </c>
      <c r="M17">
        <v>13</v>
      </c>
      <c r="N17" s="45" t="s">
        <v>312</v>
      </c>
      <c r="O17" s="26">
        <v>1</v>
      </c>
      <c r="P17" s="26">
        <v>0</v>
      </c>
      <c r="Q17" s="26">
        <v>0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1</v>
      </c>
      <c r="W17" s="26">
        <f t="shared" si="4"/>
        <v>0</v>
      </c>
      <c r="X17" s="26">
        <f t="shared" si="5"/>
        <v>0</v>
      </c>
      <c r="Z17" s="57" t="s">
        <v>312</v>
      </c>
      <c r="AA17" s="24">
        <v>4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4</v>
      </c>
      <c r="AI17" s="24">
        <f t="shared" si="7"/>
        <v>0</v>
      </c>
      <c r="AJ17" s="24">
        <f t="shared" si="8"/>
        <v>0</v>
      </c>
      <c r="AL17" s="63" t="s">
        <v>312</v>
      </c>
      <c r="AM17" s="18">
        <v>6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6</v>
      </c>
      <c r="AU17" s="18">
        <f t="shared" si="10"/>
        <v>0</v>
      </c>
      <c r="AV17" s="18">
        <f t="shared" si="11"/>
        <v>0</v>
      </c>
      <c r="AX17" s="32" t="s">
        <v>312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0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14</v>
      </c>
      <c r="B18" s="22" t="s">
        <v>317</v>
      </c>
      <c r="C18" s="25">
        <v>36</v>
      </c>
      <c r="D18" s="25">
        <v>14</v>
      </c>
      <c r="E18" s="25">
        <v>1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36</v>
      </c>
      <c r="K18" s="25">
        <f t="shared" si="1"/>
        <v>14</v>
      </c>
      <c r="L18" s="25">
        <f t="shared" si="2"/>
        <v>1</v>
      </c>
      <c r="M18">
        <v>14</v>
      </c>
      <c r="N18" s="45" t="s">
        <v>317</v>
      </c>
      <c r="O18" s="26">
        <v>13</v>
      </c>
      <c r="P18" s="26">
        <v>5</v>
      </c>
      <c r="Q18" s="26">
        <v>1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13</v>
      </c>
      <c r="W18" s="26">
        <f t="shared" si="4"/>
        <v>5</v>
      </c>
      <c r="X18" s="26">
        <f t="shared" si="5"/>
        <v>1</v>
      </c>
      <c r="Z18" s="57" t="s">
        <v>317</v>
      </c>
      <c r="AA18" s="24">
        <v>2</v>
      </c>
      <c r="AB18" s="24">
        <v>1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2</v>
      </c>
      <c r="AI18" s="24">
        <f t="shared" si="7"/>
        <v>1</v>
      </c>
      <c r="AJ18" s="24">
        <f t="shared" si="8"/>
        <v>0</v>
      </c>
      <c r="AL18" s="63" t="s">
        <v>317</v>
      </c>
      <c r="AM18" s="18">
        <v>4</v>
      </c>
      <c r="AN18" s="18">
        <v>1</v>
      </c>
      <c r="AO18" s="18">
        <v>1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4</v>
      </c>
      <c r="AU18" s="18">
        <f t="shared" si="10"/>
        <v>1</v>
      </c>
      <c r="AV18" s="18">
        <f t="shared" si="11"/>
        <v>1</v>
      </c>
      <c r="AX18" s="32" t="s">
        <v>317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1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1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15</v>
      </c>
      <c r="B19" s="22" t="s">
        <v>437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1</v>
      </c>
      <c r="H19" s="21">
        <f>'Apps &amp; Goals 26-27'!D17</f>
        <v>0</v>
      </c>
      <c r="I19" s="21">
        <f>'Apps &amp; Goals 26-27'!E17</f>
        <v>0</v>
      </c>
      <c r="J19" s="25">
        <f t="shared" ref="J19:J40" si="15">G19+C19</f>
        <v>1</v>
      </c>
      <c r="K19" s="25">
        <f t="shared" ref="K19:K40" si="16">H19+D19</f>
        <v>0</v>
      </c>
      <c r="L19" s="25">
        <f t="shared" ref="L19:L40" si="17">I19+E19</f>
        <v>0</v>
      </c>
      <c r="M19">
        <v>15</v>
      </c>
      <c r="N19" s="45" t="s">
        <v>437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ref="V19:V40" si="18">S19+O19</f>
        <v>0</v>
      </c>
      <c r="W19" s="26">
        <f t="shared" ref="W19:W40" si="19">T19+P19</f>
        <v>0</v>
      </c>
      <c r="X19" s="26">
        <f t="shared" ref="X19:X40" si="20">U19+Q19</f>
        <v>0</v>
      </c>
      <c r="Z19" s="57" t="s">
        <v>437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ref="AH19:AH40" si="21">AE19+AA19</f>
        <v>0</v>
      </c>
      <c r="AI19" s="24">
        <f t="shared" ref="AI19:AI40" si="22">AF19+AB19</f>
        <v>0</v>
      </c>
      <c r="AJ19" s="24">
        <f t="shared" ref="AJ19:AJ40" si="23">AG19+AC19</f>
        <v>0</v>
      </c>
      <c r="AL19" s="63" t="s">
        <v>437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ref="AT19:AT40" si="24">AQ19+AM19</f>
        <v>0</v>
      </c>
      <c r="AU19" s="18">
        <f t="shared" ref="AU19:AU40" si="25">AR19+AN19</f>
        <v>0</v>
      </c>
      <c r="AV19" s="18">
        <f t="shared" ref="AV19:AV40" si="26">AS19+AO19</f>
        <v>0</v>
      </c>
      <c r="AX19" s="32" t="s">
        <v>437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0</v>
      </c>
      <c r="BD19" s="64">
        <f>'Apps &amp; Goals 26-27'!P17</f>
        <v>0</v>
      </c>
      <c r="BE19" s="64">
        <f>'Apps &amp; Goals 26-27'!Q17</f>
        <v>0</v>
      </c>
      <c r="BF19" s="33">
        <f t="shared" ref="BF19:BF40" si="27">BC19+AY19</f>
        <v>0</v>
      </c>
      <c r="BG19" s="33">
        <f t="shared" ref="BG19:BG40" si="28">BD19+AZ19</f>
        <v>0</v>
      </c>
      <c r="BH19" s="33">
        <f t="shared" ref="BH19:BH40" si="29">BE19+BA19</f>
        <v>0</v>
      </c>
    </row>
    <row r="20" spans="1:60" x14ac:dyDescent="0.25">
      <c r="A20" s="4">
        <v>17</v>
      </c>
      <c r="B20" s="21" t="s">
        <v>343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15"/>
        <v>2</v>
      </c>
      <c r="K20" s="25">
        <f t="shared" si="16"/>
        <v>0</v>
      </c>
      <c r="L20" s="25">
        <f t="shared" si="17"/>
        <v>0</v>
      </c>
      <c r="M20">
        <v>17</v>
      </c>
      <c r="N20" s="45" t="s">
        <v>343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si="18"/>
        <v>0</v>
      </c>
      <c r="W20" s="26">
        <f t="shared" si="19"/>
        <v>0</v>
      </c>
      <c r="X20" s="26">
        <f t="shared" si="20"/>
        <v>0</v>
      </c>
      <c r="Z20" s="23" t="s">
        <v>343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0</v>
      </c>
      <c r="AI20" s="24">
        <f t="shared" si="22"/>
        <v>0</v>
      </c>
      <c r="AJ20" s="24">
        <f t="shared" si="23"/>
        <v>0</v>
      </c>
      <c r="AL20" s="63" t="s">
        <v>343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0</v>
      </c>
      <c r="AU20" s="18">
        <f t="shared" si="25"/>
        <v>0</v>
      </c>
      <c r="AV20" s="18">
        <f t="shared" si="26"/>
        <v>0</v>
      </c>
      <c r="AX20" s="32" t="s">
        <v>343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2</v>
      </c>
      <c r="BF20" s="33">
        <f t="shared" si="27"/>
        <v>1</v>
      </c>
      <c r="BG20" s="33">
        <f t="shared" si="28"/>
        <v>0</v>
      </c>
      <c r="BH20" s="33">
        <f t="shared" si="29"/>
        <v>2</v>
      </c>
    </row>
    <row r="21" spans="1:60" x14ac:dyDescent="0.25">
      <c r="A21" s="4">
        <v>20</v>
      </c>
      <c r="B21" s="21" t="s">
        <v>315</v>
      </c>
      <c r="C21" s="25">
        <v>26</v>
      </c>
      <c r="D21" s="25">
        <v>3</v>
      </c>
      <c r="E21" s="25">
        <v>1</v>
      </c>
      <c r="F21" s="25"/>
      <c r="G21" s="21">
        <f>'Apps &amp; Goals 26-27'!C19</f>
        <v>1</v>
      </c>
      <c r="H21" s="21">
        <f>'Apps &amp; Goals 26-27'!D19</f>
        <v>0</v>
      </c>
      <c r="I21" s="21">
        <f>'Apps &amp; Goals 26-27'!E19</f>
        <v>0</v>
      </c>
      <c r="J21" s="25">
        <f t="shared" si="15"/>
        <v>27</v>
      </c>
      <c r="K21" s="25">
        <f t="shared" si="16"/>
        <v>3</v>
      </c>
      <c r="L21" s="25">
        <f t="shared" si="17"/>
        <v>1</v>
      </c>
      <c r="M21">
        <v>20</v>
      </c>
      <c r="N21" s="20" t="s">
        <v>315</v>
      </c>
      <c r="O21" s="26">
        <v>9</v>
      </c>
      <c r="P21" s="26">
        <v>3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9</v>
      </c>
      <c r="W21" s="26">
        <f t="shared" si="19"/>
        <v>3</v>
      </c>
      <c r="X21" s="26">
        <f t="shared" si="20"/>
        <v>0</v>
      </c>
      <c r="Z21" s="23" t="s">
        <v>315</v>
      </c>
      <c r="AA21" s="24">
        <v>4</v>
      </c>
      <c r="AB21" s="24">
        <v>2</v>
      </c>
      <c r="AC21" s="24">
        <v>2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4</v>
      </c>
      <c r="AI21" s="24">
        <f t="shared" si="22"/>
        <v>2</v>
      </c>
      <c r="AJ21" s="24">
        <f t="shared" si="23"/>
        <v>2</v>
      </c>
      <c r="AL21" s="19" t="s">
        <v>315</v>
      </c>
      <c r="AM21" s="18">
        <v>3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3</v>
      </c>
      <c r="AU21" s="18">
        <f t="shared" si="25"/>
        <v>0</v>
      </c>
      <c r="AV21" s="18">
        <f t="shared" si="26"/>
        <v>0</v>
      </c>
      <c r="AX21" s="64" t="s">
        <v>315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1</v>
      </c>
      <c r="BG21" s="33">
        <f t="shared" si="28"/>
        <v>0</v>
      </c>
      <c r="BH21" s="33">
        <f t="shared" si="29"/>
        <v>0</v>
      </c>
    </row>
    <row r="22" spans="1:60" x14ac:dyDescent="0.25">
      <c r="A22" s="56">
        <v>22</v>
      </c>
      <c r="B22" s="22" t="s">
        <v>263</v>
      </c>
      <c r="C22" s="25">
        <v>34</v>
      </c>
      <c r="D22" s="25">
        <v>4</v>
      </c>
      <c r="E22" s="25">
        <v>2</v>
      </c>
      <c r="F22" s="25"/>
      <c r="G22" s="21">
        <f>'Apps &amp; Goals 26-27'!C20</f>
        <v>0</v>
      </c>
      <c r="H22" s="21">
        <f>'Apps &amp; Goals 26-27'!D20</f>
        <v>0</v>
      </c>
      <c r="I22" s="21">
        <f>'Apps &amp; Goals 26-27'!E20</f>
        <v>0</v>
      </c>
      <c r="J22" s="25">
        <f t="shared" si="15"/>
        <v>34</v>
      </c>
      <c r="K22" s="25">
        <f t="shared" si="16"/>
        <v>4</v>
      </c>
      <c r="L22" s="25">
        <f t="shared" si="17"/>
        <v>2</v>
      </c>
      <c r="M22">
        <v>22</v>
      </c>
      <c r="N22" s="45" t="s">
        <v>263</v>
      </c>
      <c r="O22" s="26">
        <v>10</v>
      </c>
      <c r="P22" s="26">
        <v>2</v>
      </c>
      <c r="Q22" s="26">
        <v>0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10</v>
      </c>
      <c r="W22" s="26">
        <f t="shared" si="19"/>
        <v>2</v>
      </c>
      <c r="X22" s="26">
        <f t="shared" si="20"/>
        <v>0</v>
      </c>
      <c r="Z22" s="23" t="s">
        <v>263</v>
      </c>
      <c r="AA22" s="24">
        <v>1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1</v>
      </c>
      <c r="AI22" s="24">
        <f t="shared" si="22"/>
        <v>0</v>
      </c>
      <c r="AJ22" s="24">
        <f t="shared" si="23"/>
        <v>0</v>
      </c>
      <c r="AL22" s="19" t="s">
        <v>263</v>
      </c>
      <c r="AM22" s="18">
        <v>6</v>
      </c>
      <c r="AN22" s="18">
        <v>4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6</v>
      </c>
      <c r="AU22" s="18">
        <f t="shared" si="25"/>
        <v>4</v>
      </c>
      <c r="AV22" s="18">
        <f t="shared" si="26"/>
        <v>0</v>
      </c>
      <c r="AX22" s="32" t="s">
        <v>263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4">
        <v>23</v>
      </c>
      <c r="B23" s="21" t="s">
        <v>293</v>
      </c>
      <c r="C23" s="25">
        <v>50</v>
      </c>
      <c r="D23" s="25">
        <v>11</v>
      </c>
      <c r="E23" s="25">
        <v>5</v>
      </c>
      <c r="F23" s="25"/>
      <c r="G23" s="21">
        <f>'Apps &amp; Goals 26-27'!C21</f>
        <v>2</v>
      </c>
      <c r="H23" s="21">
        <f>'Apps &amp; Goals 26-27'!D21</f>
        <v>0</v>
      </c>
      <c r="I23" s="21">
        <f>'Apps &amp; Goals 26-27'!E21</f>
        <v>0</v>
      </c>
      <c r="J23" s="25">
        <f t="shared" si="15"/>
        <v>52</v>
      </c>
      <c r="K23" s="25">
        <f t="shared" si="16"/>
        <v>11</v>
      </c>
      <c r="L23" s="25">
        <f t="shared" si="17"/>
        <v>5</v>
      </c>
      <c r="M23">
        <v>23</v>
      </c>
      <c r="N23" s="20" t="s">
        <v>293</v>
      </c>
      <c r="O23" s="26">
        <v>19</v>
      </c>
      <c r="P23" s="26">
        <v>4</v>
      </c>
      <c r="Q23" s="26">
        <v>3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19</v>
      </c>
      <c r="W23" s="26">
        <f t="shared" si="19"/>
        <v>4</v>
      </c>
      <c r="X23" s="26">
        <f t="shared" si="20"/>
        <v>3</v>
      </c>
      <c r="Z23" s="23" t="s">
        <v>293</v>
      </c>
      <c r="AA23" s="24">
        <v>2</v>
      </c>
      <c r="AB23" s="24">
        <v>0</v>
      </c>
      <c r="AC23" s="24">
        <v>0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2</v>
      </c>
      <c r="AI23" s="24">
        <f t="shared" si="22"/>
        <v>0</v>
      </c>
      <c r="AJ23" s="24">
        <f t="shared" si="23"/>
        <v>0</v>
      </c>
      <c r="AL23" s="19" t="s">
        <v>293</v>
      </c>
      <c r="AM23" s="18">
        <v>7</v>
      </c>
      <c r="AN23" s="18">
        <v>0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7</v>
      </c>
      <c r="AU23" s="18">
        <f t="shared" si="25"/>
        <v>0</v>
      </c>
      <c r="AV23" s="18">
        <f t="shared" si="26"/>
        <v>0</v>
      </c>
      <c r="AX23" s="64" t="s">
        <v>293</v>
      </c>
      <c r="AY23" s="33">
        <v>0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27"/>
        <v>0</v>
      </c>
      <c r="BG23" s="33">
        <f t="shared" si="28"/>
        <v>0</v>
      </c>
      <c r="BH23" s="33">
        <f t="shared" si="29"/>
        <v>0</v>
      </c>
    </row>
    <row r="24" spans="1:60" x14ac:dyDescent="0.25">
      <c r="A24" s="56">
        <v>29</v>
      </c>
      <c r="B24" s="22" t="s">
        <v>275</v>
      </c>
      <c r="C24" s="25">
        <v>72</v>
      </c>
      <c r="D24" s="25">
        <v>24</v>
      </c>
      <c r="E24" s="25">
        <v>13</v>
      </c>
      <c r="F24" s="25"/>
      <c r="G24" s="21">
        <f>'Apps &amp; Goals 26-27'!C22</f>
        <v>2</v>
      </c>
      <c r="H24" s="21">
        <f>'Apps &amp; Goals 26-27'!D22</f>
        <v>1</v>
      </c>
      <c r="I24" s="21">
        <f>'Apps &amp; Goals 26-27'!E22</f>
        <v>0</v>
      </c>
      <c r="J24" s="25">
        <f t="shared" si="15"/>
        <v>74</v>
      </c>
      <c r="K24" s="25">
        <f t="shared" si="16"/>
        <v>25</v>
      </c>
      <c r="L24" s="25">
        <f t="shared" si="17"/>
        <v>13</v>
      </c>
      <c r="M24">
        <v>29</v>
      </c>
      <c r="N24" s="20" t="s">
        <v>275</v>
      </c>
      <c r="O24" s="26">
        <v>24</v>
      </c>
      <c r="P24" s="26">
        <v>9</v>
      </c>
      <c r="Q24" s="26">
        <v>2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24</v>
      </c>
      <c r="W24" s="26">
        <f t="shared" si="19"/>
        <v>9</v>
      </c>
      <c r="X24" s="26">
        <f t="shared" si="20"/>
        <v>2</v>
      </c>
      <c r="Z24" s="57" t="s">
        <v>275</v>
      </c>
      <c r="AA24" s="24">
        <v>5</v>
      </c>
      <c r="AB24" s="24">
        <v>0</v>
      </c>
      <c r="AC24" s="24">
        <v>1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5</v>
      </c>
      <c r="AI24" s="24">
        <f t="shared" si="22"/>
        <v>0</v>
      </c>
      <c r="AJ24" s="24">
        <f t="shared" si="23"/>
        <v>1</v>
      </c>
      <c r="AL24" s="63" t="s">
        <v>275</v>
      </c>
      <c r="AM24" s="18">
        <v>9</v>
      </c>
      <c r="AN24" s="18">
        <v>3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9</v>
      </c>
      <c r="AU24" s="18">
        <f t="shared" si="25"/>
        <v>3</v>
      </c>
      <c r="AV24" s="18">
        <f t="shared" si="26"/>
        <v>0</v>
      </c>
      <c r="AX24" s="64" t="s">
        <v>275</v>
      </c>
      <c r="AY24" s="33">
        <v>1</v>
      </c>
      <c r="AZ24" s="33">
        <v>0</v>
      </c>
      <c r="BA24" s="33">
        <v>0</v>
      </c>
      <c r="BB24" s="33"/>
      <c r="BC24" s="64">
        <f>'Apps &amp; Goals 26-27'!O22</f>
        <v>1</v>
      </c>
      <c r="BD24" s="64">
        <f>'Apps &amp; Goals 26-27'!P22</f>
        <v>1</v>
      </c>
      <c r="BE24" s="64">
        <f>'Apps &amp; Goals 26-27'!Q22</f>
        <v>0</v>
      </c>
      <c r="BF24" s="33">
        <f t="shared" si="27"/>
        <v>2</v>
      </c>
      <c r="BG24" s="33">
        <f t="shared" si="28"/>
        <v>1</v>
      </c>
      <c r="BH24" s="33">
        <f t="shared" si="29"/>
        <v>0</v>
      </c>
    </row>
    <row r="25" spans="1:60" x14ac:dyDescent="0.25">
      <c r="A25" s="56">
        <v>30</v>
      </c>
      <c r="B25" s="22" t="s">
        <v>344</v>
      </c>
      <c r="C25" s="25">
        <v>0</v>
      </c>
      <c r="D25" s="25">
        <v>0</v>
      </c>
      <c r="E25" s="25">
        <v>0</v>
      </c>
      <c r="F25" s="25"/>
      <c r="G25" s="21">
        <f>'Apps &amp; Goals 26-27'!C23</f>
        <v>0</v>
      </c>
      <c r="H25" s="21">
        <f>'Apps &amp; Goals 26-27'!D23</f>
        <v>0</v>
      </c>
      <c r="I25" s="21">
        <f>'Apps &amp; Goals 26-27'!E23</f>
        <v>0</v>
      </c>
      <c r="J25" s="25">
        <f t="shared" si="15"/>
        <v>0</v>
      </c>
      <c r="K25" s="25">
        <f t="shared" si="16"/>
        <v>0</v>
      </c>
      <c r="L25" s="25">
        <f t="shared" si="17"/>
        <v>0</v>
      </c>
      <c r="M25">
        <v>30</v>
      </c>
      <c r="N25" s="20" t="s">
        <v>344</v>
      </c>
      <c r="O25" s="26">
        <v>0</v>
      </c>
      <c r="P25" s="26">
        <v>0</v>
      </c>
      <c r="Q25" s="26">
        <v>0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0</v>
      </c>
      <c r="W25" s="26">
        <f t="shared" si="19"/>
        <v>0</v>
      </c>
      <c r="X25" s="26">
        <f t="shared" si="20"/>
        <v>0</v>
      </c>
      <c r="Z25" s="57" t="s">
        <v>344</v>
      </c>
      <c r="AA25" s="24">
        <v>0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0</v>
      </c>
      <c r="AI25" s="24">
        <f t="shared" si="22"/>
        <v>0</v>
      </c>
      <c r="AJ25" s="24">
        <f t="shared" si="23"/>
        <v>0</v>
      </c>
      <c r="AL25" s="63" t="s">
        <v>344</v>
      </c>
      <c r="AM25" s="18">
        <v>0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0</v>
      </c>
      <c r="AU25" s="18">
        <f t="shared" si="25"/>
        <v>0</v>
      </c>
      <c r="AV25" s="18">
        <f t="shared" si="26"/>
        <v>0</v>
      </c>
      <c r="AX25" s="64" t="s">
        <v>344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27"/>
        <v>0</v>
      </c>
      <c r="BG25" s="33">
        <f t="shared" si="28"/>
        <v>0</v>
      </c>
      <c r="BH25" s="33">
        <f t="shared" si="29"/>
        <v>0</v>
      </c>
    </row>
    <row r="26" spans="1:60" ht="15.6" customHeight="1" x14ac:dyDescent="0.25">
      <c r="A26" s="56">
        <v>33</v>
      </c>
      <c r="B26" s="22" t="s">
        <v>291</v>
      </c>
      <c r="C26" s="25">
        <v>45</v>
      </c>
      <c r="D26" s="25">
        <v>3</v>
      </c>
      <c r="E26" s="25">
        <v>3</v>
      </c>
      <c r="F26" s="25"/>
      <c r="G26" s="21">
        <f>'Apps &amp; Goals 26-27'!C24</f>
        <v>2</v>
      </c>
      <c r="H26" s="21">
        <f>'Apps &amp; Goals 26-27'!D24</f>
        <v>0</v>
      </c>
      <c r="I26" s="21">
        <f>'Apps &amp; Goals 26-27'!E24</f>
        <v>2</v>
      </c>
      <c r="J26" s="25">
        <f t="shared" si="15"/>
        <v>47</v>
      </c>
      <c r="K26" s="25">
        <f t="shared" si="16"/>
        <v>3</v>
      </c>
      <c r="L26" s="25">
        <f t="shared" si="17"/>
        <v>5</v>
      </c>
      <c r="M26">
        <v>33</v>
      </c>
      <c r="N26" s="20" t="s">
        <v>291</v>
      </c>
      <c r="O26" s="26">
        <v>14</v>
      </c>
      <c r="P26" s="26">
        <v>1</v>
      </c>
      <c r="Q26" s="26">
        <v>2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14</v>
      </c>
      <c r="W26" s="26">
        <f t="shared" si="19"/>
        <v>1</v>
      </c>
      <c r="X26" s="26">
        <f t="shared" si="20"/>
        <v>2</v>
      </c>
      <c r="Z26" s="57" t="s">
        <v>291</v>
      </c>
      <c r="AA26" s="24">
        <v>2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2</v>
      </c>
      <c r="AI26" s="24">
        <f t="shared" si="22"/>
        <v>0</v>
      </c>
      <c r="AJ26" s="24">
        <f t="shared" si="23"/>
        <v>0</v>
      </c>
      <c r="AL26" s="63" t="s">
        <v>291</v>
      </c>
      <c r="AM26" s="18">
        <v>4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4</v>
      </c>
      <c r="AU26" s="18">
        <f t="shared" si="25"/>
        <v>0</v>
      </c>
      <c r="AV26" s="18">
        <f t="shared" si="26"/>
        <v>0</v>
      </c>
      <c r="AX26" s="64" t="s">
        <v>291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1</v>
      </c>
      <c r="BD26" s="64">
        <f>'Apps &amp; Goals 26-27'!P24</f>
        <v>1</v>
      </c>
      <c r="BE26" s="64">
        <f>'Apps &amp; Goals 26-27'!Q24</f>
        <v>0</v>
      </c>
      <c r="BF26" s="33">
        <f t="shared" si="27"/>
        <v>1</v>
      </c>
      <c r="BG26" s="33">
        <f t="shared" si="28"/>
        <v>1</v>
      </c>
      <c r="BH26" s="33">
        <f t="shared" si="29"/>
        <v>0</v>
      </c>
    </row>
    <row r="27" spans="1:60" ht="15.6" customHeight="1" x14ac:dyDescent="0.25">
      <c r="A27" s="56">
        <v>35</v>
      </c>
      <c r="B27" s="22" t="s">
        <v>303</v>
      </c>
      <c r="C27" s="25">
        <v>0</v>
      </c>
      <c r="D27" s="25">
        <v>0</v>
      </c>
      <c r="E27" s="25">
        <v>0</v>
      </c>
      <c r="F27" s="25"/>
      <c r="G27" s="21">
        <f>'Apps &amp; Goals 26-27'!C25</f>
        <v>0</v>
      </c>
      <c r="H27" s="21">
        <f>'Apps &amp; Goals 26-27'!D25</f>
        <v>0</v>
      </c>
      <c r="I27" s="21">
        <f>'Apps &amp; Goals 26-27'!E25</f>
        <v>0</v>
      </c>
      <c r="J27" s="25">
        <f t="shared" si="15"/>
        <v>0</v>
      </c>
      <c r="K27" s="25">
        <f t="shared" si="16"/>
        <v>0</v>
      </c>
      <c r="L27" s="25">
        <f t="shared" si="17"/>
        <v>0</v>
      </c>
      <c r="M27">
        <v>35</v>
      </c>
      <c r="N27" s="20" t="s">
        <v>303</v>
      </c>
      <c r="O27" s="26">
        <v>0</v>
      </c>
      <c r="P27" s="26">
        <v>0</v>
      </c>
      <c r="Q27" s="26">
        <v>0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0</v>
      </c>
      <c r="W27" s="26">
        <f t="shared" si="19"/>
        <v>0</v>
      </c>
      <c r="X27" s="26">
        <f t="shared" si="20"/>
        <v>0</v>
      </c>
      <c r="Z27" s="57" t="s">
        <v>303</v>
      </c>
      <c r="AA27" s="24">
        <v>1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1</v>
      </c>
      <c r="AI27" s="24">
        <f t="shared" si="22"/>
        <v>0</v>
      </c>
      <c r="AJ27" s="24">
        <f t="shared" si="23"/>
        <v>0</v>
      </c>
      <c r="AL27" s="63" t="s">
        <v>303</v>
      </c>
      <c r="AM27" s="18">
        <v>1</v>
      </c>
      <c r="AN27" s="18">
        <v>0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1</v>
      </c>
      <c r="AU27" s="18">
        <f t="shared" si="25"/>
        <v>0</v>
      </c>
      <c r="AV27" s="18">
        <f t="shared" si="26"/>
        <v>0</v>
      </c>
      <c r="AX27" s="64" t="s">
        <v>303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0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0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36</v>
      </c>
      <c r="B28" s="22" t="s">
        <v>313</v>
      </c>
      <c r="C28" s="25">
        <v>38</v>
      </c>
      <c r="D28" s="25">
        <v>5</v>
      </c>
      <c r="E28" s="25">
        <v>1</v>
      </c>
      <c r="F28" s="25"/>
      <c r="G28" s="21">
        <f>'Apps &amp; Goals 26-27'!C26</f>
        <v>2</v>
      </c>
      <c r="H28" s="21">
        <f>'Apps &amp; Goals 26-27'!D26</f>
        <v>0</v>
      </c>
      <c r="I28" s="21">
        <f>'Apps &amp; Goals 26-27'!E26</f>
        <v>0</v>
      </c>
      <c r="J28" s="25">
        <f t="shared" si="15"/>
        <v>40</v>
      </c>
      <c r="K28" s="25">
        <f t="shared" si="16"/>
        <v>5</v>
      </c>
      <c r="L28" s="25">
        <f t="shared" si="17"/>
        <v>1</v>
      </c>
      <c r="M28">
        <v>36</v>
      </c>
      <c r="N28" s="20" t="s">
        <v>313</v>
      </c>
      <c r="O28" s="26">
        <v>13</v>
      </c>
      <c r="P28" s="26">
        <v>0</v>
      </c>
      <c r="Q28" s="26">
        <v>2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13</v>
      </c>
      <c r="W28" s="26">
        <f t="shared" si="19"/>
        <v>0</v>
      </c>
      <c r="X28" s="26">
        <f t="shared" si="20"/>
        <v>2</v>
      </c>
      <c r="Z28" s="57" t="s">
        <v>313</v>
      </c>
      <c r="AA28" s="24">
        <v>3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3</v>
      </c>
      <c r="AI28" s="24">
        <f t="shared" si="22"/>
        <v>0</v>
      </c>
      <c r="AJ28" s="24">
        <f t="shared" si="23"/>
        <v>0</v>
      </c>
      <c r="AL28" s="63" t="s">
        <v>313</v>
      </c>
      <c r="AM28" s="18">
        <v>3</v>
      </c>
      <c r="AN28" s="18">
        <v>1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3</v>
      </c>
      <c r="AU28" s="18">
        <f t="shared" si="25"/>
        <v>1</v>
      </c>
      <c r="AV28" s="18">
        <f t="shared" si="26"/>
        <v>0</v>
      </c>
      <c r="AX28" s="64" t="s">
        <v>313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ht="15.6" customHeight="1" x14ac:dyDescent="0.25">
      <c r="A29" s="56">
        <v>39</v>
      </c>
      <c r="B29" s="22" t="s">
        <v>345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1</v>
      </c>
      <c r="H29" s="21">
        <f>'Apps &amp; Goals 26-27'!D27</f>
        <v>0</v>
      </c>
      <c r="I29" s="21">
        <f>'Apps &amp; Goals 26-27'!E27</f>
        <v>0</v>
      </c>
      <c r="J29" s="25">
        <f t="shared" si="15"/>
        <v>1</v>
      </c>
      <c r="K29" s="25">
        <f t="shared" si="16"/>
        <v>0</v>
      </c>
      <c r="L29" s="25">
        <f t="shared" si="17"/>
        <v>0</v>
      </c>
      <c r="M29">
        <v>39</v>
      </c>
      <c r="N29" s="20" t="s">
        <v>345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18"/>
        <v>0</v>
      </c>
      <c r="W29" s="26">
        <f t="shared" si="19"/>
        <v>0</v>
      </c>
      <c r="X29" s="26">
        <f t="shared" si="20"/>
        <v>0</v>
      </c>
      <c r="Z29" s="57" t="s">
        <v>345</v>
      </c>
      <c r="AA29" s="24">
        <v>0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21"/>
        <v>0</v>
      </c>
      <c r="AI29" s="24">
        <f t="shared" si="22"/>
        <v>0</v>
      </c>
      <c r="AJ29" s="24">
        <f t="shared" si="23"/>
        <v>0</v>
      </c>
      <c r="AL29" s="63" t="s">
        <v>345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24"/>
        <v>0</v>
      </c>
      <c r="AU29" s="18">
        <f t="shared" si="25"/>
        <v>0</v>
      </c>
      <c r="AV29" s="18">
        <f t="shared" si="26"/>
        <v>0</v>
      </c>
      <c r="AX29" s="64" t="s">
        <v>345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1</v>
      </c>
      <c r="BD29" s="64">
        <f>'Apps &amp; Goals 26-27'!P27</f>
        <v>0</v>
      </c>
      <c r="BE29" s="64">
        <f>'Apps &amp; Goals 26-27'!Q27</f>
        <v>0</v>
      </c>
      <c r="BF29" s="33">
        <f t="shared" si="27"/>
        <v>1</v>
      </c>
      <c r="BG29" s="33">
        <f t="shared" si="28"/>
        <v>0</v>
      </c>
      <c r="BH29" s="33">
        <f t="shared" si="29"/>
        <v>0</v>
      </c>
    </row>
    <row r="30" spans="1:60" x14ac:dyDescent="0.25">
      <c r="A30" s="4">
        <v>52</v>
      </c>
      <c r="B30" s="22" t="s">
        <v>341</v>
      </c>
      <c r="C30" s="25">
        <v>0</v>
      </c>
      <c r="D30" s="25">
        <v>0</v>
      </c>
      <c r="E30" s="25">
        <v>0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>G30+C30</f>
        <v>0</v>
      </c>
      <c r="K30" s="25">
        <f>H30+D30</f>
        <v>0</v>
      </c>
      <c r="L30" s="25">
        <f>I30+E30</f>
        <v>0</v>
      </c>
      <c r="M30">
        <v>40</v>
      </c>
      <c r="N30" s="45" t="s">
        <v>341</v>
      </c>
      <c r="O30" s="26">
        <v>0</v>
      </c>
      <c r="P30" s="26">
        <v>0</v>
      </c>
      <c r="Q30" s="26">
        <v>0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>S30+O30</f>
        <v>0</v>
      </c>
      <c r="W30" s="26">
        <f>T30+P30</f>
        <v>0</v>
      </c>
      <c r="X30" s="26">
        <f>U30+Q30</f>
        <v>0</v>
      </c>
      <c r="Z30" s="57" t="s">
        <v>341</v>
      </c>
      <c r="AA30" s="24">
        <v>1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>AE30+AA30</f>
        <v>1</v>
      </c>
      <c r="AI30" s="24">
        <f>AF30+AB30</f>
        <v>0</v>
      </c>
      <c r="AJ30" s="24">
        <f>AG30+AC30</f>
        <v>0</v>
      </c>
      <c r="AL30" s="63" t="s">
        <v>341</v>
      </c>
      <c r="AM30" s="18">
        <v>0</v>
      </c>
      <c r="AN30" s="18">
        <v>0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>AQ30+AM30</f>
        <v>0</v>
      </c>
      <c r="AU30" s="18">
        <f>AR30+AN30</f>
        <v>0</v>
      </c>
      <c r="AV30" s="18">
        <f>AS30+AO30</f>
        <v>0</v>
      </c>
      <c r="AX30" s="32" t="s">
        <v>341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0</v>
      </c>
      <c r="BD30" s="64">
        <f>'Apps &amp; Goals 26-27'!P28</f>
        <v>0</v>
      </c>
      <c r="BE30" s="64">
        <f>'Apps &amp; Goals 26-27'!Q28</f>
        <v>0</v>
      </c>
      <c r="BF30" s="33">
        <f>BC30+AY30</f>
        <v>0</v>
      </c>
      <c r="BG30" s="33">
        <f>BD30+AZ30</f>
        <v>0</v>
      </c>
      <c r="BH30" s="33">
        <f>BE30+BA30</f>
        <v>0</v>
      </c>
    </row>
    <row r="31" spans="1:60" x14ac:dyDescent="0.25">
      <c r="A31" s="4">
        <v>41</v>
      </c>
      <c r="B31" s="22" t="s">
        <v>277</v>
      </c>
      <c r="C31" s="25">
        <v>109</v>
      </c>
      <c r="D31" s="25">
        <v>15</v>
      </c>
      <c r="E31" s="25">
        <v>20</v>
      </c>
      <c r="F31" s="25"/>
      <c r="G31" s="21">
        <f>'Apps &amp; Goals 26-27'!C29</f>
        <v>2</v>
      </c>
      <c r="H31" s="21">
        <f>'Apps &amp; Goals 26-27'!D29</f>
        <v>0</v>
      </c>
      <c r="I31" s="21">
        <f>'Apps &amp; Goals 26-27'!E29</f>
        <v>0</v>
      </c>
      <c r="J31" s="25">
        <f t="shared" si="15"/>
        <v>111</v>
      </c>
      <c r="K31" s="25">
        <f t="shared" si="16"/>
        <v>15</v>
      </c>
      <c r="L31" s="25">
        <f t="shared" si="17"/>
        <v>20</v>
      </c>
      <c r="M31">
        <v>41</v>
      </c>
      <c r="N31" s="45" t="s">
        <v>277</v>
      </c>
      <c r="O31" s="26">
        <v>36</v>
      </c>
      <c r="P31" s="26">
        <v>5</v>
      </c>
      <c r="Q31" s="26">
        <v>5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18"/>
        <v>36</v>
      </c>
      <c r="W31" s="26">
        <f t="shared" si="19"/>
        <v>5</v>
      </c>
      <c r="X31" s="26">
        <f t="shared" si="20"/>
        <v>5</v>
      </c>
      <c r="Z31" s="57" t="s">
        <v>277</v>
      </c>
      <c r="AA31" s="24">
        <v>2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21"/>
        <v>2</v>
      </c>
      <c r="AI31" s="24">
        <f t="shared" si="22"/>
        <v>0</v>
      </c>
      <c r="AJ31" s="24">
        <f t="shared" si="23"/>
        <v>0</v>
      </c>
      <c r="AL31" s="63" t="s">
        <v>277</v>
      </c>
      <c r="AM31" s="18">
        <v>10</v>
      </c>
      <c r="AN31" s="18">
        <v>1</v>
      </c>
      <c r="AO31" s="18">
        <v>3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24"/>
        <v>10</v>
      </c>
      <c r="AU31" s="18">
        <f t="shared" si="25"/>
        <v>1</v>
      </c>
      <c r="AV31" s="18">
        <f t="shared" si="26"/>
        <v>3</v>
      </c>
      <c r="AX31" s="32" t="s">
        <v>277</v>
      </c>
      <c r="AY31" s="33">
        <v>1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27"/>
        <v>2</v>
      </c>
      <c r="BG31" s="33">
        <f t="shared" si="28"/>
        <v>0</v>
      </c>
      <c r="BH31" s="33">
        <f t="shared" si="29"/>
        <v>0</v>
      </c>
    </row>
    <row r="32" spans="1:60" x14ac:dyDescent="0.25">
      <c r="A32" s="56">
        <v>71</v>
      </c>
      <c r="B32" s="22" t="s">
        <v>327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ref="J32:L33" si="30">G32+C32</f>
        <v>0</v>
      </c>
      <c r="K32" s="25">
        <f t="shared" si="30"/>
        <v>0</v>
      </c>
      <c r="L32" s="25">
        <f t="shared" si="30"/>
        <v>0</v>
      </c>
      <c r="M32">
        <v>43</v>
      </c>
      <c r="N32" s="45" t="s">
        <v>327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ref="V32:X33" si="31">S32+O32</f>
        <v>1</v>
      </c>
      <c r="W32" s="26">
        <f t="shared" si="31"/>
        <v>0</v>
      </c>
      <c r="X32" s="26">
        <f t="shared" si="31"/>
        <v>0</v>
      </c>
      <c r="Z32" s="23" t="s">
        <v>327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ref="AH32:AJ33" si="32">AE32+AA32</f>
        <v>0</v>
      </c>
      <c r="AI32" s="24">
        <f t="shared" si="32"/>
        <v>0</v>
      </c>
      <c r="AJ32" s="24">
        <f t="shared" si="32"/>
        <v>0</v>
      </c>
      <c r="AL32" s="19" t="s">
        <v>327</v>
      </c>
      <c r="AM32" s="18">
        <v>1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ref="AT32:AV33" si="33">AQ32+AM32</f>
        <v>1</v>
      </c>
      <c r="AU32" s="18">
        <f t="shared" si="33"/>
        <v>0</v>
      </c>
      <c r="AV32" s="18">
        <f t="shared" si="33"/>
        <v>0</v>
      </c>
      <c r="AX32" s="32" t="s">
        <v>327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ref="BF32:BH33" si="34">BC32+AY32</f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56">
        <v>72</v>
      </c>
      <c r="B33" s="22" t="s">
        <v>338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30"/>
        <v>0</v>
      </c>
      <c r="K33" s="25">
        <f t="shared" si="30"/>
        <v>0</v>
      </c>
      <c r="L33" s="25">
        <f t="shared" si="30"/>
        <v>0</v>
      </c>
      <c r="M33">
        <v>44</v>
      </c>
      <c r="N33" s="45" t="s">
        <v>338</v>
      </c>
      <c r="O33" s="26">
        <v>1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1"/>
        <v>1</v>
      </c>
      <c r="W33" s="26">
        <f t="shared" si="31"/>
        <v>0</v>
      </c>
      <c r="X33" s="26">
        <f t="shared" si="31"/>
        <v>0</v>
      </c>
      <c r="Z33" s="23" t="s">
        <v>338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32"/>
        <v>0</v>
      </c>
      <c r="AI33" s="24">
        <f t="shared" si="32"/>
        <v>0</v>
      </c>
      <c r="AJ33" s="24">
        <f t="shared" si="32"/>
        <v>0</v>
      </c>
      <c r="AL33" s="19" t="s">
        <v>338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33"/>
        <v>0</v>
      </c>
      <c r="AU33" s="18">
        <f t="shared" si="33"/>
        <v>0</v>
      </c>
      <c r="AV33" s="18">
        <f t="shared" si="33"/>
        <v>0</v>
      </c>
      <c r="AX33" s="32" t="s">
        <v>338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34"/>
        <v>0</v>
      </c>
      <c r="BG33" s="33">
        <f t="shared" si="34"/>
        <v>0</v>
      </c>
      <c r="BH33" s="33">
        <f t="shared" si="3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15"/>
        <v>0</v>
      </c>
      <c r="K34" s="25">
        <f t="shared" si="16"/>
        <v>0</v>
      </c>
      <c r="L34" s="25">
        <f t="shared" si="17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0</v>
      </c>
      <c r="W34" s="26">
        <f t="shared" si="19"/>
        <v>0</v>
      </c>
      <c r="X34" s="26">
        <f t="shared" si="20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0</v>
      </c>
      <c r="AI34" s="24">
        <f t="shared" si="22"/>
        <v>0</v>
      </c>
      <c r="AJ34" s="24">
        <f t="shared" si="23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1</v>
      </c>
      <c r="AU34" s="18">
        <f t="shared" si="25"/>
        <v>0</v>
      </c>
      <c r="AV34" s="18">
        <f t="shared" si="26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27"/>
        <v>0</v>
      </c>
      <c r="BG34" s="33">
        <f t="shared" si="28"/>
        <v>0</v>
      </c>
      <c r="BH34" s="33">
        <f t="shared" si="29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2</v>
      </c>
      <c r="H35" s="21">
        <f>'Apps &amp; Goals 26-27'!D33</f>
        <v>0</v>
      </c>
      <c r="I35" s="21">
        <f>'Apps &amp; Goals 26-27'!E33</f>
        <v>0</v>
      </c>
      <c r="J35" s="25">
        <f t="shared" si="15"/>
        <v>45</v>
      </c>
      <c r="K35" s="25">
        <f t="shared" si="16"/>
        <v>1</v>
      </c>
      <c r="L35" s="25">
        <f t="shared" si="17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20</v>
      </c>
      <c r="W35" s="26">
        <f t="shared" si="19"/>
        <v>0</v>
      </c>
      <c r="X35" s="26">
        <f t="shared" si="20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4</v>
      </c>
      <c r="AI35" s="24">
        <f t="shared" si="22"/>
        <v>0</v>
      </c>
      <c r="AJ35" s="24">
        <f t="shared" si="23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8</v>
      </c>
      <c r="AU35" s="18">
        <f t="shared" si="25"/>
        <v>0</v>
      </c>
      <c r="AV35" s="18">
        <f t="shared" si="26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27"/>
        <v>1</v>
      </c>
      <c r="BG35" s="33">
        <f t="shared" si="28"/>
        <v>0</v>
      </c>
      <c r="BH35" s="33">
        <f t="shared" si="29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15"/>
        <v>0</v>
      </c>
      <c r="K36" s="25">
        <f t="shared" si="16"/>
        <v>0</v>
      </c>
      <c r="L36" s="25">
        <f t="shared" si="17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18"/>
        <v>0</v>
      </c>
      <c r="W36" s="26">
        <f t="shared" si="19"/>
        <v>0</v>
      </c>
      <c r="X36" s="26">
        <f t="shared" si="20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21"/>
        <v>0</v>
      </c>
      <c r="AI36" s="24">
        <f t="shared" si="22"/>
        <v>0</v>
      </c>
      <c r="AJ36" s="24">
        <f t="shared" si="23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24"/>
        <v>1</v>
      </c>
      <c r="AU36" s="18">
        <f t="shared" si="25"/>
        <v>0</v>
      </c>
      <c r="AV36" s="18">
        <f t="shared" si="26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27"/>
        <v>0</v>
      </c>
      <c r="BG36" s="33">
        <f t="shared" si="28"/>
        <v>0</v>
      </c>
      <c r="BH36" s="33">
        <f t="shared" si="29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>G37+C37</f>
        <v>0</v>
      </c>
      <c r="K37" s="25">
        <f>H37+D37</f>
        <v>0</v>
      </c>
      <c r="L37" s="25">
        <f>I37+E37</f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>S37+O37</f>
        <v>0</v>
      </c>
      <c r="W37" s="26">
        <f>T37+P37</f>
        <v>0</v>
      </c>
      <c r="X37" s="26">
        <f>U37+Q37</f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>AE37+AA37</f>
        <v>0</v>
      </c>
      <c r="AI37" s="24">
        <f>AF37+AB37</f>
        <v>0</v>
      </c>
      <c r="AJ37" s="24">
        <f>AG37+AC37</f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>AQ37+AM37</f>
        <v>1</v>
      </c>
      <c r="AU37" s="18">
        <f>AR37+AN37</f>
        <v>0</v>
      </c>
      <c r="AV37" s="18">
        <f>AS37+AO37</f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>BC37+AY37</f>
        <v>0</v>
      </c>
      <c r="BG37" s="33">
        <f>BD37+AZ37</f>
        <v>0</v>
      </c>
      <c r="BH37" s="33">
        <f>BE37+BA37</f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6</v>
      </c>
      <c r="K38" s="25">
        <f t="shared" si="16"/>
        <v>1</v>
      </c>
      <c r="L38" s="25">
        <f t="shared" si="17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3</v>
      </c>
      <c r="W38" s="26">
        <f t="shared" si="19"/>
        <v>0</v>
      </c>
      <c r="X38" s="26">
        <f t="shared" si="20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2</v>
      </c>
      <c r="AU38" s="18">
        <f t="shared" si="25"/>
        <v>0</v>
      </c>
      <c r="AV38" s="18">
        <f t="shared" si="26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3</v>
      </c>
      <c r="AI40" s="24">
        <f t="shared" si="22"/>
        <v>0</v>
      </c>
      <c r="AJ40" s="24">
        <f t="shared" si="23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tabSelected="1" zoomScale="90" zoomScaleNormal="90" zoomScalePageLayoutView="110" workbookViewId="0">
      <selection activeCell="Y29" sqref="Y29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4"/>
      <c r="G1" s="204"/>
      <c r="H1" s="20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0" t="s">
        <v>4</v>
      </c>
      <c r="F2" s="201"/>
      <c r="G2" s="202"/>
      <c r="H2" s="205" t="s">
        <v>120</v>
      </c>
      <c r="I2" s="206"/>
      <c r="J2" s="207"/>
      <c r="K2" s="200" t="s">
        <v>108</v>
      </c>
      <c r="L2" s="201"/>
      <c r="M2" s="202"/>
      <c r="N2" s="205" t="s">
        <v>110</v>
      </c>
      <c r="O2" s="206"/>
      <c r="P2" s="207"/>
      <c r="Q2" s="200" t="s">
        <v>39</v>
      </c>
      <c r="R2" s="201"/>
      <c r="S2" s="202"/>
      <c r="T2" s="203" t="s">
        <v>7</v>
      </c>
      <c r="U2" s="203"/>
      <c r="V2" s="203"/>
      <c r="Z2" s="125">
        <v>46266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109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150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6" si="2">SUM(E5,H5,K5,N5,Q5)</f>
        <v>184</v>
      </c>
      <c r="U5" s="2">
        <f t="shared" ref="U5:U16" si="3">SUM(F5,I5,L5,O5,R5)</f>
        <v>8</v>
      </c>
      <c r="V5" s="2">
        <f t="shared" ref="V5:V16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138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193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194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264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228</v>
      </c>
      <c r="F10" s="6">
        <f>'#'!K12</f>
        <v>62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315</v>
      </c>
      <c r="U10" s="2">
        <f t="shared" si="3"/>
        <v>83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178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237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34</v>
      </c>
      <c r="F12" s="6">
        <f>'#'!K14</f>
        <v>7</v>
      </c>
      <c r="G12" s="6">
        <f>'#'!L14</f>
        <v>2</v>
      </c>
      <c r="H12" s="4">
        <f>'#'!V14</f>
        <v>13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55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11</v>
      </c>
      <c r="B13" s="4" t="s">
        <v>357</v>
      </c>
      <c r="C13" s="4" t="s">
        <v>354</v>
      </c>
      <c r="D13" s="35" t="s">
        <v>188</v>
      </c>
      <c r="E13" s="6">
        <f>'#'!J15</f>
        <v>191</v>
      </c>
      <c r="F13" s="6">
        <f>'#'!K15</f>
        <v>41</v>
      </c>
      <c r="G13" s="6">
        <f>'#'!L15</f>
        <v>24</v>
      </c>
      <c r="H13" s="4">
        <f>'#'!V15</f>
        <v>53</v>
      </c>
      <c r="I13" s="4">
        <f>'#'!W15</f>
        <v>13</v>
      </c>
      <c r="J13" s="4">
        <f>'#'!X15</f>
        <v>8</v>
      </c>
      <c r="K13" s="6">
        <f>'#'!AH15</f>
        <v>13</v>
      </c>
      <c r="L13" s="6">
        <f>'#'!AI15</f>
        <v>4</v>
      </c>
      <c r="M13" s="6">
        <f>'#'!AJ15</f>
        <v>3</v>
      </c>
      <c r="N13" s="4">
        <f>'#'!AT15</f>
        <v>20</v>
      </c>
      <c r="O13" s="4">
        <f>'#'!AU15</f>
        <v>4</v>
      </c>
      <c r="P13" s="4">
        <f>'#'!AV15</f>
        <v>1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278</v>
      </c>
      <c r="U13" s="2">
        <f t="shared" si="3"/>
        <v>62</v>
      </c>
      <c r="V13" s="2">
        <f t="shared" si="4"/>
        <v>36</v>
      </c>
    </row>
    <row r="14" spans="1:26" x14ac:dyDescent="0.25">
      <c r="A14" s="4">
        <v>12</v>
      </c>
      <c r="B14" s="4" t="s">
        <v>356</v>
      </c>
      <c r="C14" s="4" t="s">
        <v>352</v>
      </c>
      <c r="D14" s="35" t="s">
        <v>276</v>
      </c>
      <c r="E14" s="6">
        <f>'#'!J16</f>
        <v>62</v>
      </c>
      <c r="F14" s="6">
        <f>'#'!K16</f>
        <v>4</v>
      </c>
      <c r="G14" s="6">
        <f>'#'!L16</f>
        <v>8</v>
      </c>
      <c r="H14" s="4">
        <f>'#'!V16</f>
        <v>21</v>
      </c>
      <c r="I14" s="4">
        <f>'#'!W16</f>
        <v>2</v>
      </c>
      <c r="J14" s="4">
        <f>'#'!X16</f>
        <v>2</v>
      </c>
      <c r="K14" s="6">
        <f>'#'!AH16</f>
        <v>3</v>
      </c>
      <c r="L14" s="6">
        <f>'#'!AI16</f>
        <v>0</v>
      </c>
      <c r="M14" s="6">
        <f>'#'!AJ16</f>
        <v>0</v>
      </c>
      <c r="N14" s="4">
        <f>'#'!AT16</f>
        <v>8</v>
      </c>
      <c r="O14" s="4">
        <f>'#'!AU16</f>
        <v>0</v>
      </c>
      <c r="P14" s="4">
        <f>'#'!AV16</f>
        <v>0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95</v>
      </c>
      <c r="U14" s="2">
        <f t="shared" si="3"/>
        <v>6</v>
      </c>
      <c r="V14" s="2">
        <f t="shared" si="4"/>
        <v>10</v>
      </c>
    </row>
    <row r="15" spans="1:26" x14ac:dyDescent="0.25">
      <c r="A15" s="4">
        <v>13</v>
      </c>
      <c r="B15" s="27" t="s">
        <v>349</v>
      </c>
      <c r="C15" s="4" t="s">
        <v>350</v>
      </c>
      <c r="D15" s="149" t="s">
        <v>312</v>
      </c>
      <c r="E15" s="6">
        <f>'#'!J17</f>
        <v>1</v>
      </c>
      <c r="F15" s="6">
        <f>'#'!K17</f>
        <v>0</v>
      </c>
      <c r="G15" s="6">
        <f>'#'!L17</f>
        <v>0</v>
      </c>
      <c r="H15" s="4">
        <f>'#'!V17</f>
        <v>1</v>
      </c>
      <c r="I15" s="4">
        <f>'#'!W17</f>
        <v>0</v>
      </c>
      <c r="J15" s="4">
        <f>'#'!X17</f>
        <v>0</v>
      </c>
      <c r="K15" s="6">
        <f>'#'!AH17</f>
        <v>4</v>
      </c>
      <c r="L15" s="6">
        <f>'#'!AI17</f>
        <v>0</v>
      </c>
      <c r="M15" s="6">
        <f>'#'!AJ17</f>
        <v>0</v>
      </c>
      <c r="N15" s="4">
        <f>'#'!AT17</f>
        <v>6</v>
      </c>
      <c r="O15" s="4">
        <f>'#'!AU17</f>
        <v>0</v>
      </c>
      <c r="P15" s="4">
        <f>'#'!AV17</f>
        <v>0</v>
      </c>
      <c r="Q15" s="6">
        <f>'#'!BF17</f>
        <v>0</v>
      </c>
      <c r="R15" s="6">
        <f>'#'!BG17</f>
        <v>0</v>
      </c>
      <c r="S15" s="6">
        <f>'#'!BH17</f>
        <v>0</v>
      </c>
      <c r="T15" s="2">
        <f t="shared" si="2"/>
        <v>12</v>
      </c>
      <c r="U15" s="2">
        <f t="shared" si="3"/>
        <v>0</v>
      </c>
      <c r="V15" s="2">
        <f t="shared" si="4"/>
        <v>0</v>
      </c>
    </row>
    <row r="16" spans="1:26" x14ac:dyDescent="0.25">
      <c r="A16" s="4">
        <v>14</v>
      </c>
      <c r="B16" s="27" t="s">
        <v>360</v>
      </c>
      <c r="C16" s="4" t="s">
        <v>354</v>
      </c>
      <c r="D16" s="149" t="s">
        <v>317</v>
      </c>
      <c r="E16" s="6">
        <f>'#'!J18</f>
        <v>36</v>
      </c>
      <c r="F16" s="6">
        <f>'#'!K18</f>
        <v>14</v>
      </c>
      <c r="G16" s="6">
        <f>'#'!L18</f>
        <v>1</v>
      </c>
      <c r="H16" s="4">
        <f>'#'!V18</f>
        <v>13</v>
      </c>
      <c r="I16" s="4">
        <f>'#'!W18</f>
        <v>5</v>
      </c>
      <c r="J16" s="4">
        <f>'#'!X18</f>
        <v>1</v>
      </c>
      <c r="K16" s="6">
        <f>'#'!AH18</f>
        <v>2</v>
      </c>
      <c r="L16" s="6">
        <f>'#'!AI18</f>
        <v>1</v>
      </c>
      <c r="M16" s="6">
        <f>'#'!AJ18</f>
        <v>0</v>
      </c>
      <c r="N16" s="4">
        <f>'#'!AT18</f>
        <v>4</v>
      </c>
      <c r="O16" s="4">
        <f>'#'!AU18</f>
        <v>1</v>
      </c>
      <c r="P16" s="4">
        <f>'#'!AV18</f>
        <v>1</v>
      </c>
      <c r="Q16" s="6">
        <f>'#'!BF18</f>
        <v>1</v>
      </c>
      <c r="R16" s="6">
        <f>'#'!BG18</f>
        <v>0</v>
      </c>
      <c r="S16" s="6">
        <f>'#'!BH18</f>
        <v>0</v>
      </c>
      <c r="T16" s="2">
        <f t="shared" si="2"/>
        <v>56</v>
      </c>
      <c r="U16" s="2">
        <f t="shared" si="3"/>
        <v>21</v>
      </c>
      <c r="V16" s="2">
        <f t="shared" si="4"/>
        <v>3</v>
      </c>
    </row>
    <row r="17" spans="1:22" x14ac:dyDescent="0.25">
      <c r="A17" s="4">
        <v>15</v>
      </c>
      <c r="B17" s="27" t="s">
        <v>355</v>
      </c>
      <c r="C17" s="4" t="s">
        <v>352</v>
      </c>
      <c r="D17" s="149" t="s">
        <v>437</v>
      </c>
      <c r="E17" s="6">
        <f>'#'!J19</f>
        <v>1</v>
      </c>
      <c r="F17" s="6">
        <f>'#'!K19</f>
        <v>0</v>
      </c>
      <c r="G17" s="6">
        <f>'#'!L19</f>
        <v>0</v>
      </c>
      <c r="H17" s="4">
        <f>'#'!V19</f>
        <v>0</v>
      </c>
      <c r="I17" s="4">
        <f>'#'!W19</f>
        <v>0</v>
      </c>
      <c r="J17" s="4">
        <f>'#'!X19</f>
        <v>0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0</v>
      </c>
      <c r="R17" s="6">
        <f>'#'!BG19</f>
        <v>0</v>
      </c>
      <c r="S17" s="6">
        <f>'#'!BH19</f>
        <v>0</v>
      </c>
      <c r="T17" s="2">
        <f t="shared" ref="T17:T38" si="5">SUM(E17,H17,K17,N17,Q17)</f>
        <v>1</v>
      </c>
      <c r="U17" s="2">
        <f t="shared" ref="U17:U38" si="6">SUM(F17,I17,L17,O17,R17)</f>
        <v>0</v>
      </c>
      <c r="V17" s="2">
        <f t="shared" ref="V17:V38" si="7">SUM(G17,J17,M17,P17,S17)</f>
        <v>0</v>
      </c>
    </row>
    <row r="18" spans="1:22" x14ac:dyDescent="0.25">
      <c r="A18" s="4">
        <v>17</v>
      </c>
      <c r="B18" s="27" t="s">
        <v>361</v>
      </c>
      <c r="C18" s="4" t="s">
        <v>354</v>
      </c>
      <c r="D18" s="148" t="s">
        <v>343</v>
      </c>
      <c r="E18" s="6">
        <f>'#'!J20</f>
        <v>2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2</v>
      </c>
      <c r="T18" s="2">
        <f t="shared" si="5"/>
        <v>3</v>
      </c>
      <c r="U18" s="2">
        <f t="shared" si="6"/>
        <v>0</v>
      </c>
      <c r="V18" s="2">
        <f t="shared" si="7"/>
        <v>2</v>
      </c>
    </row>
    <row r="19" spans="1:22" x14ac:dyDescent="0.25">
      <c r="A19" s="4">
        <v>20</v>
      </c>
      <c r="B19" s="56" t="s">
        <v>355</v>
      </c>
      <c r="C19" s="4" t="s">
        <v>354</v>
      </c>
      <c r="D19" s="148" t="s">
        <v>315</v>
      </c>
      <c r="E19" s="6">
        <f>'#'!J21</f>
        <v>27</v>
      </c>
      <c r="F19" s="6">
        <f>'#'!K21</f>
        <v>3</v>
      </c>
      <c r="G19" s="6">
        <f>'#'!L21</f>
        <v>1</v>
      </c>
      <c r="H19" s="4">
        <f>'#'!V21</f>
        <v>9</v>
      </c>
      <c r="I19" s="4">
        <f>'#'!W21</f>
        <v>3</v>
      </c>
      <c r="J19" s="4">
        <f>'#'!X21</f>
        <v>0</v>
      </c>
      <c r="K19" s="6">
        <f>'#'!AH21</f>
        <v>4</v>
      </c>
      <c r="L19" s="6">
        <f>'#'!AI21</f>
        <v>2</v>
      </c>
      <c r="M19" s="6">
        <f>'#'!AJ21</f>
        <v>2</v>
      </c>
      <c r="N19" s="4">
        <f>'#'!AT21</f>
        <v>3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0</v>
      </c>
      <c r="T19" s="2">
        <f t="shared" si="5"/>
        <v>44</v>
      </c>
      <c r="U19" s="2">
        <f t="shared" si="6"/>
        <v>8</v>
      </c>
      <c r="V19" s="2">
        <f t="shared" si="7"/>
        <v>3</v>
      </c>
    </row>
    <row r="20" spans="1:22" x14ac:dyDescent="0.25">
      <c r="A20" s="56">
        <v>22</v>
      </c>
      <c r="B20" s="56" t="s">
        <v>355</v>
      </c>
      <c r="C20" s="4" t="s">
        <v>353</v>
      </c>
      <c r="D20" s="23" t="s">
        <v>263</v>
      </c>
      <c r="E20" s="6">
        <f>'#'!J22</f>
        <v>34</v>
      </c>
      <c r="F20" s="6">
        <f>'#'!K22</f>
        <v>4</v>
      </c>
      <c r="G20" s="6">
        <f>'#'!L22</f>
        <v>2</v>
      </c>
      <c r="H20" s="4">
        <f>'#'!V22</f>
        <v>10</v>
      </c>
      <c r="I20" s="4">
        <f>'#'!W22</f>
        <v>2</v>
      </c>
      <c r="J20" s="4">
        <f>'#'!X22</f>
        <v>0</v>
      </c>
      <c r="K20" s="6">
        <f>'#'!AH22</f>
        <v>1</v>
      </c>
      <c r="L20" s="6">
        <f>'#'!AI22</f>
        <v>0</v>
      </c>
      <c r="M20" s="6">
        <f>'#'!AJ22</f>
        <v>0</v>
      </c>
      <c r="N20" s="4">
        <f>'#'!AT22</f>
        <v>6</v>
      </c>
      <c r="O20" s="4">
        <f>'#'!AU22</f>
        <v>4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51</v>
      </c>
      <c r="U20" s="2">
        <f t="shared" si="6"/>
        <v>10</v>
      </c>
      <c r="V20" s="2">
        <f t="shared" si="7"/>
        <v>2</v>
      </c>
    </row>
    <row r="21" spans="1:22" x14ac:dyDescent="0.25">
      <c r="A21" s="4">
        <v>23</v>
      </c>
      <c r="B21" s="27" t="s">
        <v>349</v>
      </c>
      <c r="C21" s="4" t="s">
        <v>353</v>
      </c>
      <c r="D21" s="37" t="s">
        <v>293</v>
      </c>
      <c r="E21" s="6">
        <f>'#'!J23</f>
        <v>52</v>
      </c>
      <c r="F21" s="6">
        <f>'#'!K23</f>
        <v>11</v>
      </c>
      <c r="G21" s="6">
        <f>'#'!L23</f>
        <v>5</v>
      </c>
      <c r="H21" s="4">
        <f>'#'!V23</f>
        <v>19</v>
      </c>
      <c r="I21" s="4">
        <f>'#'!W23</f>
        <v>4</v>
      </c>
      <c r="J21" s="4">
        <f>'#'!X23</f>
        <v>3</v>
      </c>
      <c r="K21" s="6">
        <f>'#'!AH23</f>
        <v>2</v>
      </c>
      <c r="L21" s="6">
        <f>'#'!AI23</f>
        <v>0</v>
      </c>
      <c r="M21" s="6">
        <f>'#'!AJ23</f>
        <v>0</v>
      </c>
      <c r="N21" s="4">
        <f>'#'!AT23</f>
        <v>7</v>
      </c>
      <c r="O21" s="4">
        <f>'#'!AU23</f>
        <v>0</v>
      </c>
      <c r="P21" s="4">
        <f>'#'!AV23</f>
        <v>0</v>
      </c>
      <c r="Q21" s="6">
        <f>'#'!BF23</f>
        <v>0</v>
      </c>
      <c r="R21" s="6">
        <f>'#'!BG23</f>
        <v>0</v>
      </c>
      <c r="S21" s="6">
        <f>'#'!BH23</f>
        <v>0</v>
      </c>
      <c r="T21" s="2">
        <f t="shared" si="5"/>
        <v>80</v>
      </c>
      <c r="U21" s="2">
        <f t="shared" si="6"/>
        <v>15</v>
      </c>
      <c r="V21" s="2">
        <f t="shared" si="7"/>
        <v>8</v>
      </c>
    </row>
    <row r="22" spans="1:22" x14ac:dyDescent="0.25">
      <c r="A22" s="4">
        <v>29</v>
      </c>
      <c r="B22" s="27" t="s">
        <v>363</v>
      </c>
      <c r="C22" s="4" t="s">
        <v>354</v>
      </c>
      <c r="D22" s="148" t="s">
        <v>275</v>
      </c>
      <c r="E22" s="6">
        <f>'#'!J24</f>
        <v>74</v>
      </c>
      <c r="F22" s="6">
        <f>'#'!K24</f>
        <v>25</v>
      </c>
      <c r="G22" s="6">
        <f>'#'!L24</f>
        <v>13</v>
      </c>
      <c r="H22" s="4">
        <f>'#'!V24</f>
        <v>24</v>
      </c>
      <c r="I22" s="4">
        <f>'#'!W24</f>
        <v>9</v>
      </c>
      <c r="J22" s="4">
        <f>'#'!X24</f>
        <v>2</v>
      </c>
      <c r="K22" s="6">
        <f>'#'!AH24</f>
        <v>5</v>
      </c>
      <c r="L22" s="6">
        <f>'#'!AI24</f>
        <v>0</v>
      </c>
      <c r="M22" s="6">
        <f>'#'!AJ24</f>
        <v>1</v>
      </c>
      <c r="N22" s="4">
        <f>'#'!AT24</f>
        <v>9</v>
      </c>
      <c r="O22" s="4">
        <f>'#'!AU24</f>
        <v>3</v>
      </c>
      <c r="P22" s="4">
        <f>'#'!AV24</f>
        <v>0</v>
      </c>
      <c r="Q22" s="6">
        <f>'#'!BF24</f>
        <v>2</v>
      </c>
      <c r="R22" s="6">
        <f>'#'!BG24</f>
        <v>1</v>
      </c>
      <c r="S22" s="6">
        <f>'#'!BH24</f>
        <v>0</v>
      </c>
      <c r="T22" s="2">
        <f t="shared" si="5"/>
        <v>114</v>
      </c>
      <c r="U22" s="2">
        <f t="shared" si="6"/>
        <v>38</v>
      </c>
      <c r="V22" s="2">
        <f t="shared" si="7"/>
        <v>16</v>
      </c>
    </row>
    <row r="23" spans="1:22" x14ac:dyDescent="0.25">
      <c r="A23" s="4">
        <v>30</v>
      </c>
      <c r="B23" s="27" t="s">
        <v>351</v>
      </c>
      <c r="C23" s="4" t="s">
        <v>350</v>
      </c>
      <c r="D23" s="148" t="s">
        <v>344</v>
      </c>
      <c r="E23" s="6">
        <f>'#'!J25</f>
        <v>0</v>
      </c>
      <c r="F23" s="6">
        <f>'#'!K25</f>
        <v>0</v>
      </c>
      <c r="G23" s="6">
        <f>'#'!L25</f>
        <v>0</v>
      </c>
      <c r="H23" s="4">
        <f>'#'!V25</f>
        <v>0</v>
      </c>
      <c r="I23" s="4">
        <f>'#'!W25</f>
        <v>0</v>
      </c>
      <c r="J23" s="4">
        <f>'#'!X25</f>
        <v>0</v>
      </c>
      <c r="K23" s="6">
        <f>'#'!AH25</f>
        <v>0</v>
      </c>
      <c r="L23" s="6">
        <f>'#'!AI25</f>
        <v>0</v>
      </c>
      <c r="M23" s="6">
        <f>'#'!AJ25</f>
        <v>0</v>
      </c>
      <c r="N23" s="4">
        <f>'#'!AT25</f>
        <v>0</v>
      </c>
      <c r="O23" s="4">
        <f>'#'!AU25</f>
        <v>0</v>
      </c>
      <c r="P23" s="4">
        <f>'#'!AV25</f>
        <v>0</v>
      </c>
      <c r="Q23" s="6">
        <f>'#'!BF25</f>
        <v>0</v>
      </c>
      <c r="R23" s="6">
        <f>'#'!BG25</f>
        <v>0</v>
      </c>
      <c r="S23" s="6">
        <f>'#'!BH25</f>
        <v>0</v>
      </c>
      <c r="T23" s="2">
        <f t="shared" si="5"/>
        <v>0</v>
      </c>
      <c r="U23" s="2">
        <f t="shared" si="6"/>
        <v>0</v>
      </c>
      <c r="V23" s="2">
        <f t="shared" si="7"/>
        <v>0</v>
      </c>
    </row>
    <row r="24" spans="1:22" x14ac:dyDescent="0.25">
      <c r="A24" s="4">
        <v>33</v>
      </c>
      <c r="B24" s="27" t="s">
        <v>364</v>
      </c>
      <c r="C24" s="4" t="s">
        <v>352</v>
      </c>
      <c r="D24" s="148" t="s">
        <v>291</v>
      </c>
      <c r="E24" s="6">
        <f>'#'!J26</f>
        <v>47</v>
      </c>
      <c r="F24" s="6">
        <f>'#'!K26</f>
        <v>3</v>
      </c>
      <c r="G24" s="6">
        <f>'#'!L26</f>
        <v>5</v>
      </c>
      <c r="H24" s="4">
        <f>'#'!V26</f>
        <v>14</v>
      </c>
      <c r="I24" s="4">
        <f>'#'!W26</f>
        <v>1</v>
      </c>
      <c r="J24" s="4">
        <f>'#'!X26</f>
        <v>2</v>
      </c>
      <c r="K24" s="6">
        <f>'#'!AH26</f>
        <v>2</v>
      </c>
      <c r="L24" s="6">
        <f>'#'!AI26</f>
        <v>0</v>
      </c>
      <c r="M24" s="6">
        <f>'#'!AJ26</f>
        <v>0</v>
      </c>
      <c r="N24" s="4">
        <f>'#'!AT26</f>
        <v>4</v>
      </c>
      <c r="O24" s="4">
        <f>'#'!AU26</f>
        <v>0</v>
      </c>
      <c r="P24" s="4">
        <f>'#'!AV26</f>
        <v>0</v>
      </c>
      <c r="Q24" s="6">
        <f>'#'!BF26</f>
        <v>1</v>
      </c>
      <c r="R24" s="6">
        <f>'#'!BG26</f>
        <v>1</v>
      </c>
      <c r="S24" s="6">
        <f>'#'!BH26</f>
        <v>0</v>
      </c>
      <c r="T24" s="2">
        <f t="shared" si="5"/>
        <v>68</v>
      </c>
      <c r="U24" s="2">
        <f t="shared" si="6"/>
        <v>5</v>
      </c>
      <c r="V24" s="2">
        <f t="shared" si="7"/>
        <v>7</v>
      </c>
    </row>
    <row r="25" spans="1:22" x14ac:dyDescent="0.25">
      <c r="A25" s="4">
        <v>35</v>
      </c>
      <c r="B25" s="56" t="s">
        <v>355</v>
      </c>
      <c r="C25" s="4" t="s">
        <v>350</v>
      </c>
      <c r="D25" s="148" t="s">
        <v>303</v>
      </c>
      <c r="E25" s="6">
        <f>'#'!J27</f>
        <v>0</v>
      </c>
      <c r="F25" s="6">
        <f>'#'!K27</f>
        <v>0</v>
      </c>
      <c r="G25" s="6">
        <f>'#'!L27</f>
        <v>0</v>
      </c>
      <c r="H25" s="4">
        <f>'#'!V27</f>
        <v>0</v>
      </c>
      <c r="I25" s="4">
        <f>'#'!W27</f>
        <v>0</v>
      </c>
      <c r="J25" s="4">
        <f>'#'!X27</f>
        <v>0</v>
      </c>
      <c r="K25" s="6">
        <f>'#'!AH27</f>
        <v>1</v>
      </c>
      <c r="L25" s="6">
        <f>'#'!AI27</f>
        <v>0</v>
      </c>
      <c r="M25" s="6">
        <f>'#'!AJ27</f>
        <v>0</v>
      </c>
      <c r="N25" s="4">
        <f>'#'!AT27</f>
        <v>1</v>
      </c>
      <c r="O25" s="4">
        <f>'#'!AU27</f>
        <v>0</v>
      </c>
      <c r="P25" s="4">
        <f>'#'!AV27</f>
        <v>0</v>
      </c>
      <c r="Q25" s="6">
        <f>'#'!BF27</f>
        <v>0</v>
      </c>
      <c r="R25" s="6">
        <f>'#'!BG27</f>
        <v>0</v>
      </c>
      <c r="S25" s="6">
        <f>'#'!BH27</f>
        <v>0</v>
      </c>
      <c r="T25" s="2">
        <f t="shared" si="5"/>
        <v>2</v>
      </c>
      <c r="U25" s="2">
        <f t="shared" si="6"/>
        <v>0</v>
      </c>
      <c r="V25" s="2">
        <f t="shared" si="7"/>
        <v>0</v>
      </c>
    </row>
    <row r="26" spans="1:22" x14ac:dyDescent="0.25">
      <c r="A26" s="4">
        <v>36</v>
      </c>
      <c r="B26" s="27" t="s">
        <v>349</v>
      </c>
      <c r="C26" s="4" t="s">
        <v>353</v>
      </c>
      <c r="D26" s="148" t="s">
        <v>313</v>
      </c>
      <c r="E26" s="6">
        <f>'#'!J28</f>
        <v>40</v>
      </c>
      <c r="F26" s="6">
        <f>'#'!K28</f>
        <v>5</v>
      </c>
      <c r="G26" s="6">
        <f>'#'!L28</f>
        <v>1</v>
      </c>
      <c r="H26" s="4">
        <f>'#'!V28</f>
        <v>13</v>
      </c>
      <c r="I26" s="4">
        <f>'#'!W28</f>
        <v>0</v>
      </c>
      <c r="J26" s="4">
        <f>'#'!X28</f>
        <v>2</v>
      </c>
      <c r="K26" s="6">
        <f>'#'!AH28</f>
        <v>3</v>
      </c>
      <c r="L26" s="6">
        <f>'#'!AI28</f>
        <v>0</v>
      </c>
      <c r="M26" s="6">
        <f>'#'!AJ28</f>
        <v>0</v>
      </c>
      <c r="N26" s="4">
        <f>'#'!AT28</f>
        <v>3</v>
      </c>
      <c r="O26" s="4">
        <f>'#'!AU28</f>
        <v>1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60</v>
      </c>
      <c r="U26" s="2">
        <f t="shared" si="6"/>
        <v>6</v>
      </c>
      <c r="V26" s="2">
        <f t="shared" si="7"/>
        <v>3</v>
      </c>
    </row>
    <row r="27" spans="1:22" x14ac:dyDescent="0.25">
      <c r="A27" s="4">
        <v>39</v>
      </c>
      <c r="B27" s="4" t="s">
        <v>357</v>
      </c>
      <c r="C27" s="4" t="s">
        <v>353</v>
      </c>
      <c r="D27" s="148" t="s">
        <v>345</v>
      </c>
      <c r="E27" s="6">
        <f>'#'!J29</f>
        <v>1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0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1</v>
      </c>
      <c r="R27" s="6">
        <f>'#'!BG29</f>
        <v>0</v>
      </c>
      <c r="S27" s="6">
        <f>'#'!BH29</f>
        <v>0</v>
      </c>
      <c r="T27" s="2">
        <f t="shared" si="5"/>
        <v>2</v>
      </c>
      <c r="U27" s="2">
        <f t="shared" si="6"/>
        <v>0</v>
      </c>
      <c r="V27" s="2">
        <f t="shared" si="7"/>
        <v>0</v>
      </c>
    </row>
    <row r="28" spans="1:22" x14ac:dyDescent="0.25">
      <c r="A28" s="56">
        <v>40</v>
      </c>
      <c r="B28" s="56" t="s">
        <v>355</v>
      </c>
      <c r="C28" s="28" t="s">
        <v>352</v>
      </c>
      <c r="D28" s="149" t="s">
        <v>341</v>
      </c>
      <c r="E28" s="6">
        <f>'#'!J30</f>
        <v>0</v>
      </c>
      <c r="F28" s="6">
        <f>'#'!K30</f>
        <v>0</v>
      </c>
      <c r="G28" s="6">
        <f>'#'!L30</f>
        <v>0</v>
      </c>
      <c r="H28" s="4">
        <f>'#'!V30</f>
        <v>0</v>
      </c>
      <c r="I28" s="4">
        <f>'#'!W30</f>
        <v>0</v>
      </c>
      <c r="J28" s="4">
        <f>'#'!X30</f>
        <v>0</v>
      </c>
      <c r="K28" s="6">
        <f>'#'!AH30</f>
        <v>1</v>
      </c>
      <c r="L28" s="6">
        <f>'#'!AI30</f>
        <v>0</v>
      </c>
      <c r="M28" s="6">
        <f>'#'!AJ30</f>
        <v>0</v>
      </c>
      <c r="N28" s="4">
        <f>'#'!AT30</f>
        <v>0</v>
      </c>
      <c r="O28" s="4">
        <f>'#'!AU30</f>
        <v>0</v>
      </c>
      <c r="P28" s="4">
        <f>'#'!AV30</f>
        <v>0</v>
      </c>
      <c r="Q28" s="6">
        <f>'#'!BF30</f>
        <v>0</v>
      </c>
      <c r="R28" s="6">
        <f>'#'!BG30</f>
        <v>0</v>
      </c>
      <c r="S28" s="6">
        <f>'#'!BH30</f>
        <v>0</v>
      </c>
      <c r="T28" s="2">
        <f>SUM(E28,H28,K28,N28,Q28)</f>
        <v>1</v>
      </c>
      <c r="U28" s="2">
        <f>SUM(F28,I28,L28,O28,R28)</f>
        <v>0</v>
      </c>
      <c r="V28" s="2">
        <f>SUM(G28,J28,M28,P28,S28)</f>
        <v>0</v>
      </c>
    </row>
    <row r="29" spans="1:22" x14ac:dyDescent="0.25">
      <c r="A29" s="4">
        <v>41</v>
      </c>
      <c r="B29" s="56" t="s">
        <v>355</v>
      </c>
      <c r="C29" s="4" t="s">
        <v>353</v>
      </c>
      <c r="D29" s="35" t="s">
        <v>277</v>
      </c>
      <c r="E29" s="6">
        <f>'#'!J31</f>
        <v>111</v>
      </c>
      <c r="F29" s="6">
        <f>'#'!K31</f>
        <v>15</v>
      </c>
      <c r="G29" s="6">
        <f>'#'!L31</f>
        <v>20</v>
      </c>
      <c r="H29" s="4">
        <f>'#'!V31</f>
        <v>36</v>
      </c>
      <c r="I29" s="4">
        <f>'#'!W31</f>
        <v>5</v>
      </c>
      <c r="J29" s="4">
        <f>'#'!X31</f>
        <v>5</v>
      </c>
      <c r="K29" s="6">
        <f>'#'!AH31</f>
        <v>2</v>
      </c>
      <c r="L29" s="6">
        <f>'#'!AI31</f>
        <v>0</v>
      </c>
      <c r="M29" s="6">
        <f>'#'!AJ31</f>
        <v>0</v>
      </c>
      <c r="N29" s="4">
        <f>'#'!AT31</f>
        <v>10</v>
      </c>
      <c r="O29" s="4">
        <f>'#'!AU31</f>
        <v>1</v>
      </c>
      <c r="P29" s="4">
        <f>'#'!AV31</f>
        <v>3</v>
      </c>
      <c r="Q29" s="6">
        <f>'#'!BF31</f>
        <v>2</v>
      </c>
      <c r="R29" s="6">
        <f>'#'!BG31</f>
        <v>0</v>
      </c>
      <c r="S29" s="6">
        <f>'#'!BH31</f>
        <v>0</v>
      </c>
      <c r="T29" s="2">
        <f t="shared" si="5"/>
        <v>161</v>
      </c>
      <c r="U29" s="2">
        <f t="shared" si="6"/>
        <v>21</v>
      </c>
      <c r="V29" s="2">
        <f t="shared" si="7"/>
        <v>28</v>
      </c>
    </row>
    <row r="30" spans="1:22" x14ac:dyDescent="0.25">
      <c r="A30" s="56">
        <v>43</v>
      </c>
      <c r="B30" s="56" t="s">
        <v>355</v>
      </c>
      <c r="C30" s="28" t="s">
        <v>354</v>
      </c>
      <c r="D30" s="148" t="s">
        <v>327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ref="T30:V31" si="8">SUM(E30,H30,K30,N30,Q30)</f>
        <v>2</v>
      </c>
      <c r="U30" s="2">
        <f t="shared" si="8"/>
        <v>0</v>
      </c>
      <c r="V30" s="2">
        <f t="shared" si="8"/>
        <v>0</v>
      </c>
    </row>
    <row r="31" spans="1:22" x14ac:dyDescent="0.25">
      <c r="A31" s="28">
        <v>44</v>
      </c>
      <c r="B31" s="56" t="s">
        <v>355</v>
      </c>
      <c r="C31" s="28" t="s">
        <v>353</v>
      </c>
      <c r="D31" s="148" t="s">
        <v>338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1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0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8"/>
        <v>1</v>
      </c>
      <c r="U31" s="2">
        <f t="shared" si="8"/>
        <v>0</v>
      </c>
      <c r="V31" s="2">
        <f t="shared" si="8"/>
        <v>0</v>
      </c>
    </row>
    <row r="32" spans="1:22" x14ac:dyDescent="0.25">
      <c r="A32" s="4">
        <v>46</v>
      </c>
      <c r="B32" s="4" t="s">
        <v>356</v>
      </c>
      <c r="C32" s="4" t="s">
        <v>354</v>
      </c>
      <c r="D32" s="57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5"/>
        <v>1</v>
      </c>
      <c r="U32" s="2">
        <f t="shared" si="6"/>
        <v>0</v>
      </c>
      <c r="V32" s="2">
        <f t="shared" si="7"/>
        <v>0</v>
      </c>
    </row>
    <row r="33" spans="1:22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45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8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5"/>
        <v>78</v>
      </c>
      <c r="U33" s="2">
        <f t="shared" si="6"/>
        <v>1</v>
      </c>
      <c r="V33" s="2">
        <f t="shared" si="7"/>
        <v>6</v>
      </c>
    </row>
    <row r="34" spans="1:22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5"/>
        <v>1</v>
      </c>
      <c r="U34" s="2">
        <f t="shared" si="6"/>
        <v>0</v>
      </c>
      <c r="V34" s="2">
        <f t="shared" si="7"/>
        <v>0</v>
      </c>
    </row>
    <row r="35" spans="1:22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>SUM(E35,H35,K35,N35,Q35)</f>
        <v>1</v>
      </c>
      <c r="U35" s="2">
        <f>SUM(F35,I35,L35,O35,R35)</f>
        <v>0</v>
      </c>
      <c r="V35" s="2">
        <f>SUM(G35,J35,M35,P35,S35)</f>
        <v>0</v>
      </c>
    </row>
    <row r="36" spans="1:22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6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2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13</v>
      </c>
      <c r="U36" s="2">
        <f t="shared" si="6"/>
        <v>1</v>
      </c>
      <c r="V36" s="2">
        <f t="shared" si="7"/>
        <v>0</v>
      </c>
    </row>
    <row r="37" spans="1:22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1</v>
      </c>
      <c r="U37" s="2">
        <f t="shared" si="6"/>
        <v>0</v>
      </c>
      <c r="V37" s="2">
        <f t="shared" si="7"/>
        <v>0</v>
      </c>
    </row>
    <row r="38" spans="1:22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5"/>
        <v>4</v>
      </c>
      <c r="U38" s="2">
        <f t="shared" si="6"/>
        <v>0</v>
      </c>
      <c r="V38" s="2">
        <f t="shared" si="7"/>
        <v>0</v>
      </c>
    </row>
    <row r="40" spans="1:22" x14ac:dyDescent="0.25">
      <c r="F40" t="s">
        <v>308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0" t="s">
        <v>4</v>
      </c>
      <c r="E2" s="210"/>
      <c r="F2" s="211" t="s">
        <v>6</v>
      </c>
      <c r="G2" s="211"/>
      <c r="H2" s="210" t="s">
        <v>108</v>
      </c>
      <c r="I2" s="210"/>
      <c r="J2" s="211" t="s">
        <v>110</v>
      </c>
      <c r="K2" s="211"/>
      <c r="L2" s="210" t="s">
        <v>39</v>
      </c>
      <c r="M2" s="210"/>
      <c r="N2" s="203" t="s">
        <v>7</v>
      </c>
      <c r="O2" s="203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0" t="s">
        <v>4</v>
      </c>
      <c r="E2" s="210"/>
      <c r="F2" s="211" t="s">
        <v>113</v>
      </c>
      <c r="G2" s="211"/>
      <c r="H2" s="210" t="s">
        <v>108</v>
      </c>
      <c r="I2" s="210"/>
      <c r="J2" s="211" t="s">
        <v>110</v>
      </c>
      <c r="K2" s="211"/>
      <c r="L2" s="210" t="s">
        <v>39</v>
      </c>
      <c r="M2" s="210"/>
      <c r="N2" s="203" t="s">
        <v>7</v>
      </c>
      <c r="O2" s="203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0" t="s">
        <v>4</v>
      </c>
      <c r="E2" s="210"/>
      <c r="F2" s="211" t="s">
        <v>113</v>
      </c>
      <c r="G2" s="211"/>
      <c r="H2" s="210" t="s">
        <v>108</v>
      </c>
      <c r="I2" s="210"/>
      <c r="J2" s="211" t="s">
        <v>110</v>
      </c>
      <c r="K2" s="211"/>
      <c r="L2" s="210" t="s">
        <v>39</v>
      </c>
      <c r="M2" s="210"/>
      <c r="N2" s="203" t="s">
        <v>7</v>
      </c>
      <c r="O2" s="203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0" t="s">
        <v>4</v>
      </c>
      <c r="E2" s="210"/>
      <c r="F2" s="211" t="s">
        <v>113</v>
      </c>
      <c r="G2" s="211"/>
      <c r="H2" s="210" t="s">
        <v>108</v>
      </c>
      <c r="I2" s="210"/>
      <c r="J2" s="211" t="s">
        <v>110</v>
      </c>
      <c r="K2" s="211"/>
      <c r="L2" s="210" t="s">
        <v>39</v>
      </c>
      <c r="M2" s="210"/>
      <c r="N2" s="203" t="s">
        <v>7</v>
      </c>
      <c r="O2" s="203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113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03" t="s">
        <v>7</v>
      </c>
      <c r="N2" s="203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113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03" t="s">
        <v>7</v>
      </c>
      <c r="N2" s="203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113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03" t="s">
        <v>7</v>
      </c>
      <c r="N2" s="203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120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03" t="s">
        <v>7</v>
      </c>
      <c r="N2" s="203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120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03" t="s">
        <v>7</v>
      </c>
      <c r="N2" s="203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120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03" t="s">
        <v>7</v>
      </c>
      <c r="N2" s="203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K46" sqref="K4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0" t="s">
        <v>4</v>
      </c>
      <c r="D2" s="201"/>
      <c r="E2" s="202"/>
      <c r="F2" s="205" t="s">
        <v>120</v>
      </c>
      <c r="G2" s="206"/>
      <c r="H2" s="207"/>
      <c r="I2" s="200" t="s">
        <v>108</v>
      </c>
      <c r="J2" s="201"/>
      <c r="K2" s="202"/>
      <c r="L2" s="205" t="s">
        <v>110</v>
      </c>
      <c r="M2" s="206"/>
      <c r="N2" s="207"/>
      <c r="O2" s="200" t="s">
        <v>39</v>
      </c>
      <c r="P2" s="201"/>
      <c r="Q2" s="202"/>
      <c r="R2" s="203" t="s">
        <v>7</v>
      </c>
      <c r="S2" s="203"/>
      <c r="T2" s="203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2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3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5" si="1">SUM(C5,F5,I5,L5,O5)</f>
        <v>0</v>
      </c>
      <c r="S5" s="2">
        <f t="shared" ref="S5:S15" si="2">SUM(D5,G5,J5,M5,P5)</f>
        <v>0</v>
      </c>
      <c r="T5" s="2">
        <f t="shared" ref="T5:T15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2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3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2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3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2</v>
      </c>
      <c r="D10" s="6">
        <f>'Premier League'!D10</f>
        <v>2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3</v>
      </c>
      <c r="S10" s="2">
        <f t="shared" si="2"/>
        <v>2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2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3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2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3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11</v>
      </c>
      <c r="B13" s="35" t="s">
        <v>188</v>
      </c>
      <c r="C13" s="6">
        <f>'Premier League'!C13</f>
        <v>0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0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12</v>
      </c>
      <c r="B14" s="35" t="s">
        <v>276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13</v>
      </c>
      <c r="B15" s="149" t="s">
        <v>312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14</v>
      </c>
      <c r="B16" s="149" t="s">
        <v>317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1</v>
      </c>
      <c r="P16" s="6">
        <f>'Other (CS)'!D15</f>
        <v>0</v>
      </c>
      <c r="Q16" s="6">
        <f>'Other (CS)'!E15</f>
        <v>0</v>
      </c>
      <c r="R16" s="2">
        <f>SUM(C16,F16,I16,L16,O16)</f>
        <v>1</v>
      </c>
      <c r="S16" s="2">
        <f>SUM(D16,G16,J16,M16,P16)</f>
        <v>0</v>
      </c>
      <c r="T16" s="2">
        <f>SUM(E16,H16,K16,N16,Q16)</f>
        <v>0</v>
      </c>
      <c r="V16" s="55"/>
    </row>
    <row r="17" spans="1:22" x14ac:dyDescent="0.25">
      <c r="A17" s="27">
        <v>15</v>
      </c>
      <c r="B17" s="149" t="s">
        <v>437</v>
      </c>
      <c r="C17" s="6">
        <f>'Premier League'!C17</f>
        <v>1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0</v>
      </c>
      <c r="P17" s="6">
        <f>'Other (CS)'!D16</f>
        <v>0</v>
      </c>
      <c r="Q17" s="6">
        <f>'Other (CS)'!E16</f>
        <v>0</v>
      </c>
      <c r="R17" s="2">
        <f t="shared" ref="R17:R38" si="4">SUM(C17,F17,I17,L17,O17)</f>
        <v>1</v>
      </c>
      <c r="S17" s="2">
        <f t="shared" ref="S17:S38" si="5">SUM(D17,G17,J17,M17,P17)</f>
        <v>0</v>
      </c>
      <c r="T17" s="2">
        <f t="shared" ref="T17:T38" si="6">SUM(E17,H17,K17,N17,Q17)</f>
        <v>0</v>
      </c>
      <c r="V17" s="55"/>
    </row>
    <row r="18" spans="1:22" x14ac:dyDescent="0.25">
      <c r="A18" s="27">
        <v>17</v>
      </c>
      <c r="B18" s="148" t="s">
        <v>343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2</v>
      </c>
      <c r="R18" s="2">
        <f t="shared" si="4"/>
        <v>3</v>
      </c>
      <c r="S18" s="2">
        <f t="shared" si="5"/>
        <v>0</v>
      </c>
      <c r="T18" s="2">
        <f t="shared" si="6"/>
        <v>2</v>
      </c>
      <c r="V18" s="55"/>
    </row>
    <row r="19" spans="1:22" x14ac:dyDescent="0.25">
      <c r="A19" s="27">
        <v>20</v>
      </c>
      <c r="B19" s="148" t="s">
        <v>315</v>
      </c>
      <c r="C19" s="6">
        <f>'Premier League'!C19</f>
        <v>1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0</v>
      </c>
      <c r="R19" s="2">
        <f t="shared" si="4"/>
        <v>2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22</v>
      </c>
      <c r="B20" s="40" t="s">
        <v>263</v>
      </c>
      <c r="C20" s="6">
        <f>'Premier League'!C20</f>
        <v>0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0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23</v>
      </c>
      <c r="B21" s="37" t="s">
        <v>293</v>
      </c>
      <c r="C21" s="6">
        <f>'Premier League'!C21</f>
        <v>2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4"/>
        <v>2</v>
      </c>
      <c r="S21" s="2">
        <f t="shared" si="5"/>
        <v>0</v>
      </c>
      <c r="T21" s="2">
        <f t="shared" si="6"/>
        <v>0</v>
      </c>
    </row>
    <row r="22" spans="1:22" x14ac:dyDescent="0.25">
      <c r="A22" s="28">
        <v>29</v>
      </c>
      <c r="B22" s="148" t="s">
        <v>275</v>
      </c>
      <c r="C22" s="6">
        <f>'Premier League'!C22</f>
        <v>2</v>
      </c>
      <c r="D22" s="6">
        <f>'Premier League'!D22</f>
        <v>1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1</v>
      </c>
      <c r="P22" s="6">
        <f>'Other (CS)'!D21</f>
        <v>1</v>
      </c>
      <c r="Q22" s="6">
        <f>'Other (CS)'!E21</f>
        <v>0</v>
      </c>
      <c r="R22" s="2">
        <f t="shared" si="4"/>
        <v>3</v>
      </c>
      <c r="S22" s="2">
        <f t="shared" si="5"/>
        <v>2</v>
      </c>
      <c r="T22" s="2">
        <f t="shared" si="6"/>
        <v>0</v>
      </c>
      <c r="V22" s="55"/>
    </row>
    <row r="23" spans="1:22" x14ac:dyDescent="0.25">
      <c r="A23" s="28">
        <v>30</v>
      </c>
      <c r="B23" s="148" t="s">
        <v>344</v>
      </c>
      <c r="C23" s="6">
        <f>'Premier League'!C23</f>
        <v>0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4"/>
        <v>0</v>
      </c>
      <c r="S23" s="2">
        <f t="shared" si="5"/>
        <v>0</v>
      </c>
      <c r="T23" s="2">
        <f t="shared" si="6"/>
        <v>0</v>
      </c>
      <c r="V23" s="55"/>
    </row>
    <row r="24" spans="1:22" x14ac:dyDescent="0.25">
      <c r="A24" s="28">
        <v>33</v>
      </c>
      <c r="B24" s="148" t="s">
        <v>291</v>
      </c>
      <c r="C24" s="6">
        <f>'Premier League'!C24</f>
        <v>2</v>
      </c>
      <c r="D24" s="6">
        <f>'Premier League'!D24</f>
        <v>0</v>
      </c>
      <c r="E24" s="6">
        <f>'Premier League'!E24</f>
        <v>2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1</v>
      </c>
      <c r="P24" s="6">
        <f>'Other (CS)'!D23</f>
        <v>1</v>
      </c>
      <c r="Q24" s="6">
        <f>'Other (CS)'!E23</f>
        <v>0</v>
      </c>
      <c r="R24" s="2">
        <f t="shared" si="4"/>
        <v>3</v>
      </c>
      <c r="S24" s="2">
        <f t="shared" si="5"/>
        <v>1</v>
      </c>
      <c r="T24" s="2">
        <f t="shared" si="6"/>
        <v>2</v>
      </c>
      <c r="V24" s="55"/>
    </row>
    <row r="25" spans="1:22" x14ac:dyDescent="0.25">
      <c r="A25" s="27">
        <v>35</v>
      </c>
      <c r="B25" s="148" t="s">
        <v>303</v>
      </c>
      <c r="C25" s="6">
        <f>'Premier League'!C25</f>
        <v>0</v>
      </c>
      <c r="D25" s="6">
        <f>'Premier League'!D25</f>
        <v>0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0</v>
      </c>
      <c r="P25" s="6">
        <f>'Other (CS)'!D24</f>
        <v>0</v>
      </c>
      <c r="Q25" s="6">
        <f>'Other (CS)'!E24</f>
        <v>0</v>
      </c>
      <c r="R25" s="2">
        <f t="shared" si="4"/>
        <v>0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36</v>
      </c>
      <c r="B26" s="148" t="s">
        <v>313</v>
      </c>
      <c r="C26" s="6">
        <f>'Premier League'!C26</f>
        <v>2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3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7">
        <v>39</v>
      </c>
      <c r="B27" s="148" t="s">
        <v>345</v>
      </c>
      <c r="C27" s="6">
        <f>'Premier League'!C27</f>
        <v>1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1</v>
      </c>
      <c r="P27" s="6">
        <f>'Other (CS)'!D26</f>
        <v>0</v>
      </c>
      <c r="Q27" s="6">
        <f>'Other (CS)'!E26</f>
        <v>0</v>
      </c>
      <c r="R27" s="2">
        <f t="shared" si="4"/>
        <v>2</v>
      </c>
      <c r="S27" s="2">
        <f t="shared" si="5"/>
        <v>0</v>
      </c>
      <c r="T27" s="2">
        <f t="shared" si="6"/>
        <v>0</v>
      </c>
      <c r="V27" s="55"/>
    </row>
    <row r="28" spans="1:22" x14ac:dyDescent="0.25">
      <c r="A28" s="27">
        <v>40</v>
      </c>
      <c r="B28" s="149" t="s">
        <v>341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0</v>
      </c>
      <c r="P28" s="6">
        <f>'Other (CS)'!D27</f>
        <v>0</v>
      </c>
      <c r="Q28" s="6">
        <f>'Other (CS)'!E27</f>
        <v>0</v>
      </c>
      <c r="R28" s="2">
        <f>SUM(C28,F28,I28,L28,O28)</f>
        <v>0</v>
      </c>
      <c r="S28" s="2">
        <f>SUM(D28,G28,J28,M28,P28)</f>
        <v>0</v>
      </c>
      <c r="T28" s="2">
        <f>SUM(E28,H28,K28,N28,Q28)</f>
        <v>0</v>
      </c>
    </row>
    <row r="29" spans="1:22" x14ac:dyDescent="0.25">
      <c r="A29" s="27">
        <v>41</v>
      </c>
      <c r="B29" s="35" t="s">
        <v>277</v>
      </c>
      <c r="C29" s="6">
        <f>'Premier League'!C29</f>
        <v>2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4"/>
        <v>3</v>
      </c>
      <c r="S29" s="2">
        <f t="shared" si="5"/>
        <v>0</v>
      </c>
      <c r="T29" s="2">
        <f t="shared" si="6"/>
        <v>0</v>
      </c>
      <c r="V29" s="55"/>
    </row>
    <row r="30" spans="1:22" x14ac:dyDescent="0.25">
      <c r="A30" s="28">
        <v>43</v>
      </c>
      <c r="B30" s="148" t="s">
        <v>327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ref="R30:T31" si="7">SUM(C30,F30,I30,L30,O30)</f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44</v>
      </c>
      <c r="B31" s="148" t="s">
        <v>338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7"/>
        <v>0</v>
      </c>
      <c r="S31" s="2">
        <f t="shared" si="7"/>
        <v>0</v>
      </c>
      <c r="T31" s="2">
        <f t="shared" si="7"/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4"/>
        <v>0</v>
      </c>
      <c r="S32" s="2">
        <f t="shared" si="5"/>
        <v>0</v>
      </c>
      <c r="T32" s="2">
        <f t="shared" si="6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2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4"/>
        <v>3</v>
      </c>
      <c r="S33" s="2">
        <f t="shared" si="5"/>
        <v>0</v>
      </c>
      <c r="T33" s="2">
        <f t="shared" si="6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4"/>
        <v>0</v>
      </c>
      <c r="S34" s="2">
        <f t="shared" si="5"/>
        <v>0</v>
      </c>
      <c r="T34" s="2">
        <f t="shared" si="6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>SUM(C35,F35,I35,L35,O35)</f>
        <v>0</v>
      </c>
      <c r="S35" s="2">
        <f>SUM(D35,G35,J35,M35,P35)</f>
        <v>0</v>
      </c>
      <c r="T35" s="2">
        <f>SUM(E35,H35,K35,N35,Q35)</f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4"/>
        <v>0</v>
      </c>
      <c r="S38" s="2">
        <f t="shared" si="5"/>
        <v>0</v>
      </c>
      <c r="T38" s="2">
        <f t="shared" si="6"/>
        <v>0</v>
      </c>
    </row>
  </sheetData>
  <autoFilter ref="A3:S19" xr:uid="{00000000-0009-0000-0000-000002000000}">
    <sortState xmlns:xlrd2="http://schemas.microsoft.com/office/spreadsheetml/2017/richdata2" ref="A4:S21">
      <sortCondition ref="A3:A19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Y24" sqref="Y24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0" t="s">
        <v>4</v>
      </c>
      <c r="F1" s="201"/>
      <c r="G1" s="202"/>
      <c r="H1" s="205" t="s">
        <v>120</v>
      </c>
      <c r="I1" s="206"/>
      <c r="J1" s="207"/>
      <c r="K1" s="200" t="s">
        <v>108</v>
      </c>
      <c r="L1" s="201"/>
      <c r="M1" s="202"/>
      <c r="N1" s="205" t="s">
        <v>110</v>
      </c>
      <c r="O1" s="206"/>
      <c r="P1" s="207"/>
      <c r="Q1" s="200" t="s">
        <v>39</v>
      </c>
      <c r="R1" s="201"/>
      <c r="S1" s="202"/>
      <c r="T1" s="203" t="s">
        <v>7</v>
      </c>
      <c r="U1" s="203"/>
      <c r="V1" s="203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363</v>
      </c>
      <c r="C7" s="28" t="s">
        <v>353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351</v>
      </c>
      <c r="C8" s="27" t="s">
        <v>354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349</v>
      </c>
      <c r="C9" s="28" t="s">
        <v>352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367</v>
      </c>
      <c r="C10" s="27" t="s">
        <v>353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351</v>
      </c>
      <c r="C11" s="27" t="s">
        <v>353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349</v>
      </c>
      <c r="C12" s="28" t="s">
        <v>352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355</v>
      </c>
      <c r="C13" s="28" t="s">
        <v>352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363</v>
      </c>
      <c r="C14" s="28" t="s">
        <v>352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351</v>
      </c>
      <c r="C15" s="28" t="s">
        <v>354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355</v>
      </c>
      <c r="C16" s="27" t="s">
        <v>353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355</v>
      </c>
      <c r="C17" s="28" t="s">
        <v>353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368</v>
      </c>
      <c r="C18" s="27" t="s">
        <v>350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349</v>
      </c>
      <c r="C19" s="28" t="s">
        <v>353</v>
      </c>
      <c r="D19" s="40" t="s">
        <v>296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351</v>
      </c>
      <c r="C20" s="27" t="s">
        <v>353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369</v>
      </c>
      <c r="C21" s="28" t="s">
        <v>354</v>
      </c>
      <c r="D21" s="37" t="s">
        <v>271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355</v>
      </c>
      <c r="C22" s="28" t="s">
        <v>354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370</v>
      </c>
      <c r="C23" s="27" t="s">
        <v>354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371</v>
      </c>
      <c r="C24" s="28" t="s">
        <v>353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372</v>
      </c>
      <c r="C25" s="28" t="s">
        <v>354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373</v>
      </c>
      <c r="C26" s="28" t="s">
        <v>353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355</v>
      </c>
      <c r="C27" s="28" t="s">
        <v>352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351</v>
      </c>
      <c r="C28" s="27" t="s">
        <v>353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363</v>
      </c>
      <c r="C29" s="27" t="s">
        <v>352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349</v>
      </c>
      <c r="C30" s="27" t="s">
        <v>353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374</v>
      </c>
      <c r="C31" s="28" t="s">
        <v>353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375</v>
      </c>
      <c r="C32" s="28" t="s">
        <v>352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367</v>
      </c>
      <c r="C33" s="28" t="s">
        <v>350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355</v>
      </c>
      <c r="C34" s="28" t="s">
        <v>352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363</v>
      </c>
      <c r="C35" s="28" t="s">
        <v>350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355</v>
      </c>
      <c r="C36" s="28" t="s">
        <v>354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355</v>
      </c>
      <c r="C37" s="28" t="s">
        <v>352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9</v>
      </c>
      <c r="B38" s="28" t="s">
        <v>357</v>
      </c>
      <c r="C38" s="28" t="s">
        <v>354</v>
      </c>
      <c r="D38" s="37" t="s">
        <v>259</v>
      </c>
      <c r="E38" s="6">
        <v>84</v>
      </c>
      <c r="F38" s="6">
        <v>21</v>
      </c>
      <c r="G38" s="6">
        <v>11</v>
      </c>
      <c r="H38" s="56">
        <v>25</v>
      </c>
      <c r="I38" s="56">
        <v>6</v>
      </c>
      <c r="J38" s="56">
        <v>5</v>
      </c>
      <c r="K38" s="6">
        <v>5</v>
      </c>
      <c r="L38" s="6">
        <v>1</v>
      </c>
      <c r="M38" s="6">
        <v>1</v>
      </c>
      <c r="N38" s="56">
        <v>9</v>
      </c>
      <c r="O38" s="56">
        <v>4</v>
      </c>
      <c r="P38" s="56">
        <v>1</v>
      </c>
      <c r="Q38" s="6">
        <v>0</v>
      </c>
      <c r="R38" s="108">
        <v>0</v>
      </c>
      <c r="S38" s="108">
        <v>0</v>
      </c>
      <c r="T38" s="2">
        <v>123</v>
      </c>
      <c r="U38" s="2">
        <v>32</v>
      </c>
      <c r="V38" s="2">
        <v>13</v>
      </c>
    </row>
    <row r="39" spans="1:22" x14ac:dyDescent="0.25">
      <c r="A39" s="28">
        <v>31</v>
      </c>
      <c r="B39" s="28" t="s">
        <v>376</v>
      </c>
      <c r="C39" s="28" t="s">
        <v>352</v>
      </c>
      <c r="D39" s="37" t="s">
        <v>114</v>
      </c>
      <c r="E39" s="6">
        <v>80</v>
      </c>
      <c r="F39" s="6">
        <v>2</v>
      </c>
      <c r="G39" s="6"/>
      <c r="H39" s="56">
        <v>20</v>
      </c>
      <c r="I39" s="56">
        <v>2</v>
      </c>
      <c r="J39" s="56"/>
      <c r="K39" s="6">
        <v>7</v>
      </c>
      <c r="L39" s="6">
        <v>0</v>
      </c>
      <c r="M39" s="6"/>
      <c r="N39" s="56">
        <v>9</v>
      </c>
      <c r="O39" s="56">
        <v>0</v>
      </c>
      <c r="P39" s="56"/>
      <c r="Q39" s="6">
        <v>2</v>
      </c>
      <c r="R39" s="108">
        <v>1</v>
      </c>
      <c r="S39" s="108"/>
      <c r="T39" s="2">
        <v>118</v>
      </c>
      <c r="U39" s="2">
        <v>5</v>
      </c>
      <c r="V39" s="2">
        <v>12</v>
      </c>
    </row>
    <row r="40" spans="1:22" x14ac:dyDescent="0.25">
      <c r="A40" s="28">
        <v>10</v>
      </c>
      <c r="B40" s="28" t="s">
        <v>355</v>
      </c>
      <c r="C40" s="28" t="s">
        <v>353</v>
      </c>
      <c r="D40" s="37" t="s">
        <v>174</v>
      </c>
      <c r="E40" s="6">
        <v>81</v>
      </c>
      <c r="F40" s="6">
        <v>12</v>
      </c>
      <c r="G40" s="6"/>
      <c r="H40" s="56">
        <v>22</v>
      </c>
      <c r="I40" s="56">
        <v>3</v>
      </c>
      <c r="J40" s="56"/>
      <c r="K40" s="6">
        <v>4</v>
      </c>
      <c r="L40" s="6">
        <v>1</v>
      </c>
      <c r="M40" s="6"/>
      <c r="N40" s="56">
        <v>9</v>
      </c>
      <c r="O40" s="56">
        <v>2</v>
      </c>
      <c r="P40" s="56"/>
      <c r="Q40" s="6">
        <v>1</v>
      </c>
      <c r="R40" s="108">
        <v>0</v>
      </c>
      <c r="S40" s="108"/>
      <c r="T40" s="2">
        <v>117</v>
      </c>
      <c r="U40" s="2">
        <v>18</v>
      </c>
      <c r="V40" s="2">
        <v>21</v>
      </c>
    </row>
    <row r="41" spans="1:22" x14ac:dyDescent="0.25">
      <c r="A41" s="28">
        <v>19</v>
      </c>
      <c r="B41" s="28" t="s">
        <v>377</v>
      </c>
      <c r="C41" s="28" t="s">
        <v>354</v>
      </c>
      <c r="D41" s="37" t="s">
        <v>189</v>
      </c>
      <c r="E41" s="6">
        <v>80</v>
      </c>
      <c r="F41" s="6">
        <v>16</v>
      </c>
      <c r="G41" s="6"/>
      <c r="H41" s="56">
        <v>19</v>
      </c>
      <c r="I41" s="56">
        <v>8</v>
      </c>
      <c r="J41" s="56"/>
      <c r="K41" s="6">
        <v>7</v>
      </c>
      <c r="L41" s="6">
        <v>1</v>
      </c>
      <c r="M41" s="6"/>
      <c r="N41" s="56">
        <v>6</v>
      </c>
      <c r="O41" s="56">
        <v>2</v>
      </c>
      <c r="P41" s="56"/>
      <c r="Q41" s="6">
        <v>0</v>
      </c>
      <c r="R41" s="108">
        <v>0</v>
      </c>
      <c r="S41" s="108"/>
      <c r="T41" s="2">
        <v>112</v>
      </c>
      <c r="U41" s="2">
        <v>27</v>
      </c>
      <c r="V41" s="2">
        <v>5</v>
      </c>
    </row>
    <row r="42" spans="1:22" x14ac:dyDescent="0.25">
      <c r="A42" s="28">
        <v>17</v>
      </c>
      <c r="B42" s="28" t="s">
        <v>378</v>
      </c>
      <c r="C42" s="28" t="s">
        <v>352</v>
      </c>
      <c r="D42" s="37" t="s">
        <v>261</v>
      </c>
      <c r="E42" s="6">
        <v>69</v>
      </c>
      <c r="F42" s="6">
        <v>2</v>
      </c>
      <c r="G42" s="6"/>
      <c r="H42" s="56">
        <v>15</v>
      </c>
      <c r="I42" s="56">
        <v>1</v>
      </c>
      <c r="J42" s="56"/>
      <c r="K42" s="6">
        <v>2</v>
      </c>
      <c r="L42" s="6">
        <v>0</v>
      </c>
      <c r="M42" s="6"/>
      <c r="N42" s="56">
        <v>5</v>
      </c>
      <c r="O42" s="56">
        <v>0</v>
      </c>
      <c r="P42" s="56"/>
      <c r="Q42" s="6">
        <v>0</v>
      </c>
      <c r="R42" s="108">
        <v>0</v>
      </c>
      <c r="S42" s="108"/>
      <c r="T42" s="2">
        <v>91</v>
      </c>
      <c r="U42" s="2">
        <v>3</v>
      </c>
      <c r="V42" s="2">
        <v>0</v>
      </c>
    </row>
    <row r="43" spans="1:22" x14ac:dyDescent="0.25">
      <c r="A43" s="28">
        <v>24</v>
      </c>
      <c r="B43" s="28" t="s">
        <v>355</v>
      </c>
      <c r="C43" s="28" t="s">
        <v>354</v>
      </c>
      <c r="D43" s="37" t="s">
        <v>115</v>
      </c>
      <c r="E43" s="6">
        <v>50</v>
      </c>
      <c r="F43" s="6">
        <v>4</v>
      </c>
      <c r="G43" s="6">
        <v>2</v>
      </c>
      <c r="H43" s="56">
        <v>25</v>
      </c>
      <c r="I43" s="56">
        <v>1</v>
      </c>
      <c r="J43" s="56">
        <v>4</v>
      </c>
      <c r="K43" s="6">
        <v>5</v>
      </c>
      <c r="L43" s="6">
        <v>1</v>
      </c>
      <c r="M43" s="6">
        <v>1</v>
      </c>
      <c r="N43" s="56">
        <v>8</v>
      </c>
      <c r="O43" s="56">
        <v>2</v>
      </c>
      <c r="P43" s="56">
        <v>1</v>
      </c>
      <c r="Q43" s="6">
        <v>2</v>
      </c>
      <c r="R43" s="108">
        <v>0</v>
      </c>
      <c r="S43" s="108">
        <v>0</v>
      </c>
      <c r="T43" s="2">
        <v>90</v>
      </c>
      <c r="U43" s="2">
        <v>8</v>
      </c>
      <c r="V43" s="2">
        <v>5</v>
      </c>
    </row>
    <row r="44" spans="1:22" x14ac:dyDescent="0.25">
      <c r="A44" s="28">
        <v>1</v>
      </c>
      <c r="B44" s="28" t="s">
        <v>355</v>
      </c>
      <c r="C44" s="28" t="s">
        <v>350</v>
      </c>
      <c r="D44" s="37" t="s">
        <v>224</v>
      </c>
      <c r="E44" s="6">
        <v>78</v>
      </c>
      <c r="F44" s="6">
        <v>0</v>
      </c>
      <c r="G44" s="6"/>
      <c r="H44" s="56">
        <v>4</v>
      </c>
      <c r="I44" s="56">
        <v>0</v>
      </c>
      <c r="J44" s="56"/>
      <c r="K44" s="6">
        <v>1</v>
      </c>
      <c r="L44" s="6">
        <v>0</v>
      </c>
      <c r="M44" s="6"/>
      <c r="N44" s="56">
        <v>5</v>
      </c>
      <c r="O44" s="56">
        <v>0</v>
      </c>
      <c r="P44" s="56"/>
      <c r="Q44" s="6">
        <v>1</v>
      </c>
      <c r="R44" s="108">
        <v>0</v>
      </c>
      <c r="S44" s="108"/>
      <c r="T44" s="2">
        <v>89</v>
      </c>
      <c r="U44" s="2">
        <v>0</v>
      </c>
      <c r="V44" s="2">
        <v>6</v>
      </c>
    </row>
    <row r="45" spans="1:22" x14ac:dyDescent="0.25">
      <c r="A45" s="28">
        <v>11</v>
      </c>
      <c r="B45" s="28" t="s">
        <v>379</v>
      </c>
      <c r="C45" s="28" t="s">
        <v>352</v>
      </c>
      <c r="D45" s="37" t="s">
        <v>169</v>
      </c>
      <c r="E45" s="6">
        <v>63</v>
      </c>
      <c r="F45" s="6">
        <v>3</v>
      </c>
      <c r="G45" s="6"/>
      <c r="H45" s="56">
        <v>18</v>
      </c>
      <c r="I45" s="56">
        <v>0</v>
      </c>
      <c r="J45" s="56"/>
      <c r="K45" s="6">
        <v>2</v>
      </c>
      <c r="L45" s="6">
        <v>0</v>
      </c>
      <c r="M45" s="6"/>
      <c r="N45" s="56">
        <v>5</v>
      </c>
      <c r="O45" s="56">
        <v>1</v>
      </c>
      <c r="P45" s="56"/>
      <c r="Q45" s="6">
        <v>0</v>
      </c>
      <c r="R45" s="108">
        <v>0</v>
      </c>
      <c r="S45" s="108"/>
      <c r="T45" s="2">
        <v>88</v>
      </c>
      <c r="U45" s="2">
        <v>4</v>
      </c>
      <c r="V45" s="2">
        <v>4</v>
      </c>
    </row>
    <row r="46" spans="1:22" x14ac:dyDescent="0.25">
      <c r="A46" s="28">
        <v>18</v>
      </c>
      <c r="B46" s="28" t="s">
        <v>391</v>
      </c>
      <c r="C46" s="28" t="s">
        <v>352</v>
      </c>
      <c r="D46" s="37" t="s">
        <v>225</v>
      </c>
      <c r="E46" s="6">
        <v>65</v>
      </c>
      <c r="F46" s="6">
        <v>2</v>
      </c>
      <c r="G46" s="6"/>
      <c r="H46" s="56">
        <v>13</v>
      </c>
      <c r="I46" s="56">
        <v>1</v>
      </c>
      <c r="J46" s="56"/>
      <c r="K46" s="6">
        <v>2</v>
      </c>
      <c r="L46" s="6">
        <v>0</v>
      </c>
      <c r="M46" s="6"/>
      <c r="N46" s="56">
        <v>3</v>
      </c>
      <c r="O46" s="56">
        <v>0</v>
      </c>
      <c r="P46" s="56"/>
      <c r="Q46" s="6">
        <v>0</v>
      </c>
      <c r="R46" s="108">
        <v>0</v>
      </c>
      <c r="S46" s="108"/>
      <c r="T46" s="2">
        <v>83</v>
      </c>
      <c r="U46" s="2">
        <v>3</v>
      </c>
      <c r="V46" s="61">
        <v>12</v>
      </c>
    </row>
    <row r="47" spans="1:22" x14ac:dyDescent="0.25">
      <c r="A47" s="28">
        <v>29</v>
      </c>
      <c r="B47" s="28" t="s">
        <v>351</v>
      </c>
      <c r="C47" s="28" t="s">
        <v>353</v>
      </c>
      <c r="D47" s="37" t="s">
        <v>172</v>
      </c>
      <c r="E47" s="6">
        <v>57</v>
      </c>
      <c r="F47" s="6">
        <v>0</v>
      </c>
      <c r="G47" s="6"/>
      <c r="H47" s="56">
        <v>17</v>
      </c>
      <c r="I47" s="56">
        <v>1</v>
      </c>
      <c r="J47" s="56"/>
      <c r="K47" s="6">
        <v>4</v>
      </c>
      <c r="L47" s="6">
        <v>0</v>
      </c>
      <c r="M47" s="6"/>
      <c r="N47" s="56">
        <v>4</v>
      </c>
      <c r="O47" s="56">
        <v>0</v>
      </c>
      <c r="P47" s="56"/>
      <c r="Q47" s="6">
        <v>0</v>
      </c>
      <c r="R47" s="108">
        <v>0</v>
      </c>
      <c r="S47" s="108"/>
      <c r="T47" s="2">
        <v>82</v>
      </c>
      <c r="U47" s="2">
        <v>1</v>
      </c>
      <c r="V47" s="2">
        <v>5</v>
      </c>
    </row>
    <row r="48" spans="1:22" x14ac:dyDescent="0.25">
      <c r="A48" s="27">
        <v>9</v>
      </c>
      <c r="B48" s="27" t="s">
        <v>363</v>
      </c>
      <c r="C48" s="27" t="s">
        <v>354</v>
      </c>
      <c r="D48" s="145" t="s">
        <v>15</v>
      </c>
      <c r="E48" s="6">
        <v>60</v>
      </c>
      <c r="F48" s="6">
        <v>19</v>
      </c>
      <c r="G48" s="6"/>
      <c r="H48" s="7">
        <v>14</v>
      </c>
      <c r="I48" s="7">
        <v>8</v>
      </c>
      <c r="J48" s="7"/>
      <c r="K48" s="6">
        <v>3</v>
      </c>
      <c r="L48" s="6">
        <v>2</v>
      </c>
      <c r="M48" s="6"/>
      <c r="N48" s="7">
        <v>3</v>
      </c>
      <c r="O48" s="7">
        <v>2</v>
      </c>
      <c r="P48" s="7"/>
      <c r="Q48" s="6">
        <v>2</v>
      </c>
      <c r="R48" s="6">
        <v>0</v>
      </c>
      <c r="S48" s="6"/>
      <c r="T48" s="61">
        <v>82</v>
      </c>
      <c r="U48" s="61">
        <v>31</v>
      </c>
      <c r="V48" s="2">
        <v>2</v>
      </c>
    </row>
    <row r="49" spans="1:22" x14ac:dyDescent="0.25">
      <c r="A49" s="28">
        <v>8</v>
      </c>
      <c r="B49" s="28" t="s">
        <v>349</v>
      </c>
      <c r="C49" s="28" t="s">
        <v>353</v>
      </c>
      <c r="D49" s="37" t="s">
        <v>187</v>
      </c>
      <c r="E49" s="6">
        <v>48</v>
      </c>
      <c r="F49" s="6">
        <v>0</v>
      </c>
      <c r="G49" s="6"/>
      <c r="H49" s="56">
        <v>18</v>
      </c>
      <c r="I49" s="56">
        <v>1</v>
      </c>
      <c r="J49" s="56"/>
      <c r="K49" s="6">
        <v>5</v>
      </c>
      <c r="L49" s="6">
        <v>1</v>
      </c>
      <c r="M49" s="6"/>
      <c r="N49" s="56">
        <v>5</v>
      </c>
      <c r="O49" s="56">
        <v>0</v>
      </c>
      <c r="P49" s="56"/>
      <c r="Q49" s="6">
        <v>0</v>
      </c>
      <c r="R49" s="6">
        <v>0</v>
      </c>
      <c r="S49" s="6"/>
      <c r="T49" s="2">
        <v>76</v>
      </c>
      <c r="U49" s="2">
        <v>2</v>
      </c>
      <c r="V49" s="2">
        <v>4</v>
      </c>
    </row>
    <row r="50" spans="1:22" x14ac:dyDescent="0.25">
      <c r="A50" s="28">
        <v>20</v>
      </c>
      <c r="B50" s="28" t="s">
        <v>364</v>
      </c>
      <c r="C50" s="28" t="s">
        <v>353</v>
      </c>
      <c r="D50" s="37" t="s">
        <v>272</v>
      </c>
      <c r="E50" s="6">
        <v>53</v>
      </c>
      <c r="F50" s="6">
        <v>0</v>
      </c>
      <c r="G50" s="6"/>
      <c r="H50" s="56">
        <v>14</v>
      </c>
      <c r="I50" s="56">
        <v>1</v>
      </c>
      <c r="J50" s="56"/>
      <c r="K50" s="6">
        <v>2</v>
      </c>
      <c r="L50" s="6">
        <v>0</v>
      </c>
      <c r="M50" s="6"/>
      <c r="N50" s="56">
        <v>7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1</v>
      </c>
      <c r="V50" s="2">
        <v>1</v>
      </c>
    </row>
    <row r="51" spans="1:22" x14ac:dyDescent="0.25">
      <c r="A51" s="56">
        <v>28</v>
      </c>
      <c r="B51" s="56" t="s">
        <v>355</v>
      </c>
      <c r="C51" s="56" t="s">
        <v>353</v>
      </c>
      <c r="D51" s="37" t="s">
        <v>117</v>
      </c>
      <c r="E51" s="6">
        <v>40</v>
      </c>
      <c r="F51" s="6">
        <v>1</v>
      </c>
      <c r="G51" s="6"/>
      <c r="H51" s="56">
        <v>20</v>
      </c>
      <c r="I51" s="56">
        <v>6</v>
      </c>
      <c r="J51" s="56"/>
      <c r="K51" s="6">
        <v>7</v>
      </c>
      <c r="L51" s="6">
        <v>2</v>
      </c>
      <c r="M51" s="6"/>
      <c r="N51" s="56">
        <v>8</v>
      </c>
      <c r="O51" s="56">
        <v>2</v>
      </c>
      <c r="P51" s="56"/>
      <c r="Q51" s="6">
        <v>1</v>
      </c>
      <c r="R51" s="6">
        <v>0</v>
      </c>
      <c r="S51" s="6"/>
      <c r="T51" s="2">
        <v>76</v>
      </c>
      <c r="U51" s="2">
        <v>11</v>
      </c>
      <c r="V51" s="2">
        <v>4</v>
      </c>
    </row>
    <row r="52" spans="1:22" x14ac:dyDescent="0.25">
      <c r="A52" s="56">
        <v>23</v>
      </c>
      <c r="B52" s="56" t="s">
        <v>357</v>
      </c>
      <c r="C52" s="56" t="s">
        <v>352</v>
      </c>
      <c r="D52" s="37" t="s">
        <v>190</v>
      </c>
      <c r="E52" s="6">
        <v>53</v>
      </c>
      <c r="F52" s="6">
        <v>3</v>
      </c>
      <c r="G52" s="6"/>
      <c r="H52" s="56">
        <v>12</v>
      </c>
      <c r="I52" s="56">
        <v>1</v>
      </c>
      <c r="J52" s="56"/>
      <c r="K52" s="6">
        <v>6</v>
      </c>
      <c r="L52" s="6">
        <v>0</v>
      </c>
      <c r="M52" s="6"/>
      <c r="N52" s="56">
        <v>1</v>
      </c>
      <c r="O52" s="56">
        <v>0</v>
      </c>
      <c r="P52" s="56"/>
      <c r="Q52" s="6">
        <v>1</v>
      </c>
      <c r="R52" s="6">
        <v>0</v>
      </c>
      <c r="S52" s="6"/>
      <c r="T52" s="2">
        <v>73</v>
      </c>
      <c r="U52" s="2">
        <v>4</v>
      </c>
      <c r="V52" s="2">
        <v>0</v>
      </c>
    </row>
    <row r="53" spans="1:22" x14ac:dyDescent="0.25">
      <c r="A53" s="56">
        <v>25</v>
      </c>
      <c r="B53" s="56" t="s">
        <v>355</v>
      </c>
      <c r="C53" s="56" t="s">
        <v>352</v>
      </c>
      <c r="D53" s="40" t="s">
        <v>41</v>
      </c>
      <c r="E53" s="6">
        <v>41</v>
      </c>
      <c r="F53" s="6">
        <v>1</v>
      </c>
      <c r="G53" s="6"/>
      <c r="H53" s="4">
        <v>17</v>
      </c>
      <c r="I53" s="4">
        <v>0</v>
      </c>
      <c r="J53" s="4"/>
      <c r="K53" s="6">
        <v>5</v>
      </c>
      <c r="L53" s="6">
        <v>0</v>
      </c>
      <c r="M53" s="6"/>
      <c r="N53" s="4">
        <v>7</v>
      </c>
      <c r="O53" s="4">
        <v>0</v>
      </c>
      <c r="P53" s="4"/>
      <c r="Q53" s="6">
        <v>0</v>
      </c>
      <c r="R53" s="6">
        <v>0</v>
      </c>
      <c r="S53" s="6"/>
      <c r="T53" s="2">
        <v>70</v>
      </c>
      <c r="U53" s="2">
        <v>1</v>
      </c>
      <c r="V53" s="2">
        <v>2</v>
      </c>
    </row>
    <row r="54" spans="1:22" x14ac:dyDescent="0.25">
      <c r="A54" s="56">
        <v>13</v>
      </c>
      <c r="B54" s="56" t="s">
        <v>380</v>
      </c>
      <c r="C54" s="56" t="s">
        <v>350</v>
      </c>
      <c r="D54" s="40" t="s">
        <v>21</v>
      </c>
      <c r="E54" s="6">
        <v>29</v>
      </c>
      <c r="F54" s="6">
        <v>0</v>
      </c>
      <c r="G54" s="6"/>
      <c r="H54" s="4">
        <v>24</v>
      </c>
      <c r="I54" s="4">
        <v>0</v>
      </c>
      <c r="J54" s="4"/>
      <c r="K54" s="6">
        <v>10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0</v>
      </c>
      <c r="V54" s="2">
        <v>5</v>
      </c>
    </row>
    <row r="55" spans="1:22" x14ac:dyDescent="0.25">
      <c r="A55" s="4">
        <v>5</v>
      </c>
      <c r="B55" s="4" t="s">
        <v>361</v>
      </c>
      <c r="C55" s="4" t="s">
        <v>352</v>
      </c>
      <c r="D55" s="39" t="s">
        <v>203</v>
      </c>
      <c r="E55" s="6">
        <v>44</v>
      </c>
      <c r="F55" s="6">
        <v>3</v>
      </c>
      <c r="G55" s="6"/>
      <c r="H55" s="4">
        <v>17</v>
      </c>
      <c r="I55" s="4">
        <v>2</v>
      </c>
      <c r="J55" s="4"/>
      <c r="K55" s="6">
        <v>7</v>
      </c>
      <c r="L55" s="6">
        <v>1</v>
      </c>
      <c r="M55" s="6"/>
      <c r="N55" s="4">
        <v>1</v>
      </c>
      <c r="O55" s="4">
        <v>0</v>
      </c>
      <c r="P55" s="4"/>
      <c r="Q55" s="6">
        <v>0</v>
      </c>
      <c r="R55" s="6">
        <v>0</v>
      </c>
      <c r="S55" s="6"/>
      <c r="T55" s="2">
        <v>69</v>
      </c>
      <c r="U55" s="2">
        <v>6</v>
      </c>
      <c r="V55" s="2">
        <v>0</v>
      </c>
    </row>
    <row r="56" spans="1:22" x14ac:dyDescent="0.25">
      <c r="A56" s="56">
        <v>15</v>
      </c>
      <c r="B56" s="56" t="s">
        <v>368</v>
      </c>
      <c r="C56" s="56" t="s">
        <v>352</v>
      </c>
      <c r="D56" s="37" t="s">
        <v>273</v>
      </c>
      <c r="E56" s="6">
        <v>44</v>
      </c>
      <c r="F56" s="6">
        <v>3</v>
      </c>
      <c r="G56" s="6"/>
      <c r="H56" s="56">
        <v>18</v>
      </c>
      <c r="I56" s="56">
        <v>0</v>
      </c>
      <c r="J56" s="56"/>
      <c r="K56" s="6">
        <v>1</v>
      </c>
      <c r="L56" s="6">
        <v>0</v>
      </c>
      <c r="M56" s="6"/>
      <c r="N56" s="56">
        <v>5</v>
      </c>
      <c r="O56" s="56">
        <v>0</v>
      </c>
      <c r="P56" s="56"/>
      <c r="Q56" s="6">
        <v>0</v>
      </c>
      <c r="R56" s="6">
        <v>0</v>
      </c>
      <c r="S56" s="6"/>
      <c r="T56" s="2">
        <v>68</v>
      </c>
      <c r="U56" s="2">
        <v>3</v>
      </c>
      <c r="V56" s="2">
        <v>5</v>
      </c>
    </row>
    <row r="57" spans="1:22" x14ac:dyDescent="0.25">
      <c r="A57" s="4">
        <v>5</v>
      </c>
      <c r="B57" s="4" t="s">
        <v>357</v>
      </c>
      <c r="C57" s="4" t="s">
        <v>352</v>
      </c>
      <c r="D57" s="34" t="s">
        <v>84</v>
      </c>
      <c r="E57" s="6">
        <v>46</v>
      </c>
      <c r="F57" s="6">
        <v>1</v>
      </c>
      <c r="G57" s="6"/>
      <c r="H57" s="7">
        <v>6</v>
      </c>
      <c r="I57" s="7">
        <v>0</v>
      </c>
      <c r="J57" s="7"/>
      <c r="K57" s="6">
        <v>9</v>
      </c>
      <c r="L57" s="6">
        <v>0</v>
      </c>
      <c r="M57" s="6"/>
      <c r="N57" s="7">
        <v>3</v>
      </c>
      <c r="O57" s="7">
        <v>0</v>
      </c>
      <c r="P57" s="7"/>
      <c r="Q57" s="6">
        <v>0</v>
      </c>
      <c r="R57" s="6">
        <v>0</v>
      </c>
      <c r="S57" s="6"/>
      <c r="T57" s="2">
        <v>64</v>
      </c>
      <c r="U57" s="2">
        <v>1</v>
      </c>
      <c r="V57" s="2">
        <v>12</v>
      </c>
    </row>
    <row r="58" spans="1:22" x14ac:dyDescent="0.25">
      <c r="A58" s="56">
        <v>17</v>
      </c>
      <c r="B58" s="56" t="s">
        <v>362</v>
      </c>
      <c r="C58" s="56" t="s">
        <v>352</v>
      </c>
      <c r="D58" s="37" t="s">
        <v>192</v>
      </c>
      <c r="E58" s="6">
        <v>41</v>
      </c>
      <c r="F58" s="6">
        <v>2</v>
      </c>
      <c r="G58" s="6"/>
      <c r="H58" s="56">
        <v>11</v>
      </c>
      <c r="I58" s="56">
        <v>0</v>
      </c>
      <c r="J58" s="56"/>
      <c r="K58" s="6">
        <v>3</v>
      </c>
      <c r="L58" s="6">
        <v>0</v>
      </c>
      <c r="M58" s="6"/>
      <c r="N58" s="56">
        <v>8</v>
      </c>
      <c r="O58" s="56">
        <v>0</v>
      </c>
      <c r="P58" s="56"/>
      <c r="Q58" s="6">
        <v>1</v>
      </c>
      <c r="R58" s="6">
        <v>0</v>
      </c>
      <c r="S58" s="6"/>
      <c r="T58" s="2">
        <v>64</v>
      </c>
      <c r="U58" s="2">
        <v>2</v>
      </c>
      <c r="V58" s="2">
        <v>5</v>
      </c>
    </row>
    <row r="59" spans="1:22" x14ac:dyDescent="0.25">
      <c r="A59" s="56">
        <v>7</v>
      </c>
      <c r="B59" s="56" t="s">
        <v>381</v>
      </c>
      <c r="C59" s="56" t="s">
        <v>354</v>
      </c>
      <c r="D59" s="40" t="s">
        <v>130</v>
      </c>
      <c r="E59" s="6">
        <v>38</v>
      </c>
      <c r="F59" s="6">
        <v>8</v>
      </c>
      <c r="G59" s="6"/>
      <c r="H59" s="4">
        <v>17</v>
      </c>
      <c r="I59" s="4">
        <v>1</v>
      </c>
      <c r="J59" s="4"/>
      <c r="K59" s="6">
        <v>0</v>
      </c>
      <c r="L59" s="6">
        <v>0</v>
      </c>
      <c r="M59" s="6"/>
      <c r="N59" s="4">
        <v>3</v>
      </c>
      <c r="O59" s="4">
        <v>0</v>
      </c>
      <c r="P59" s="4"/>
      <c r="Q59" s="6">
        <v>0</v>
      </c>
      <c r="R59" s="6">
        <v>0</v>
      </c>
      <c r="S59" s="6"/>
      <c r="T59" s="2">
        <v>58</v>
      </c>
      <c r="U59" s="2">
        <v>9</v>
      </c>
      <c r="V59" s="2">
        <v>0</v>
      </c>
    </row>
    <row r="60" spans="1:22" x14ac:dyDescent="0.25">
      <c r="A60" s="56">
        <v>21</v>
      </c>
      <c r="B60" s="56" t="s">
        <v>362</v>
      </c>
      <c r="C60" s="56" t="s">
        <v>353</v>
      </c>
      <c r="D60" s="37" t="s">
        <v>258</v>
      </c>
      <c r="E60" s="6">
        <v>33</v>
      </c>
      <c r="F60" s="6">
        <v>2</v>
      </c>
      <c r="G60" s="6">
        <v>4</v>
      </c>
      <c r="H60" s="56">
        <v>11</v>
      </c>
      <c r="I60" s="56">
        <v>1</v>
      </c>
      <c r="J60" s="56">
        <v>2</v>
      </c>
      <c r="K60" s="6">
        <v>2</v>
      </c>
      <c r="L60" s="6">
        <v>0</v>
      </c>
      <c r="M60" s="6">
        <v>2</v>
      </c>
      <c r="N60" s="56">
        <v>2</v>
      </c>
      <c r="O60" s="56">
        <v>0</v>
      </c>
      <c r="P60" s="56">
        <v>1</v>
      </c>
      <c r="Q60" s="6">
        <v>1</v>
      </c>
      <c r="R60" s="6">
        <v>0</v>
      </c>
      <c r="S60" s="6">
        <v>0</v>
      </c>
      <c r="T60" s="2">
        <v>49</v>
      </c>
      <c r="U60" s="2">
        <v>3</v>
      </c>
      <c r="V60" s="2">
        <v>0</v>
      </c>
    </row>
    <row r="61" spans="1:22" x14ac:dyDescent="0.25">
      <c r="A61" s="56">
        <v>28</v>
      </c>
      <c r="B61" s="56" t="s">
        <v>382</v>
      </c>
      <c r="C61" s="56" t="s">
        <v>354</v>
      </c>
      <c r="D61" s="40" t="s">
        <v>32</v>
      </c>
      <c r="E61" s="6">
        <v>23</v>
      </c>
      <c r="F61" s="6">
        <v>3</v>
      </c>
      <c r="G61" s="6"/>
      <c r="H61" s="4">
        <v>8</v>
      </c>
      <c r="I61" s="4">
        <v>0</v>
      </c>
      <c r="J61" s="4"/>
      <c r="K61" s="6">
        <v>4</v>
      </c>
      <c r="L61" s="6">
        <v>1</v>
      </c>
      <c r="M61" s="6"/>
      <c r="N61" s="4">
        <v>3</v>
      </c>
      <c r="O61" s="4">
        <v>0</v>
      </c>
      <c r="P61" s="4"/>
      <c r="Q61" s="6">
        <v>1</v>
      </c>
      <c r="R61" s="6">
        <v>0</v>
      </c>
      <c r="S61" s="6"/>
      <c r="T61" s="2">
        <v>39</v>
      </c>
      <c r="U61" s="2">
        <v>4</v>
      </c>
      <c r="V61" s="2">
        <v>7</v>
      </c>
    </row>
    <row r="62" spans="1:22" x14ac:dyDescent="0.25">
      <c r="A62" s="56">
        <v>28</v>
      </c>
      <c r="B62" s="56" t="s">
        <v>369</v>
      </c>
      <c r="C62" s="56" t="s">
        <v>353</v>
      </c>
      <c r="D62" s="37" t="s">
        <v>223</v>
      </c>
      <c r="E62" s="6">
        <v>25</v>
      </c>
      <c r="F62" s="6">
        <v>0</v>
      </c>
      <c r="G62" s="6"/>
      <c r="H62" s="56">
        <v>6</v>
      </c>
      <c r="I62" s="56">
        <v>0</v>
      </c>
      <c r="J62" s="56"/>
      <c r="K62" s="6">
        <v>3</v>
      </c>
      <c r="L62" s="6">
        <v>0</v>
      </c>
      <c r="M62" s="6"/>
      <c r="N62" s="56">
        <v>5</v>
      </c>
      <c r="O62" s="56">
        <v>0</v>
      </c>
      <c r="P62" s="56"/>
      <c r="Q62" s="6">
        <v>0</v>
      </c>
      <c r="R62" s="6">
        <v>0</v>
      </c>
      <c r="S62" s="6"/>
      <c r="T62" s="2">
        <v>39</v>
      </c>
      <c r="U62" s="2">
        <v>0</v>
      </c>
      <c r="V62" s="2">
        <v>1</v>
      </c>
    </row>
    <row r="63" spans="1:22" x14ac:dyDescent="0.25">
      <c r="A63" s="56">
        <v>26</v>
      </c>
      <c r="B63" s="56" t="s">
        <v>383</v>
      </c>
      <c r="C63" s="56" t="s">
        <v>350</v>
      </c>
      <c r="D63" s="37" t="s">
        <v>30</v>
      </c>
      <c r="E63" s="6">
        <v>15</v>
      </c>
      <c r="F63" s="6">
        <v>0</v>
      </c>
      <c r="G63" s="6"/>
      <c r="H63" s="56">
        <v>9</v>
      </c>
      <c r="I63" s="56">
        <v>0</v>
      </c>
      <c r="J63" s="56"/>
      <c r="K63" s="6">
        <v>6</v>
      </c>
      <c r="L63" s="6">
        <v>0</v>
      </c>
      <c r="M63" s="6"/>
      <c r="N63" s="56">
        <v>7</v>
      </c>
      <c r="O63" s="56">
        <v>0</v>
      </c>
      <c r="P63" s="56"/>
      <c r="Q63" s="6">
        <v>1</v>
      </c>
      <c r="R63" s="6">
        <v>0</v>
      </c>
      <c r="S63" s="6"/>
      <c r="T63" s="2">
        <v>38</v>
      </c>
      <c r="U63" s="2">
        <v>0</v>
      </c>
      <c r="V63" s="2">
        <v>5</v>
      </c>
    </row>
    <row r="64" spans="1:22" x14ac:dyDescent="0.25">
      <c r="A64" s="56">
        <v>12</v>
      </c>
      <c r="B64" s="56" t="s">
        <v>357</v>
      </c>
      <c r="C64" s="56" t="s">
        <v>354</v>
      </c>
      <c r="D64" s="37" t="s">
        <v>197</v>
      </c>
      <c r="E64" s="6">
        <v>25</v>
      </c>
      <c r="F64" s="6">
        <v>1</v>
      </c>
      <c r="G64" s="6"/>
      <c r="H64" s="56">
        <v>9</v>
      </c>
      <c r="I64" s="56">
        <v>0</v>
      </c>
      <c r="J64" s="56"/>
      <c r="K64" s="6">
        <v>2</v>
      </c>
      <c r="L64" s="6">
        <v>0</v>
      </c>
      <c r="M64" s="6"/>
      <c r="N64" s="56">
        <v>1</v>
      </c>
      <c r="O64" s="56">
        <v>0</v>
      </c>
      <c r="P64" s="56"/>
      <c r="Q64" s="6">
        <v>0</v>
      </c>
      <c r="R64" s="6">
        <v>0</v>
      </c>
      <c r="S64" s="6"/>
      <c r="T64" s="2">
        <v>37</v>
      </c>
      <c r="U64" s="2">
        <v>1</v>
      </c>
      <c r="V64" s="2">
        <v>2</v>
      </c>
    </row>
    <row r="65" spans="1:22" x14ac:dyDescent="0.25">
      <c r="A65" s="56">
        <v>2</v>
      </c>
      <c r="B65" s="56" t="s">
        <v>351</v>
      </c>
      <c r="C65" s="56" t="s">
        <v>352</v>
      </c>
      <c r="D65" s="40" t="s">
        <v>9</v>
      </c>
      <c r="E65" s="6">
        <v>13</v>
      </c>
      <c r="F65" s="6">
        <v>1</v>
      </c>
      <c r="G65" s="6"/>
      <c r="H65" s="4">
        <v>10</v>
      </c>
      <c r="I65" s="4">
        <v>1</v>
      </c>
      <c r="J65" s="4"/>
      <c r="K65" s="6">
        <v>2</v>
      </c>
      <c r="L65" s="6">
        <v>0</v>
      </c>
      <c r="M65" s="6"/>
      <c r="N65" s="4">
        <v>4</v>
      </c>
      <c r="O65" s="4">
        <v>0</v>
      </c>
      <c r="P65" s="4"/>
      <c r="Q65" s="6">
        <v>1</v>
      </c>
      <c r="R65" s="6">
        <v>0</v>
      </c>
      <c r="S65" s="6"/>
      <c r="T65" s="2">
        <v>30</v>
      </c>
      <c r="U65" s="2">
        <v>2</v>
      </c>
      <c r="V65" s="2">
        <v>1</v>
      </c>
    </row>
    <row r="66" spans="1:22" x14ac:dyDescent="0.25">
      <c r="A66" s="56">
        <v>30</v>
      </c>
      <c r="B66" s="56" t="s">
        <v>355</v>
      </c>
      <c r="C66" s="56" t="s">
        <v>354</v>
      </c>
      <c r="D66" s="37" t="s">
        <v>294</v>
      </c>
      <c r="E66" s="6">
        <v>17</v>
      </c>
      <c r="F66" s="6">
        <v>0</v>
      </c>
      <c r="G66" s="6"/>
      <c r="H66" s="56">
        <v>5</v>
      </c>
      <c r="I66" s="56">
        <v>0</v>
      </c>
      <c r="J66" s="56"/>
      <c r="K66" s="6">
        <v>1</v>
      </c>
      <c r="L66" s="6">
        <v>0</v>
      </c>
      <c r="M66" s="6"/>
      <c r="N66" s="56">
        <v>4</v>
      </c>
      <c r="O66" s="56">
        <v>1</v>
      </c>
      <c r="P66" s="56"/>
      <c r="Q66" s="6">
        <v>0</v>
      </c>
      <c r="R66" s="6">
        <v>0</v>
      </c>
      <c r="S66" s="6"/>
      <c r="T66" s="2">
        <v>28</v>
      </c>
      <c r="U66" s="2">
        <v>1</v>
      </c>
      <c r="V66" s="2">
        <v>0</v>
      </c>
    </row>
    <row r="67" spans="1:22" x14ac:dyDescent="0.25">
      <c r="A67" s="56">
        <v>20</v>
      </c>
      <c r="B67" s="56" t="s">
        <v>362</v>
      </c>
      <c r="C67" s="56" t="s">
        <v>352</v>
      </c>
      <c r="D67" s="37" t="s">
        <v>222</v>
      </c>
      <c r="E67" s="6">
        <v>22</v>
      </c>
      <c r="F67" s="6">
        <v>1</v>
      </c>
      <c r="G67" s="6"/>
      <c r="H67" s="56">
        <v>0</v>
      </c>
      <c r="I67" s="56">
        <v>0</v>
      </c>
      <c r="J67" s="56"/>
      <c r="K67" s="6">
        <v>1</v>
      </c>
      <c r="L67" s="6">
        <v>0</v>
      </c>
      <c r="M67" s="6"/>
      <c r="N67" s="56">
        <v>5</v>
      </c>
      <c r="O67" s="56">
        <v>0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12</v>
      </c>
      <c r="B68" s="56" t="s">
        <v>366</v>
      </c>
      <c r="C68" s="56" t="s">
        <v>352</v>
      </c>
      <c r="D68" s="40" t="s">
        <v>170</v>
      </c>
      <c r="E68" s="6">
        <v>14</v>
      </c>
      <c r="F68" s="6">
        <v>0</v>
      </c>
      <c r="G68" s="6"/>
      <c r="H68" s="4">
        <v>6</v>
      </c>
      <c r="I68" s="4">
        <v>0</v>
      </c>
      <c r="J68" s="4"/>
      <c r="K68" s="6">
        <v>1</v>
      </c>
      <c r="L68" s="6">
        <v>0</v>
      </c>
      <c r="M68" s="6"/>
      <c r="N68" s="4">
        <v>2</v>
      </c>
      <c r="O68" s="4">
        <v>1</v>
      </c>
      <c r="P68" s="4"/>
      <c r="Q68" s="6">
        <v>0</v>
      </c>
      <c r="R68" s="6">
        <v>0</v>
      </c>
      <c r="S68" s="6"/>
      <c r="T68" s="2">
        <v>23</v>
      </c>
      <c r="U68" s="2">
        <v>1</v>
      </c>
      <c r="V68" s="2">
        <v>1</v>
      </c>
    </row>
    <row r="69" spans="1:22" x14ac:dyDescent="0.25">
      <c r="A69" s="56">
        <v>22</v>
      </c>
      <c r="B69" s="56" t="s">
        <v>349</v>
      </c>
      <c r="C69" s="56" t="s">
        <v>352</v>
      </c>
      <c r="D69" s="37" t="s">
        <v>193</v>
      </c>
      <c r="E69" s="6">
        <v>14</v>
      </c>
      <c r="F69" s="6">
        <v>0</v>
      </c>
      <c r="G69" s="6"/>
      <c r="H69" s="56">
        <v>5</v>
      </c>
      <c r="I69" s="56">
        <v>1</v>
      </c>
      <c r="J69" s="56"/>
      <c r="K69" s="6">
        <v>3</v>
      </c>
      <c r="L69" s="6">
        <v>0</v>
      </c>
      <c r="M69" s="6"/>
      <c r="N69" s="56">
        <v>1</v>
      </c>
      <c r="O69" s="56">
        <v>0</v>
      </c>
      <c r="P69" s="56"/>
      <c r="Q69" s="6">
        <v>0</v>
      </c>
      <c r="R69" s="6">
        <v>0</v>
      </c>
      <c r="S69" s="6"/>
      <c r="T69" s="2">
        <v>22</v>
      </c>
      <c r="U69" s="2">
        <v>1</v>
      </c>
      <c r="V69" s="2">
        <v>2</v>
      </c>
    </row>
    <row r="70" spans="1:22" x14ac:dyDescent="0.25">
      <c r="A70" s="56">
        <v>28</v>
      </c>
      <c r="B70" s="56" t="s">
        <v>349</v>
      </c>
      <c r="C70" s="56" t="s">
        <v>354</v>
      </c>
      <c r="D70" s="40" t="s">
        <v>106</v>
      </c>
      <c r="E70" s="6">
        <v>12</v>
      </c>
      <c r="F70" s="6">
        <v>1</v>
      </c>
      <c r="G70" s="6"/>
      <c r="H70" s="4">
        <v>3</v>
      </c>
      <c r="I70" s="4">
        <v>3</v>
      </c>
      <c r="J70" s="4"/>
      <c r="K70" s="6">
        <v>4</v>
      </c>
      <c r="L70" s="6">
        <v>1</v>
      </c>
      <c r="M70" s="6"/>
      <c r="N70" s="4">
        <v>3</v>
      </c>
      <c r="O70" s="4">
        <v>2</v>
      </c>
      <c r="P70" s="4"/>
      <c r="Q70" s="6">
        <v>0</v>
      </c>
      <c r="R70" s="6">
        <v>0</v>
      </c>
      <c r="S70" s="6"/>
      <c r="T70" s="2">
        <v>22</v>
      </c>
      <c r="U70" s="2">
        <v>7</v>
      </c>
      <c r="V70" s="2">
        <v>1</v>
      </c>
    </row>
    <row r="71" spans="1:22" x14ac:dyDescent="0.25">
      <c r="A71" s="4">
        <v>22</v>
      </c>
      <c r="B71" s="4" t="s">
        <v>351</v>
      </c>
      <c r="C71" s="4" t="s">
        <v>354</v>
      </c>
      <c r="D71" s="35" t="s">
        <v>27</v>
      </c>
      <c r="E71" s="6">
        <v>11</v>
      </c>
      <c r="F71" s="6">
        <v>0</v>
      </c>
      <c r="G71" s="6"/>
      <c r="H71" s="4">
        <v>4</v>
      </c>
      <c r="I71" s="4">
        <v>1</v>
      </c>
      <c r="J71" s="4"/>
      <c r="K71" s="6">
        <v>4</v>
      </c>
      <c r="L71" s="6">
        <v>0</v>
      </c>
      <c r="M71" s="6"/>
      <c r="N71" s="4">
        <v>0</v>
      </c>
      <c r="O71" s="4">
        <v>0</v>
      </c>
      <c r="P71" s="4"/>
      <c r="Q71" s="6">
        <v>1</v>
      </c>
      <c r="R71" s="6">
        <v>0</v>
      </c>
      <c r="S71" s="6"/>
      <c r="T71" s="2">
        <v>20</v>
      </c>
      <c r="U71" s="2">
        <v>1</v>
      </c>
      <c r="V71" s="2">
        <v>0</v>
      </c>
    </row>
    <row r="72" spans="1:22" x14ac:dyDescent="0.25">
      <c r="A72" s="56">
        <v>16</v>
      </c>
      <c r="B72" s="56" t="s">
        <v>384</v>
      </c>
      <c r="C72" s="56" t="s">
        <v>353</v>
      </c>
      <c r="D72" s="37" t="s">
        <v>314</v>
      </c>
      <c r="E72" s="6">
        <v>7</v>
      </c>
      <c r="F72" s="6">
        <v>0</v>
      </c>
      <c r="G72" s="6"/>
      <c r="H72" s="56">
        <v>6</v>
      </c>
      <c r="I72" s="56">
        <v>0</v>
      </c>
      <c r="J72" s="56"/>
      <c r="K72" s="6">
        <v>4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20</v>
      </c>
      <c r="U72" s="2">
        <v>0</v>
      </c>
      <c r="V72" s="2">
        <v>1</v>
      </c>
    </row>
    <row r="73" spans="1:22" x14ac:dyDescent="0.25">
      <c r="A73" s="4">
        <v>27</v>
      </c>
      <c r="B73" s="4" t="s">
        <v>363</v>
      </c>
      <c r="C73" s="4" t="s">
        <v>354</v>
      </c>
      <c r="D73" s="35" t="s">
        <v>31</v>
      </c>
      <c r="E73" s="6">
        <v>10</v>
      </c>
      <c r="F73" s="6">
        <v>1</v>
      </c>
      <c r="G73" s="6"/>
      <c r="H73" s="4">
        <v>3</v>
      </c>
      <c r="I73" s="4">
        <v>0</v>
      </c>
      <c r="J73" s="4"/>
      <c r="K73" s="6">
        <v>2</v>
      </c>
      <c r="L73" s="6">
        <v>0</v>
      </c>
      <c r="M73" s="6"/>
      <c r="N73" s="4">
        <v>3</v>
      </c>
      <c r="O73" s="4">
        <v>0</v>
      </c>
      <c r="P73" s="4"/>
      <c r="Q73" s="6">
        <v>0</v>
      </c>
      <c r="R73" s="6">
        <v>0</v>
      </c>
      <c r="S73" s="6"/>
      <c r="T73" s="2">
        <v>18</v>
      </c>
      <c r="U73" s="2">
        <v>1</v>
      </c>
      <c r="V73" s="2">
        <v>0</v>
      </c>
    </row>
    <row r="74" spans="1:22" x14ac:dyDescent="0.25">
      <c r="A74" s="56">
        <v>32</v>
      </c>
      <c r="B74" s="56" t="s">
        <v>355</v>
      </c>
      <c r="C74" s="56" t="s">
        <v>354</v>
      </c>
      <c r="D74" s="40" t="s">
        <v>35</v>
      </c>
      <c r="E74" s="6">
        <v>4</v>
      </c>
      <c r="F74" s="6">
        <v>0</v>
      </c>
      <c r="G74" s="6"/>
      <c r="H74" s="4">
        <v>0</v>
      </c>
      <c r="I74" s="4">
        <v>0</v>
      </c>
      <c r="J74" s="4"/>
      <c r="K74" s="6">
        <v>4</v>
      </c>
      <c r="L74" s="6">
        <v>0</v>
      </c>
      <c r="M74" s="6"/>
      <c r="N74" s="4">
        <v>4</v>
      </c>
      <c r="O74" s="4">
        <v>0</v>
      </c>
      <c r="P74" s="4"/>
      <c r="Q74" s="6">
        <v>0</v>
      </c>
      <c r="R74" s="6">
        <v>0</v>
      </c>
      <c r="S74" s="6"/>
      <c r="T74" s="2">
        <v>12</v>
      </c>
      <c r="U74" s="2">
        <v>0</v>
      </c>
      <c r="V74" s="2">
        <v>0</v>
      </c>
    </row>
    <row r="75" spans="1:22" x14ac:dyDescent="0.25">
      <c r="A75" s="56">
        <v>26</v>
      </c>
      <c r="B75" s="28" t="s">
        <v>385</v>
      </c>
      <c r="C75" s="56" t="s">
        <v>354</v>
      </c>
      <c r="D75" s="37" t="s">
        <v>206</v>
      </c>
      <c r="E75" s="6">
        <v>2</v>
      </c>
      <c r="F75" s="6">
        <v>0</v>
      </c>
      <c r="G75" s="6"/>
      <c r="H75" s="56">
        <v>5</v>
      </c>
      <c r="I75" s="56">
        <v>2</v>
      </c>
      <c r="J75" s="56"/>
      <c r="K75" s="6">
        <v>1</v>
      </c>
      <c r="L75" s="6">
        <v>0</v>
      </c>
      <c r="M75" s="6"/>
      <c r="N75" s="56">
        <v>3</v>
      </c>
      <c r="O75" s="56">
        <v>0</v>
      </c>
      <c r="P75" s="56"/>
      <c r="Q75" s="6">
        <v>0</v>
      </c>
      <c r="R75" s="6">
        <v>0</v>
      </c>
      <c r="S75" s="6"/>
      <c r="T75" s="2">
        <v>11</v>
      </c>
      <c r="U75" s="2">
        <v>2</v>
      </c>
      <c r="V75" s="2">
        <v>0</v>
      </c>
    </row>
    <row r="76" spans="1:22" x14ac:dyDescent="0.25">
      <c r="A76" s="56">
        <v>27</v>
      </c>
      <c r="B76" s="56" t="s">
        <v>361</v>
      </c>
      <c r="C76" s="56" t="s">
        <v>352</v>
      </c>
      <c r="D76" s="37" t="s">
        <v>167</v>
      </c>
      <c r="E76" s="6">
        <v>7</v>
      </c>
      <c r="F76" s="6">
        <v>0</v>
      </c>
      <c r="G76" s="6"/>
      <c r="H76" s="56">
        <v>1</v>
      </c>
      <c r="I76" s="56">
        <v>0</v>
      </c>
      <c r="J76" s="56"/>
      <c r="K76" s="6">
        <v>0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8</v>
      </c>
      <c r="U76" s="2">
        <v>0</v>
      </c>
      <c r="V76" s="2">
        <v>0</v>
      </c>
    </row>
    <row r="77" spans="1:22" x14ac:dyDescent="0.25">
      <c r="A77" s="56">
        <v>22</v>
      </c>
      <c r="B77" s="56" t="s">
        <v>351</v>
      </c>
      <c r="C77" s="56" t="s">
        <v>353</v>
      </c>
      <c r="D77" s="40" t="s">
        <v>105</v>
      </c>
      <c r="E77" s="6">
        <v>0</v>
      </c>
      <c r="F77" s="6">
        <v>0</v>
      </c>
      <c r="G77" s="6"/>
      <c r="H77" s="4">
        <v>0</v>
      </c>
      <c r="I77" s="4">
        <v>0</v>
      </c>
      <c r="J77" s="4"/>
      <c r="K77" s="6">
        <v>5</v>
      </c>
      <c r="L77" s="6">
        <v>0</v>
      </c>
      <c r="M77" s="6"/>
      <c r="N77" s="4">
        <v>3</v>
      </c>
      <c r="O77" s="4">
        <v>0</v>
      </c>
      <c r="P77" s="4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4">
        <v>31</v>
      </c>
      <c r="B78" s="56" t="s">
        <v>391</v>
      </c>
      <c r="C78" s="4" t="s">
        <v>354</v>
      </c>
      <c r="D78" s="145" t="s">
        <v>40</v>
      </c>
      <c r="E78" s="6">
        <v>1</v>
      </c>
      <c r="F78" s="6">
        <v>0</v>
      </c>
      <c r="G78" s="6"/>
      <c r="H78" s="4">
        <v>2</v>
      </c>
      <c r="I78" s="4">
        <v>0</v>
      </c>
      <c r="J78" s="4"/>
      <c r="K78" s="6">
        <v>0</v>
      </c>
      <c r="L78" s="6">
        <v>0</v>
      </c>
      <c r="M78" s="6"/>
      <c r="N78" s="4">
        <v>2</v>
      </c>
      <c r="O78" s="4">
        <v>0</v>
      </c>
      <c r="P78" s="4"/>
      <c r="Q78" s="6">
        <v>0</v>
      </c>
      <c r="R78" s="6">
        <v>0</v>
      </c>
      <c r="S78" s="6"/>
      <c r="T78" s="2">
        <v>7</v>
      </c>
      <c r="U78" s="2">
        <v>0</v>
      </c>
      <c r="V78" s="2">
        <v>0</v>
      </c>
    </row>
    <row r="79" spans="1:22" x14ac:dyDescent="0.25">
      <c r="A79" s="56">
        <v>30</v>
      </c>
      <c r="B79" s="56" t="s">
        <v>385</v>
      </c>
      <c r="C79" s="56" t="s">
        <v>350</v>
      </c>
      <c r="D79" s="37" t="s">
        <v>260</v>
      </c>
      <c r="E79" s="6">
        <v>0</v>
      </c>
      <c r="F79" s="6">
        <v>0</v>
      </c>
      <c r="G79" s="6"/>
      <c r="H79" s="56">
        <v>5</v>
      </c>
      <c r="I79" s="56">
        <v>0</v>
      </c>
      <c r="J79" s="56"/>
      <c r="K79" s="6">
        <v>2</v>
      </c>
      <c r="L79" s="6">
        <v>0</v>
      </c>
      <c r="M79" s="6"/>
      <c r="N79" s="56">
        <v>0</v>
      </c>
      <c r="O79" s="56">
        <v>0</v>
      </c>
      <c r="P79" s="56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27</v>
      </c>
      <c r="B80" s="56" t="s">
        <v>357</v>
      </c>
      <c r="C80" s="56" t="s">
        <v>354</v>
      </c>
      <c r="D80" s="37" t="s">
        <v>262</v>
      </c>
      <c r="E80" s="6">
        <v>1</v>
      </c>
      <c r="F80" s="6">
        <v>0</v>
      </c>
      <c r="G80" s="6"/>
      <c r="H80" s="56">
        <v>3</v>
      </c>
      <c r="I80" s="56">
        <v>1</v>
      </c>
      <c r="J80" s="56"/>
      <c r="K80" s="6">
        <v>1</v>
      </c>
      <c r="L80" s="6">
        <v>0</v>
      </c>
      <c r="M80" s="6"/>
      <c r="N80" s="56">
        <v>1</v>
      </c>
      <c r="O80" s="56">
        <v>0</v>
      </c>
      <c r="P80" s="56"/>
      <c r="Q80" s="6">
        <v>0</v>
      </c>
      <c r="R80" s="6">
        <v>0</v>
      </c>
      <c r="S80" s="6"/>
      <c r="T80" s="2">
        <v>6</v>
      </c>
      <c r="U80" s="2">
        <v>1</v>
      </c>
      <c r="V80" s="2">
        <v>0</v>
      </c>
    </row>
    <row r="81" spans="1:22" x14ac:dyDescent="0.25">
      <c r="A81" s="56">
        <v>13</v>
      </c>
      <c r="B81" s="56" t="s">
        <v>386</v>
      </c>
      <c r="C81" s="56" t="s">
        <v>350</v>
      </c>
      <c r="D81" s="37" t="s">
        <v>205</v>
      </c>
      <c r="E81" s="6">
        <v>1</v>
      </c>
      <c r="F81" s="6">
        <v>0</v>
      </c>
      <c r="G81" s="6"/>
      <c r="H81" s="56">
        <v>4</v>
      </c>
      <c r="I81" s="56">
        <v>0</v>
      </c>
      <c r="J81" s="56"/>
      <c r="K81" s="6">
        <v>0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0</v>
      </c>
      <c r="V81" s="2">
        <v>0</v>
      </c>
    </row>
    <row r="82" spans="1:22" x14ac:dyDescent="0.25">
      <c r="A82" s="56">
        <v>22</v>
      </c>
      <c r="B82" s="56" t="s">
        <v>349</v>
      </c>
      <c r="C82" s="56" t="s">
        <v>353</v>
      </c>
      <c r="D82" s="40" t="s">
        <v>185</v>
      </c>
      <c r="E82" s="6">
        <v>4</v>
      </c>
      <c r="F82" s="6">
        <v>0</v>
      </c>
      <c r="G82" s="6"/>
      <c r="H82" s="4">
        <v>2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40</v>
      </c>
      <c r="B83" s="56" t="s">
        <v>385</v>
      </c>
      <c r="C83" s="56" t="s">
        <v>353</v>
      </c>
      <c r="D83" s="37" t="s">
        <v>34</v>
      </c>
      <c r="E83" s="6">
        <v>0</v>
      </c>
      <c r="F83" s="6">
        <v>0</v>
      </c>
      <c r="G83" s="6"/>
      <c r="H83" s="56">
        <v>1</v>
      </c>
      <c r="I83" s="56">
        <v>0</v>
      </c>
      <c r="J83" s="56"/>
      <c r="K83" s="6">
        <v>1</v>
      </c>
      <c r="L83" s="6">
        <v>0</v>
      </c>
      <c r="M83" s="6"/>
      <c r="N83" s="56">
        <v>2</v>
      </c>
      <c r="O83" s="56">
        <v>0</v>
      </c>
      <c r="P83" s="56"/>
      <c r="Q83" s="6">
        <v>0</v>
      </c>
      <c r="R83" s="6">
        <v>0</v>
      </c>
      <c r="S83" s="6"/>
      <c r="T83" s="2">
        <v>4</v>
      </c>
      <c r="U83" s="2">
        <v>0</v>
      </c>
      <c r="V83" s="2">
        <v>0</v>
      </c>
    </row>
    <row r="84" spans="1:22" x14ac:dyDescent="0.25">
      <c r="A84" s="56">
        <v>43</v>
      </c>
      <c r="B84" s="56" t="s">
        <v>355</v>
      </c>
      <c r="C84" s="56" t="s">
        <v>353</v>
      </c>
      <c r="D84" s="40" t="s">
        <v>118</v>
      </c>
      <c r="E84" s="6">
        <v>0</v>
      </c>
      <c r="F84" s="6">
        <v>0</v>
      </c>
      <c r="G84" s="6"/>
      <c r="H84" s="4">
        <v>0</v>
      </c>
      <c r="I84" s="4">
        <v>0</v>
      </c>
      <c r="J84" s="4"/>
      <c r="K84" s="6">
        <v>0</v>
      </c>
      <c r="L84" s="6">
        <v>0</v>
      </c>
      <c r="M84" s="6"/>
      <c r="N84" s="4">
        <v>3</v>
      </c>
      <c r="O84" s="4">
        <v>0</v>
      </c>
      <c r="P84" s="4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58</v>
      </c>
      <c r="B85" s="56" t="s">
        <v>355</v>
      </c>
      <c r="C85" s="56" t="s">
        <v>353</v>
      </c>
      <c r="D85" s="40" t="s">
        <v>122</v>
      </c>
      <c r="E85" s="6">
        <v>0</v>
      </c>
      <c r="F85" s="6">
        <v>0</v>
      </c>
      <c r="G85" s="6"/>
      <c r="H85" s="4">
        <v>3</v>
      </c>
      <c r="I85" s="4">
        <v>0</v>
      </c>
      <c r="J85" s="4"/>
      <c r="K85" s="6">
        <v>0</v>
      </c>
      <c r="L85" s="6">
        <v>0</v>
      </c>
      <c r="M85" s="6"/>
      <c r="N85" s="4">
        <v>0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47</v>
      </c>
      <c r="B86" s="56" t="s">
        <v>355</v>
      </c>
      <c r="C86" s="56" t="s">
        <v>352</v>
      </c>
      <c r="D86" s="37" t="s">
        <v>178</v>
      </c>
      <c r="E86" s="6">
        <v>0</v>
      </c>
      <c r="F86" s="6">
        <v>0</v>
      </c>
      <c r="G86" s="6"/>
      <c r="H86" s="56">
        <v>2</v>
      </c>
      <c r="I86" s="56">
        <v>0</v>
      </c>
      <c r="J86" s="56"/>
      <c r="K86" s="6">
        <v>1</v>
      </c>
      <c r="L86" s="6">
        <v>0</v>
      </c>
      <c r="M86" s="6"/>
      <c r="N86" s="56">
        <v>0</v>
      </c>
      <c r="O86" s="56">
        <v>0</v>
      </c>
      <c r="P86" s="56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33</v>
      </c>
      <c r="B87" s="56" t="s">
        <v>392</v>
      </c>
      <c r="C87" s="56" t="s">
        <v>350</v>
      </c>
      <c r="D87" s="37" t="s">
        <v>217</v>
      </c>
      <c r="E87" s="6">
        <v>3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37</v>
      </c>
      <c r="B88" s="56" t="s">
        <v>368</v>
      </c>
      <c r="C88" s="56" t="s">
        <v>352</v>
      </c>
      <c r="D88" s="40" t="s">
        <v>85</v>
      </c>
      <c r="E88" s="6">
        <v>0</v>
      </c>
      <c r="F88" s="6">
        <v>0</v>
      </c>
      <c r="G88" s="6"/>
      <c r="H88" s="4">
        <v>0</v>
      </c>
      <c r="I88" s="4">
        <v>0</v>
      </c>
      <c r="J88" s="4"/>
      <c r="K88" s="6">
        <v>0</v>
      </c>
      <c r="L88" s="6">
        <v>0</v>
      </c>
      <c r="M88" s="6"/>
      <c r="N88" s="4">
        <v>2</v>
      </c>
      <c r="O88" s="4">
        <v>0</v>
      </c>
      <c r="P88" s="4"/>
      <c r="Q88" s="6">
        <v>0</v>
      </c>
      <c r="R88" s="6">
        <v>0</v>
      </c>
      <c r="S88" s="6"/>
      <c r="T88" s="2">
        <v>2</v>
      </c>
      <c r="U88" s="2">
        <v>0</v>
      </c>
      <c r="V88" s="2">
        <v>0</v>
      </c>
    </row>
    <row r="89" spans="1:22" x14ac:dyDescent="0.25">
      <c r="A89" s="56">
        <v>43</v>
      </c>
      <c r="B89" s="56" t="s">
        <v>375</v>
      </c>
      <c r="C89" s="56" t="s">
        <v>353</v>
      </c>
      <c r="D89" s="40" t="s">
        <v>179</v>
      </c>
      <c r="E89" s="6">
        <v>0</v>
      </c>
      <c r="F89" s="6">
        <v>0</v>
      </c>
      <c r="G89" s="6"/>
      <c r="H89" s="4">
        <v>2</v>
      </c>
      <c r="I89" s="4">
        <v>0</v>
      </c>
      <c r="J89" s="4"/>
      <c r="K89" s="6">
        <v>0</v>
      </c>
      <c r="L89" s="6">
        <v>0</v>
      </c>
      <c r="M89" s="6"/>
      <c r="N89" s="4">
        <v>0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42</v>
      </c>
      <c r="B90" s="56" t="s">
        <v>355</v>
      </c>
      <c r="C90" s="56" t="s">
        <v>353</v>
      </c>
      <c r="D90" s="37" t="s">
        <v>37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87</v>
      </c>
      <c r="B91" s="56" t="s">
        <v>355</v>
      </c>
      <c r="C91" s="56" t="s">
        <v>353</v>
      </c>
      <c r="D91" s="37" t="s">
        <v>226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1</v>
      </c>
      <c r="L91" s="6">
        <v>0</v>
      </c>
      <c r="M91" s="6"/>
      <c r="N91" s="56">
        <v>1</v>
      </c>
      <c r="O91" s="56">
        <v>1</v>
      </c>
      <c r="P91" s="56"/>
      <c r="Q91" s="6">
        <v>0</v>
      </c>
      <c r="R91" s="6">
        <v>0</v>
      </c>
      <c r="S91" s="6"/>
      <c r="T91" s="2">
        <v>2</v>
      </c>
      <c r="U91" s="2">
        <v>1</v>
      </c>
      <c r="V91" s="2">
        <v>0</v>
      </c>
    </row>
    <row r="92" spans="1:22" x14ac:dyDescent="0.25">
      <c r="A92" s="56">
        <v>65</v>
      </c>
      <c r="B92" s="56" t="s">
        <v>355</v>
      </c>
      <c r="C92" s="56" t="s">
        <v>353</v>
      </c>
      <c r="D92" s="37" t="s">
        <v>121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1</v>
      </c>
      <c r="O92" s="56">
        <v>0</v>
      </c>
      <c r="P92" s="56"/>
      <c r="Q92" s="6">
        <v>0</v>
      </c>
      <c r="R92" s="6">
        <v>0</v>
      </c>
      <c r="S92" s="6"/>
      <c r="T92" s="2">
        <v>2</v>
      </c>
      <c r="U92" s="2">
        <v>0</v>
      </c>
      <c r="V92" s="2">
        <v>0</v>
      </c>
    </row>
    <row r="93" spans="1:22" x14ac:dyDescent="0.25">
      <c r="A93" s="56">
        <v>68</v>
      </c>
      <c r="B93" s="56" t="s">
        <v>355</v>
      </c>
      <c r="C93" s="56" t="s">
        <v>354</v>
      </c>
      <c r="D93" s="37" t="s">
        <v>109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2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37</v>
      </c>
      <c r="B94" s="56" t="s">
        <v>355</v>
      </c>
      <c r="C94" s="56" t="s">
        <v>354</v>
      </c>
      <c r="D94" s="37" t="s">
        <v>307</v>
      </c>
      <c r="E94" s="6">
        <v>1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66</v>
      </c>
      <c r="B95" s="56" t="s">
        <v>355</v>
      </c>
      <c r="C95" s="56" t="s">
        <v>353</v>
      </c>
      <c r="D95" s="37" t="s">
        <v>208</v>
      </c>
      <c r="E95" s="6">
        <v>0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36</v>
      </c>
      <c r="B96" s="56" t="s">
        <v>387</v>
      </c>
      <c r="C96" s="56" t="s">
        <v>353</v>
      </c>
      <c r="D96" s="40" t="s">
        <v>94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42</v>
      </c>
      <c r="B97" s="56" t="s">
        <v>355</v>
      </c>
      <c r="C97" s="56" t="s">
        <v>353</v>
      </c>
      <c r="D97" s="37" t="s">
        <v>207</v>
      </c>
      <c r="E97" s="6">
        <v>0</v>
      </c>
      <c r="F97" s="6">
        <v>0</v>
      </c>
      <c r="G97" s="6"/>
      <c r="H97" s="56">
        <v>1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47</v>
      </c>
      <c r="B98" s="56" t="s">
        <v>388</v>
      </c>
      <c r="C98" s="56" t="s">
        <v>353</v>
      </c>
      <c r="D98" s="37" t="s">
        <v>96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33</v>
      </c>
      <c r="B99" s="56" t="s">
        <v>355</v>
      </c>
      <c r="C99" s="56" t="s">
        <v>350</v>
      </c>
      <c r="D99" s="37" t="s">
        <v>124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73</v>
      </c>
      <c r="B100" s="56" t="s">
        <v>355</v>
      </c>
      <c r="C100" s="56" t="s">
        <v>352</v>
      </c>
      <c r="D100" s="37" t="s">
        <v>42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0</v>
      </c>
      <c r="O100" s="56">
        <v>0</v>
      </c>
      <c r="P100" s="56"/>
      <c r="Q100" s="6">
        <v>1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76</v>
      </c>
      <c r="B101" s="56" t="s">
        <v>355</v>
      </c>
      <c r="C101" s="56" t="s">
        <v>352</v>
      </c>
      <c r="D101" s="37" t="s">
        <v>304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47</v>
      </c>
      <c r="B102" s="56" t="s">
        <v>389</v>
      </c>
      <c r="C102" s="56" t="s">
        <v>352</v>
      </c>
      <c r="D102" s="37" t="s">
        <v>299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31</v>
      </c>
      <c r="B103" s="56" t="s">
        <v>390</v>
      </c>
      <c r="C103" s="56" t="s">
        <v>350</v>
      </c>
      <c r="D103" s="37" t="s">
        <v>270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51</v>
      </c>
      <c r="B104" s="56" t="s">
        <v>355</v>
      </c>
      <c r="C104" s="56" t="s">
        <v>352</v>
      </c>
      <c r="D104" s="37" t="s">
        <v>300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53</v>
      </c>
      <c r="B105" s="56" t="s">
        <v>349</v>
      </c>
      <c r="C105" s="56" t="s">
        <v>352</v>
      </c>
      <c r="D105" s="37" t="s">
        <v>177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32</v>
      </c>
      <c r="B106" s="56" t="s">
        <v>357</v>
      </c>
      <c r="C106" s="56" t="s">
        <v>350</v>
      </c>
      <c r="D106" s="37" t="s">
        <v>295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0</v>
      </c>
      <c r="O106" s="56">
        <v>0</v>
      </c>
      <c r="P106" s="56"/>
      <c r="Q106" s="6">
        <v>0</v>
      </c>
      <c r="R106" s="6">
        <v>0</v>
      </c>
      <c r="S106" s="6"/>
      <c r="T106" s="2">
        <v>0</v>
      </c>
      <c r="U106" s="2">
        <v>0</v>
      </c>
      <c r="V106" s="2">
        <v>8</v>
      </c>
    </row>
    <row r="107" spans="1:22" x14ac:dyDescent="0.25">
      <c r="A107" s="56">
        <v>33</v>
      </c>
      <c r="B107" s="56" t="s">
        <v>374</v>
      </c>
      <c r="C107" s="56" t="s">
        <v>350</v>
      </c>
      <c r="D107" s="37" t="s">
        <v>221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7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12" sqref="A12:XFD12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2">
        <v>1</v>
      </c>
      <c r="G1" s="213"/>
      <c r="H1" s="214"/>
      <c r="I1" s="212">
        <v>2</v>
      </c>
      <c r="J1" s="213"/>
      <c r="K1" s="214"/>
      <c r="L1" s="212">
        <v>3</v>
      </c>
      <c r="M1" s="213"/>
      <c r="N1" s="214"/>
      <c r="O1" s="212">
        <v>4</v>
      </c>
      <c r="P1" s="213"/>
      <c r="Q1" s="214"/>
      <c r="R1" s="212">
        <v>5</v>
      </c>
      <c r="S1" s="213"/>
      <c r="T1" s="214"/>
      <c r="U1" s="212">
        <v>6</v>
      </c>
      <c r="V1" s="213"/>
      <c r="W1" s="214"/>
      <c r="X1" s="212">
        <v>7</v>
      </c>
      <c r="Y1" s="213"/>
      <c r="Z1" s="214"/>
      <c r="AA1" s="212">
        <v>8</v>
      </c>
      <c r="AB1" s="213"/>
      <c r="AC1" s="214"/>
      <c r="AD1" s="212">
        <v>9</v>
      </c>
      <c r="AE1" s="213"/>
      <c r="AF1" s="214"/>
      <c r="AG1" s="212">
        <v>10</v>
      </c>
      <c r="AH1" s="213"/>
      <c r="AI1" s="214"/>
      <c r="AJ1" s="212">
        <v>11</v>
      </c>
      <c r="AK1" s="213"/>
      <c r="AL1" s="214"/>
      <c r="AM1" s="212">
        <v>12</v>
      </c>
      <c r="AN1" s="213"/>
      <c r="AO1" s="214"/>
      <c r="AP1" s="212">
        <v>13</v>
      </c>
      <c r="AQ1" s="213"/>
      <c r="AR1" s="214"/>
      <c r="AS1" s="212">
        <v>14</v>
      </c>
      <c r="AT1" s="213"/>
      <c r="AU1" s="214"/>
      <c r="AV1" s="212">
        <v>15</v>
      </c>
      <c r="AW1" s="213"/>
      <c r="AX1" s="214"/>
      <c r="AY1" s="212">
        <v>16</v>
      </c>
      <c r="AZ1" s="213"/>
      <c r="BA1" s="214"/>
      <c r="BB1" s="212">
        <v>17</v>
      </c>
      <c r="BC1" s="213"/>
      <c r="BD1" s="214"/>
      <c r="BE1" s="212">
        <v>18</v>
      </c>
      <c r="BF1" s="213"/>
      <c r="BG1" s="214"/>
      <c r="BH1" s="212">
        <v>19</v>
      </c>
      <c r="BI1" s="213"/>
      <c r="BJ1" s="214"/>
      <c r="BK1" s="212">
        <v>20</v>
      </c>
      <c r="BL1" s="213"/>
      <c r="BM1" s="214"/>
      <c r="BN1" s="212">
        <v>21</v>
      </c>
      <c r="BO1" s="213"/>
      <c r="BP1" s="214"/>
      <c r="BQ1" s="212">
        <v>22</v>
      </c>
      <c r="BR1" s="213"/>
      <c r="BS1" s="214"/>
      <c r="BT1" s="212">
        <v>23</v>
      </c>
      <c r="BU1" s="213"/>
      <c r="BV1" s="214"/>
      <c r="BW1" s="212">
        <v>24</v>
      </c>
      <c r="BX1" s="213"/>
      <c r="BY1" s="214"/>
      <c r="BZ1" s="212">
        <v>25</v>
      </c>
      <c r="CA1" s="213"/>
      <c r="CB1" s="214"/>
      <c r="CC1" s="212">
        <v>26</v>
      </c>
      <c r="CD1" s="213"/>
      <c r="CE1" s="214"/>
      <c r="CF1" s="212">
        <v>27</v>
      </c>
      <c r="CG1" s="213"/>
      <c r="CH1" s="214"/>
      <c r="CI1" s="212">
        <v>28</v>
      </c>
      <c r="CJ1" s="213"/>
      <c r="CK1" s="214"/>
      <c r="CL1" s="212">
        <v>29</v>
      </c>
      <c r="CM1" s="213"/>
      <c r="CN1" s="214"/>
      <c r="CO1" s="212">
        <v>30</v>
      </c>
      <c r="CP1" s="213"/>
      <c r="CQ1" s="214"/>
      <c r="CR1" s="212">
        <v>31</v>
      </c>
      <c r="CS1" s="213"/>
      <c r="CT1" s="214"/>
      <c r="CU1" s="212">
        <v>32</v>
      </c>
      <c r="CV1" s="213"/>
      <c r="CW1" s="214"/>
      <c r="CX1" s="212">
        <v>33</v>
      </c>
      <c r="CY1" s="213"/>
      <c r="CZ1" s="214"/>
      <c r="DA1" s="212">
        <v>34</v>
      </c>
      <c r="DB1" s="213"/>
      <c r="DC1" s="214"/>
      <c r="DD1" s="212">
        <v>35</v>
      </c>
      <c r="DE1" s="213"/>
      <c r="DF1" s="214"/>
      <c r="DG1" s="212">
        <v>36</v>
      </c>
      <c r="DH1" s="213"/>
      <c r="DI1" s="214"/>
      <c r="DJ1" s="212">
        <v>37</v>
      </c>
      <c r="DK1" s="213"/>
      <c r="DL1" s="214"/>
      <c r="DM1" s="212">
        <v>38</v>
      </c>
      <c r="DN1" s="213"/>
      <c r="DO1" s="214"/>
    </row>
    <row r="2" spans="1:119" ht="15.75" thickBot="1" x14ac:dyDescent="0.3">
      <c r="A2" s="3"/>
      <c r="B2" s="17"/>
      <c r="C2" s="218" t="s">
        <v>396</v>
      </c>
      <c r="D2" s="218" t="s">
        <v>397</v>
      </c>
      <c r="E2" s="218" t="s">
        <v>398</v>
      </c>
      <c r="F2" s="215" t="s">
        <v>346</v>
      </c>
      <c r="G2" s="216"/>
      <c r="H2" s="217"/>
      <c r="I2" s="220" t="s">
        <v>331</v>
      </c>
      <c r="J2" s="221"/>
      <c r="K2" s="222"/>
      <c r="L2" s="215" t="s">
        <v>330</v>
      </c>
      <c r="M2" s="216"/>
      <c r="N2" s="217"/>
      <c r="O2" s="215" t="s">
        <v>328</v>
      </c>
      <c r="P2" s="216"/>
      <c r="Q2" s="217"/>
      <c r="R2" s="215" t="s">
        <v>335</v>
      </c>
      <c r="S2" s="216"/>
      <c r="T2" s="217"/>
      <c r="U2" s="215" t="s">
        <v>320</v>
      </c>
      <c r="V2" s="216"/>
      <c r="W2" s="217"/>
      <c r="X2" s="215" t="s">
        <v>337</v>
      </c>
      <c r="Y2" s="216"/>
      <c r="Z2" s="217"/>
      <c r="AA2" s="215" t="s">
        <v>334</v>
      </c>
      <c r="AB2" s="216"/>
      <c r="AC2" s="217"/>
      <c r="AD2" s="215" t="s">
        <v>321</v>
      </c>
      <c r="AE2" s="216"/>
      <c r="AF2" s="217"/>
      <c r="AG2" s="215" t="s">
        <v>347</v>
      </c>
      <c r="AH2" s="216"/>
      <c r="AI2" s="217"/>
      <c r="AJ2" s="215" t="s">
        <v>324</v>
      </c>
      <c r="AK2" s="216"/>
      <c r="AL2" s="217"/>
      <c r="AM2" s="215" t="s">
        <v>323</v>
      </c>
      <c r="AN2" s="216"/>
      <c r="AO2" s="217"/>
      <c r="AP2" s="215" t="s">
        <v>332</v>
      </c>
      <c r="AQ2" s="216"/>
      <c r="AR2" s="217"/>
      <c r="AS2" s="215" t="s">
        <v>329</v>
      </c>
      <c r="AT2" s="216"/>
      <c r="AU2" s="217"/>
      <c r="AV2" s="215" t="s">
        <v>336</v>
      </c>
      <c r="AW2" s="216"/>
      <c r="AX2" s="217"/>
      <c r="AY2" s="215" t="s">
        <v>305</v>
      </c>
      <c r="AZ2" s="216"/>
      <c r="BA2" s="217"/>
      <c r="BB2" s="215" t="s">
        <v>326</v>
      </c>
      <c r="BC2" s="216"/>
      <c r="BD2" s="217"/>
      <c r="BE2" s="215" t="s">
        <v>325</v>
      </c>
      <c r="BF2" s="216"/>
      <c r="BG2" s="217"/>
      <c r="BH2" s="215" t="s">
        <v>348</v>
      </c>
      <c r="BI2" s="216"/>
      <c r="BJ2" s="217"/>
      <c r="BK2" s="215" t="s">
        <v>332</v>
      </c>
      <c r="BL2" s="216"/>
      <c r="BM2" s="217"/>
      <c r="BN2" s="215" t="s">
        <v>347</v>
      </c>
      <c r="BO2" s="216"/>
      <c r="BP2" s="217"/>
      <c r="BQ2" s="215" t="s">
        <v>324</v>
      </c>
      <c r="BR2" s="216"/>
      <c r="BS2" s="217"/>
      <c r="BT2" s="215" t="s">
        <v>323</v>
      </c>
      <c r="BU2" s="216"/>
      <c r="BV2" s="217"/>
      <c r="BW2" s="215" t="s">
        <v>321</v>
      </c>
      <c r="BX2" s="216"/>
      <c r="BY2" s="217"/>
      <c r="BZ2" s="215" t="s">
        <v>348</v>
      </c>
      <c r="CA2" s="216"/>
      <c r="CB2" s="217"/>
      <c r="CC2" s="215" t="s">
        <v>325</v>
      </c>
      <c r="CD2" s="216"/>
      <c r="CE2" s="217"/>
      <c r="CF2" s="215" t="s">
        <v>305</v>
      </c>
      <c r="CG2" s="216"/>
      <c r="CH2" s="217"/>
      <c r="CI2" s="215" t="s">
        <v>326</v>
      </c>
      <c r="CJ2" s="216"/>
      <c r="CK2" s="217"/>
      <c r="CL2" s="215" t="s">
        <v>330</v>
      </c>
      <c r="CM2" s="216"/>
      <c r="CN2" s="217"/>
      <c r="CO2" s="215" t="s">
        <v>328</v>
      </c>
      <c r="CP2" s="216"/>
      <c r="CQ2" s="217"/>
      <c r="CR2" s="215" t="s">
        <v>346</v>
      </c>
      <c r="CS2" s="216"/>
      <c r="CT2" s="217"/>
      <c r="CU2" s="215" t="s">
        <v>331</v>
      </c>
      <c r="CV2" s="216"/>
      <c r="CW2" s="217"/>
      <c r="CX2" s="215" t="s">
        <v>336</v>
      </c>
      <c r="CY2" s="216"/>
      <c r="CZ2" s="217"/>
      <c r="DA2" s="215" t="s">
        <v>329</v>
      </c>
      <c r="DB2" s="216"/>
      <c r="DC2" s="217"/>
      <c r="DD2" s="215" t="s">
        <v>320</v>
      </c>
      <c r="DE2" s="216"/>
      <c r="DF2" s="217"/>
      <c r="DG2" s="215" t="s">
        <v>337</v>
      </c>
      <c r="DH2" s="216"/>
      <c r="DI2" s="217"/>
      <c r="DJ2" s="215" t="s">
        <v>334</v>
      </c>
      <c r="DK2" s="216"/>
      <c r="DL2" s="217"/>
      <c r="DM2" s="215" t="s">
        <v>335</v>
      </c>
      <c r="DN2" s="216"/>
      <c r="DO2" s="217"/>
    </row>
    <row r="3" spans="1:119" x14ac:dyDescent="0.25">
      <c r="A3" s="3" t="s">
        <v>48</v>
      </c>
      <c r="B3" s="17" t="s">
        <v>1</v>
      </c>
      <c r="C3" s="223"/>
      <c r="D3" s="223"/>
      <c r="E3" s="219"/>
      <c r="F3" s="160" t="s">
        <v>393</v>
      </c>
      <c r="G3" s="161" t="s">
        <v>394</v>
      </c>
      <c r="H3" s="162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162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2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6" si="1">SUM(F5,I5,L5,O5,R5,U5,X5,AA5,AD5,AG5,AJ5,AM5,AP5,AS5,AV5,AY5,BB5,BE5,BH5,BK5,BN5,BQ5,BT5,BW5,BZ5,CC5,CF5,CI5,CL5,CO5,CR5,CU5,CX5,DA5,DD5,DG5,DJ5,DM5)</f>
        <v>0</v>
      </c>
      <c r="D5" s="58">
        <f t="shared" ref="D5:D16" si="2">SUM(G5,J5,M5,P5,S5,V5,Y5,AB5,AE5,AH5,AK5,AN5,AQ5,AT5,AW5,AZ5,BC5,BF5,BI5,BL5,BO5,BR5,BU5,BX5,CA5,CD5,CG5,CJ5,CM5,CP5,CS5,CV5,CY5,DB5,DE5,DH5,DK5,DN5)</f>
        <v>0</v>
      </c>
      <c r="E5" s="58">
        <f t="shared" ref="E5:E16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2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2</v>
      </c>
      <c r="D10" s="58">
        <f t="shared" si="2"/>
        <v>2</v>
      </c>
      <c r="E10" s="58">
        <f t="shared" si="3"/>
        <v>0</v>
      </c>
      <c r="F10" s="52">
        <v>1</v>
      </c>
      <c r="G10" s="36">
        <v>1</v>
      </c>
      <c r="H10" s="53"/>
      <c r="I10" s="52">
        <v>1</v>
      </c>
      <c r="J10" s="36">
        <v>1</v>
      </c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2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2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11</v>
      </c>
      <c r="B13" s="35" t="s">
        <v>188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12</v>
      </c>
      <c r="B14" s="35" t="s">
        <v>276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13</v>
      </c>
      <c r="B15" s="149" t="s">
        <v>312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14</v>
      </c>
      <c r="B16" s="149" t="s">
        <v>317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15</v>
      </c>
      <c r="B17" s="149" t="s">
        <v>437</v>
      </c>
      <c r="C17" s="58">
        <f t="shared" ref="C17:C38" si="4">SUM(F17,I17,L17,O17,R17,U17,X17,AA17,AD17,AG17,AJ17,AM17,AP17,AS17,AV17,AY17,BB17,BE17,BH17,BK17,BN17,BQ17,BT17,BW17,BZ17,CC17,CF17,CI17,CL17,CO17,CR17,CU17,CX17,DA17,DD17,DG17,DJ17,DM17)</f>
        <v>1</v>
      </c>
      <c r="D17" s="58">
        <f t="shared" ref="D17:D38" si="5">SUM(G17,J17,M17,P17,S17,V17,Y17,AB17,AE17,AH17,AK17,AN17,AQ17,AT17,AW17,AZ17,BC17,BF17,BI17,BL17,BO17,BR17,BU17,BX17,CA17,CD17,CG17,CJ17,CM17,CP17,CS17,CV17,CY17,DB17,DE17,DH17,DK17,DN17)</f>
        <v>0</v>
      </c>
      <c r="E17" s="58">
        <f t="shared" ref="E17:E38" si="6">SUM(H17,K17,N17,Q17,T17,W17,Z17,AC17,AF17,AI17,AL17,AO17,AR17,AU17,AX17,BA17,BD17,BG17,BJ17,BM17,BP17,BS17,BV17,BY17,CB17,CE17,CH17,CK17,CN17,CQ17,CT17,CW17,CZ17,DC17,DF17,DI17,DL17,DO17)</f>
        <v>0</v>
      </c>
      <c r="F17" s="52"/>
      <c r="G17" s="36"/>
      <c r="H17" s="53"/>
      <c r="I17" s="52">
        <v>1</v>
      </c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17</v>
      </c>
      <c r="B18" s="148" t="s">
        <v>343</v>
      </c>
      <c r="C18" s="58">
        <f t="shared" si="4"/>
        <v>2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>
        <v>1</v>
      </c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20</v>
      </c>
      <c r="B19" s="148" t="s">
        <v>315</v>
      </c>
      <c r="C19" s="58">
        <f t="shared" si="4"/>
        <v>1</v>
      </c>
      <c r="D19" s="58">
        <f t="shared" si="5"/>
        <v>0</v>
      </c>
      <c r="E19" s="58">
        <f t="shared" si="6"/>
        <v>0</v>
      </c>
      <c r="F19" s="52">
        <v>1</v>
      </c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8">
        <v>22</v>
      </c>
      <c r="B20" s="40" t="s">
        <v>263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7">
        <v>23</v>
      </c>
      <c r="B21" s="37" t="s">
        <v>293</v>
      </c>
      <c r="C21" s="58">
        <f t="shared" si="4"/>
        <v>2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>
        <v>1</v>
      </c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29</v>
      </c>
      <c r="B22" s="148" t="s">
        <v>275</v>
      </c>
      <c r="C22" s="58">
        <f t="shared" si="4"/>
        <v>2</v>
      </c>
      <c r="D22" s="58">
        <f t="shared" si="5"/>
        <v>1</v>
      </c>
      <c r="E22" s="58">
        <f t="shared" si="6"/>
        <v>0</v>
      </c>
      <c r="F22" s="52">
        <v>1</v>
      </c>
      <c r="G22" s="36">
        <v>1</v>
      </c>
      <c r="H22" s="53"/>
      <c r="I22" s="52">
        <v>1</v>
      </c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30</v>
      </c>
      <c r="B23" s="148" t="s">
        <v>344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33</v>
      </c>
      <c r="B24" s="148" t="s">
        <v>291</v>
      </c>
      <c r="C24" s="58">
        <f t="shared" si="4"/>
        <v>2</v>
      </c>
      <c r="D24" s="58">
        <f t="shared" si="5"/>
        <v>0</v>
      </c>
      <c r="E24" s="58">
        <f t="shared" si="6"/>
        <v>2</v>
      </c>
      <c r="F24" s="52">
        <v>1</v>
      </c>
      <c r="G24" s="36"/>
      <c r="H24" s="53">
        <v>1</v>
      </c>
      <c r="I24" s="52">
        <v>1</v>
      </c>
      <c r="J24" s="36"/>
      <c r="K24" s="53">
        <v>1</v>
      </c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35</v>
      </c>
      <c r="B25" s="148" t="s">
        <v>303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36</v>
      </c>
      <c r="B26" s="148" t="s">
        <v>313</v>
      </c>
      <c r="C26" s="58">
        <f t="shared" si="4"/>
        <v>2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39</v>
      </c>
      <c r="B27" s="148" t="s">
        <v>345</v>
      </c>
      <c r="C27" s="58">
        <f t="shared" si="4"/>
        <v>1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>
        <v>1</v>
      </c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40</v>
      </c>
      <c r="B28" s="149" t="s">
        <v>341</v>
      </c>
      <c r="C28" s="58">
        <f>SUM(F28,I28,L28,O28,R28,U28,X28,AA28,AD28,AG28,AJ28,AM28,AP28,AS28,AV28,AY28,BB28,BE28,BH28,BK28,BN28,BQ28,BT28,BW28,BZ28,CC28,CF28,CI28,CL28,CO28,CR28,CU28,CX28,DA28,DD28,DG28,DJ28,DM28)</f>
        <v>0</v>
      </c>
      <c r="D28" s="58">
        <f>SUM(G28,J28,M28,P28,S28,V28,Y28,AB28,AE28,AH28,AK28,AN28,AQ28,AT28,AW28,AZ28,BC28,BF28,BI28,BL28,BO28,BR28,BU28,BX28,CA28,CD28,CG28,CJ28,CM28,CP28,CS28,CV28,CY28,DB28,DE28,DH28,DK28,DN28)</f>
        <v>0</v>
      </c>
      <c r="E28" s="58">
        <f>SUM(H28,K28,N28,Q28,T28,W28,Z28,AC28,AF28,AI28,AL28,AO28,AR28,AU28,AX28,BA28,BD28,BG28,BJ28,BM28,BP28,BS28,BV28,BY28,CB28,CE28,CH28,CK28,CN28,CQ28,CT28,CW28,CZ28,DC28,DF28,DI28,DL28,DO28)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7">
        <v>41</v>
      </c>
      <c r="B29" s="35" t="s">
        <v>277</v>
      </c>
      <c r="C29" s="58">
        <f t="shared" si="4"/>
        <v>2</v>
      </c>
      <c r="D29" s="58">
        <f t="shared" si="5"/>
        <v>0</v>
      </c>
      <c r="E29" s="58">
        <f t="shared" si="6"/>
        <v>0</v>
      </c>
      <c r="F29" s="52">
        <v>1</v>
      </c>
      <c r="G29" s="36"/>
      <c r="H29" s="53"/>
      <c r="I29" s="52">
        <v>1</v>
      </c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56">
        <v>43</v>
      </c>
      <c r="B30" s="148" t="s">
        <v>327</v>
      </c>
      <c r="C30" s="58">
        <f t="shared" ref="C30:E31" si="7">SUM(F30,I30,L30,O30,R30,U30,X30,AA30,AD30,AG30,AJ30,AM30,AP30,AS30,AV30,AY30,BB30,BE30,BH30,BK30,BN30,BQ30,BT30,BW30,BZ30,CC30,CF30,CI30,CL30,CO30,CR30,CU30,CX30,DA30,DD30,DG30,DJ30,DM30)</f>
        <v>0</v>
      </c>
      <c r="D30" s="58">
        <f t="shared" si="7"/>
        <v>0</v>
      </c>
      <c r="E30" s="58">
        <f t="shared" si="7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44</v>
      </c>
      <c r="B31" s="148" t="s">
        <v>338</v>
      </c>
      <c r="C31" s="58">
        <f t="shared" si="7"/>
        <v>0</v>
      </c>
      <c r="D31" s="58">
        <f t="shared" si="7"/>
        <v>0</v>
      </c>
      <c r="E31" s="58">
        <f t="shared" si="7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4"/>
        <v>2</v>
      </c>
      <c r="D33" s="58">
        <f t="shared" si="5"/>
        <v>0</v>
      </c>
      <c r="E33" s="58">
        <f t="shared" si="6"/>
        <v>0</v>
      </c>
      <c r="F33" s="52">
        <v>1</v>
      </c>
      <c r="G33" s="36"/>
      <c r="H33" s="53"/>
      <c r="I33" s="52">
        <v>1</v>
      </c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ht="15.75" thickBot="1" x14ac:dyDescent="0.3">
      <c r="A35" s="28">
        <v>55</v>
      </c>
      <c r="B35" s="37" t="s">
        <v>301</v>
      </c>
      <c r="C35" s="58">
        <f>SUM(F35,I35,L35,O35,R35,U35,X35,AA35,AD35,AG35,AJ35,AM35,AP35,AS35,AV35,AY35,BB35,BE35,BH35,BK35,BN35,BQ35,BT35,BW35,BZ35,CC35,CF35,CI35,CL35,CO35,CR35,CU35,CX35,DA35,DD35,DG35,DJ35,DM35)</f>
        <v>0</v>
      </c>
      <c r="D35" s="58">
        <f>SUM(G35,J35,M35,P35,S35,V35,Y35,AB35,AE35,AH35,AK35,AN35,AQ35,AT35,AW35,AZ35,BC35,BF35,BI35,BL35,BO35,BR35,BU35,BX35,CA35,CD35,CG35,CJ35,CM35,CP35,CS35,CV35,CY35,DB35,DE35,DH35,DK35,DN35)</f>
        <v>0</v>
      </c>
      <c r="E35" s="58">
        <f>SUM(H35,K35,N35,Q35,T35,W35,Z35,AC35,AF35,AI35,AL35,AO35,AR35,AU35,AX35,BA35,BD35,BG35,BJ35,BM35,BP35,BS35,BV35,BY35,CB35,CE35,CH35,CK35,CN35,CQ35,CT35,CW35,CZ35,DC35,DF35,DI35,DL35,DO35)</f>
        <v>0</v>
      </c>
      <c r="F35" s="146"/>
      <c r="G35" s="163"/>
      <c r="H35" s="147"/>
      <c r="I35" s="146"/>
      <c r="J35" s="163"/>
      <c r="K35" s="147"/>
      <c r="L35" s="146"/>
      <c r="M35" s="163"/>
      <c r="N35" s="147"/>
      <c r="O35" s="146"/>
      <c r="P35" s="163"/>
      <c r="Q35" s="147"/>
      <c r="R35" s="146"/>
      <c r="S35" s="163"/>
      <c r="T35" s="147"/>
      <c r="U35" s="146"/>
      <c r="V35" s="163"/>
      <c r="W35" s="147"/>
      <c r="X35" s="146"/>
      <c r="Y35" s="163"/>
      <c r="Z35" s="147"/>
      <c r="AA35" s="146"/>
      <c r="AB35" s="163"/>
      <c r="AC35" s="147"/>
      <c r="AD35" s="146"/>
      <c r="AE35" s="163"/>
      <c r="AF35" s="147"/>
      <c r="AG35" s="146"/>
      <c r="AH35" s="163"/>
      <c r="AI35" s="147"/>
      <c r="AJ35" s="146"/>
      <c r="AK35" s="163"/>
      <c r="AL35" s="147"/>
      <c r="AM35" s="146"/>
      <c r="AN35" s="163"/>
      <c r="AO35" s="147"/>
      <c r="AP35" s="146"/>
      <c r="AQ35" s="163"/>
      <c r="AR35" s="147"/>
      <c r="AS35" s="146"/>
      <c r="AT35" s="163"/>
      <c r="AU35" s="147"/>
      <c r="AV35" s="146"/>
      <c r="AW35" s="163"/>
      <c r="AX35" s="147"/>
      <c r="AY35" s="146"/>
      <c r="AZ35" s="163"/>
      <c r="BA35" s="147"/>
      <c r="BB35" s="146"/>
      <c r="BC35" s="163"/>
      <c r="BD35" s="147"/>
      <c r="BE35" s="146"/>
      <c r="BF35" s="163"/>
      <c r="BG35" s="147"/>
      <c r="BH35" s="146"/>
      <c r="BI35" s="163"/>
      <c r="BJ35" s="147"/>
      <c r="BK35" s="146"/>
      <c r="BL35" s="163"/>
      <c r="BM35" s="147"/>
      <c r="BN35" s="146"/>
      <c r="BO35" s="163"/>
      <c r="BP35" s="147"/>
      <c r="BQ35" s="146"/>
      <c r="BR35" s="163"/>
      <c r="BS35" s="147"/>
      <c r="BT35" s="146"/>
      <c r="BU35" s="163"/>
      <c r="BV35" s="147"/>
      <c r="BW35" s="146"/>
      <c r="BX35" s="163"/>
      <c r="BY35" s="147"/>
      <c r="BZ35" s="146"/>
      <c r="CA35" s="163"/>
      <c r="CB35" s="147"/>
      <c r="CC35" s="146"/>
      <c r="CD35" s="163"/>
      <c r="CE35" s="147"/>
      <c r="CF35" s="146"/>
      <c r="CG35" s="163"/>
      <c r="CH35" s="147"/>
      <c r="CI35" s="146"/>
      <c r="CJ35" s="163"/>
      <c r="CK35" s="147"/>
      <c r="CL35" s="146"/>
      <c r="CM35" s="163"/>
      <c r="CN35" s="147"/>
      <c r="CO35" s="146"/>
      <c r="CP35" s="163"/>
      <c r="CQ35" s="147"/>
      <c r="CR35" s="146"/>
      <c r="CS35" s="163"/>
      <c r="CT35" s="147"/>
      <c r="CU35" s="146"/>
      <c r="CV35" s="163"/>
      <c r="CW35" s="147"/>
      <c r="CX35" s="146"/>
      <c r="CY35" s="163"/>
      <c r="CZ35" s="147"/>
      <c r="DA35" s="146"/>
      <c r="DB35" s="163"/>
      <c r="DC35" s="147"/>
      <c r="DD35" s="146"/>
      <c r="DE35" s="163"/>
      <c r="DF35" s="147"/>
      <c r="DG35" s="146"/>
      <c r="DH35" s="163"/>
      <c r="DI35" s="147"/>
      <c r="DJ35" s="146"/>
      <c r="DK35" s="163"/>
      <c r="DL35" s="147"/>
      <c r="DM35" s="146"/>
      <c r="DN35" s="163"/>
      <c r="DO35" s="147"/>
    </row>
    <row r="36" spans="1:119" s="54" customFormat="1" x14ac:dyDescent="0.25">
      <c r="A36" s="27">
        <v>56</v>
      </c>
      <c r="B36" s="149" t="s">
        <v>322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89</v>
      </c>
      <c r="B38" s="148" t="s">
        <v>333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/>
      <c r="B39"/>
      <c r="C39"/>
      <c r="D39"/>
      <c r="E39"/>
      <c r="F39" s="73">
        <f t="shared" ref="F39:AK39" si="8">SUM(F4:F38)</f>
        <v>16</v>
      </c>
      <c r="G39" s="73">
        <f t="shared" si="8"/>
        <v>3</v>
      </c>
      <c r="H39" s="73">
        <f t="shared" si="8"/>
        <v>2</v>
      </c>
      <c r="I39" s="73">
        <f t="shared" si="8"/>
        <v>16</v>
      </c>
      <c r="J39" s="73">
        <f t="shared" si="8"/>
        <v>1</v>
      </c>
      <c r="K39" s="73">
        <f t="shared" si="8"/>
        <v>1</v>
      </c>
      <c r="L39" s="73">
        <f t="shared" si="8"/>
        <v>0</v>
      </c>
      <c r="M39" s="73">
        <f t="shared" si="8"/>
        <v>0</v>
      </c>
      <c r="N39" s="73">
        <f t="shared" si="8"/>
        <v>0</v>
      </c>
      <c r="O39" s="73">
        <f t="shared" si="8"/>
        <v>0</v>
      </c>
      <c r="P39" s="73">
        <f t="shared" si="8"/>
        <v>0</v>
      </c>
      <c r="Q39" s="73">
        <f t="shared" si="8"/>
        <v>0</v>
      </c>
      <c r="R39" s="73">
        <f t="shared" si="8"/>
        <v>0</v>
      </c>
      <c r="S39" s="73">
        <f t="shared" si="8"/>
        <v>0</v>
      </c>
      <c r="T39" s="73">
        <f t="shared" si="8"/>
        <v>0</v>
      </c>
      <c r="U39" s="73">
        <f t="shared" si="8"/>
        <v>0</v>
      </c>
      <c r="V39" s="73">
        <f t="shared" si="8"/>
        <v>0</v>
      </c>
      <c r="W39" s="73">
        <f t="shared" si="8"/>
        <v>0</v>
      </c>
      <c r="X39" s="73">
        <f t="shared" si="8"/>
        <v>0</v>
      </c>
      <c r="Y39" s="73">
        <f t="shared" si="8"/>
        <v>0</v>
      </c>
      <c r="Z39" s="73">
        <f t="shared" si="8"/>
        <v>0</v>
      </c>
      <c r="AA39" s="73">
        <f t="shared" si="8"/>
        <v>0</v>
      </c>
      <c r="AB39" s="73">
        <f t="shared" si="8"/>
        <v>0</v>
      </c>
      <c r="AC39" s="73">
        <f t="shared" si="8"/>
        <v>0</v>
      </c>
      <c r="AD39" s="73">
        <f t="shared" si="8"/>
        <v>0</v>
      </c>
      <c r="AE39" s="73">
        <f t="shared" si="8"/>
        <v>0</v>
      </c>
      <c r="AF39" s="73">
        <f t="shared" si="8"/>
        <v>0</v>
      </c>
      <c r="AG39" s="73">
        <f t="shared" si="8"/>
        <v>0</v>
      </c>
      <c r="AH39" s="73">
        <f t="shared" si="8"/>
        <v>0</v>
      </c>
      <c r="AI39" s="73">
        <f t="shared" si="8"/>
        <v>0</v>
      </c>
      <c r="AJ39" s="73">
        <f t="shared" si="8"/>
        <v>0</v>
      </c>
      <c r="AK39" s="73">
        <f t="shared" si="8"/>
        <v>0</v>
      </c>
      <c r="AL39" s="73">
        <f t="shared" ref="AL39:BQ39" si="9">SUM(AL4:AL38)</f>
        <v>0</v>
      </c>
      <c r="AM39" s="73">
        <f t="shared" si="9"/>
        <v>0</v>
      </c>
      <c r="AN39" s="73">
        <f t="shared" si="9"/>
        <v>0</v>
      </c>
      <c r="AO39" s="73">
        <f t="shared" si="9"/>
        <v>0</v>
      </c>
      <c r="AP39" s="73">
        <f t="shared" si="9"/>
        <v>0</v>
      </c>
      <c r="AQ39" s="73">
        <f t="shared" si="9"/>
        <v>0</v>
      </c>
      <c r="AR39" s="73">
        <f t="shared" si="9"/>
        <v>0</v>
      </c>
      <c r="AS39" s="73">
        <f t="shared" si="9"/>
        <v>0</v>
      </c>
      <c r="AT39" s="73">
        <f t="shared" si="9"/>
        <v>0</v>
      </c>
      <c r="AU39" s="73">
        <f t="shared" si="9"/>
        <v>0</v>
      </c>
      <c r="AV39" s="73">
        <f t="shared" si="9"/>
        <v>0</v>
      </c>
      <c r="AW39" s="73">
        <f t="shared" si="9"/>
        <v>0</v>
      </c>
      <c r="AX39" s="73">
        <f t="shared" si="9"/>
        <v>0</v>
      </c>
      <c r="AY39" s="73">
        <f t="shared" si="9"/>
        <v>0</v>
      </c>
      <c r="AZ39" s="73">
        <f t="shared" si="9"/>
        <v>0</v>
      </c>
      <c r="BA39" s="73">
        <f t="shared" si="9"/>
        <v>0</v>
      </c>
      <c r="BB39" s="73">
        <f t="shared" si="9"/>
        <v>0</v>
      </c>
      <c r="BC39" s="73">
        <f t="shared" si="9"/>
        <v>0</v>
      </c>
      <c r="BD39" s="73">
        <f t="shared" si="9"/>
        <v>0</v>
      </c>
      <c r="BE39" s="73">
        <f t="shared" si="9"/>
        <v>0</v>
      </c>
      <c r="BF39" s="73">
        <f t="shared" si="9"/>
        <v>0</v>
      </c>
      <c r="BG39" s="73">
        <f t="shared" si="9"/>
        <v>0</v>
      </c>
      <c r="BH39" s="73">
        <f t="shared" si="9"/>
        <v>0</v>
      </c>
      <c r="BI39" s="73">
        <f t="shared" si="9"/>
        <v>0</v>
      </c>
      <c r="BJ39" s="73">
        <f t="shared" si="9"/>
        <v>0</v>
      </c>
      <c r="BK39" s="73">
        <f t="shared" si="9"/>
        <v>0</v>
      </c>
      <c r="BL39" s="73">
        <f t="shared" si="9"/>
        <v>0</v>
      </c>
      <c r="BM39" s="73">
        <f t="shared" si="9"/>
        <v>0</v>
      </c>
      <c r="BN39" s="73">
        <f t="shared" si="9"/>
        <v>0</v>
      </c>
      <c r="BO39" s="73">
        <f t="shared" si="9"/>
        <v>0</v>
      </c>
      <c r="BP39" s="73">
        <f t="shared" si="9"/>
        <v>0</v>
      </c>
      <c r="BQ39" s="73">
        <f t="shared" si="9"/>
        <v>0</v>
      </c>
      <c r="BR39" s="73">
        <f t="shared" ref="BR39:CW39" si="10">SUM(BR4:BR38)</f>
        <v>0</v>
      </c>
      <c r="BS39" s="73">
        <f t="shared" si="10"/>
        <v>0</v>
      </c>
      <c r="BT39" s="73">
        <f t="shared" si="10"/>
        <v>0</v>
      </c>
      <c r="BU39" s="73">
        <f t="shared" si="10"/>
        <v>0</v>
      </c>
      <c r="BV39" s="73">
        <f t="shared" si="10"/>
        <v>0</v>
      </c>
      <c r="BW39" s="73">
        <f t="shared" si="10"/>
        <v>0</v>
      </c>
      <c r="BX39" s="73">
        <f t="shared" si="10"/>
        <v>0</v>
      </c>
      <c r="BY39" s="73">
        <f t="shared" si="10"/>
        <v>0</v>
      </c>
      <c r="BZ39" s="73">
        <f t="shared" si="10"/>
        <v>0</v>
      </c>
      <c r="CA39" s="73">
        <f t="shared" si="10"/>
        <v>0</v>
      </c>
      <c r="CB39" s="73">
        <f t="shared" si="10"/>
        <v>0</v>
      </c>
      <c r="CC39" s="73">
        <f t="shared" si="10"/>
        <v>0</v>
      </c>
      <c r="CD39" s="73">
        <f t="shared" si="10"/>
        <v>0</v>
      </c>
      <c r="CE39" s="73">
        <f t="shared" si="10"/>
        <v>0</v>
      </c>
      <c r="CF39" s="73">
        <f t="shared" si="10"/>
        <v>0</v>
      </c>
      <c r="CG39" s="73">
        <f t="shared" si="10"/>
        <v>0</v>
      </c>
      <c r="CH39" s="73">
        <f t="shared" si="10"/>
        <v>0</v>
      </c>
      <c r="CI39" s="73">
        <f t="shared" si="10"/>
        <v>0</v>
      </c>
      <c r="CJ39" s="73">
        <f t="shared" si="10"/>
        <v>0</v>
      </c>
      <c r="CK39" s="73">
        <f t="shared" si="10"/>
        <v>0</v>
      </c>
      <c r="CL39" s="73">
        <f t="shared" si="10"/>
        <v>0</v>
      </c>
      <c r="CM39" s="73">
        <f t="shared" si="10"/>
        <v>0</v>
      </c>
      <c r="CN39" s="73">
        <f t="shared" si="10"/>
        <v>0</v>
      </c>
      <c r="CO39" s="73">
        <f t="shared" si="10"/>
        <v>0</v>
      </c>
      <c r="CP39" s="73">
        <f t="shared" si="10"/>
        <v>0</v>
      </c>
      <c r="CQ39" s="73">
        <f t="shared" si="10"/>
        <v>0</v>
      </c>
      <c r="CR39" s="73">
        <f t="shared" si="10"/>
        <v>0</v>
      </c>
      <c r="CS39" s="73">
        <f t="shared" si="10"/>
        <v>0</v>
      </c>
      <c r="CT39" s="73">
        <f t="shared" si="10"/>
        <v>0</v>
      </c>
      <c r="CU39" s="73">
        <f t="shared" si="10"/>
        <v>0</v>
      </c>
      <c r="CV39" s="73">
        <f t="shared" si="10"/>
        <v>0</v>
      </c>
      <c r="CW39" s="73">
        <f t="shared" si="10"/>
        <v>0</v>
      </c>
      <c r="CX39" s="73">
        <f t="shared" ref="CX39:EC39" si="11">SUM(CX4:CX38)</f>
        <v>0</v>
      </c>
      <c r="CY39" s="73">
        <f t="shared" si="11"/>
        <v>0</v>
      </c>
      <c r="CZ39" s="73">
        <f t="shared" si="11"/>
        <v>0</v>
      </c>
      <c r="DA39" s="73">
        <f t="shared" si="11"/>
        <v>0</v>
      </c>
      <c r="DB39" s="73">
        <f t="shared" si="11"/>
        <v>0</v>
      </c>
      <c r="DC39" s="73">
        <f t="shared" si="11"/>
        <v>0</v>
      </c>
      <c r="DD39" s="73">
        <f t="shared" si="11"/>
        <v>0</v>
      </c>
      <c r="DE39" s="73">
        <f t="shared" si="11"/>
        <v>0</v>
      </c>
      <c r="DF39" s="73">
        <f t="shared" si="11"/>
        <v>0</v>
      </c>
      <c r="DG39" s="73">
        <f t="shared" si="11"/>
        <v>0</v>
      </c>
      <c r="DH39" s="73">
        <f t="shared" si="11"/>
        <v>0</v>
      </c>
      <c r="DI39" s="73">
        <f t="shared" si="11"/>
        <v>0</v>
      </c>
      <c r="DJ39" s="73">
        <f t="shared" si="11"/>
        <v>0</v>
      </c>
      <c r="DK39" s="73">
        <f t="shared" si="11"/>
        <v>0</v>
      </c>
      <c r="DL39" s="73">
        <f t="shared" si="11"/>
        <v>0</v>
      </c>
      <c r="DM39" s="73">
        <f t="shared" si="11"/>
        <v>0</v>
      </c>
      <c r="DN39" s="73">
        <f t="shared" si="11"/>
        <v>0</v>
      </c>
      <c r="DO39" s="73">
        <f t="shared" si="11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A12" sqref="A12:XFD1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3" t="s">
        <v>396</v>
      </c>
      <c r="D1" s="233" t="s">
        <v>397</v>
      </c>
      <c r="E1" s="233" t="s">
        <v>398</v>
      </c>
      <c r="F1" s="224" t="s">
        <v>302</v>
      </c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6"/>
      <c r="AD1" s="239" t="s">
        <v>281</v>
      </c>
      <c r="AE1" s="240"/>
      <c r="AF1" s="240"/>
      <c r="AG1" s="240"/>
      <c r="AH1" s="240"/>
      <c r="AI1" s="241"/>
      <c r="AJ1" s="224" t="s">
        <v>282</v>
      </c>
      <c r="AK1" s="225"/>
      <c r="AL1" s="225"/>
      <c r="AM1" s="225"/>
      <c r="AN1" s="225"/>
      <c r="AO1" s="226"/>
      <c r="AP1" s="227" t="s">
        <v>283</v>
      </c>
      <c r="AQ1" s="228"/>
      <c r="AR1" s="228"/>
      <c r="AS1" s="228"/>
      <c r="AT1" s="228"/>
      <c r="AU1" s="229"/>
      <c r="AV1" s="230" t="s">
        <v>86</v>
      </c>
      <c r="AW1" s="231"/>
      <c r="AX1" s="232"/>
    </row>
    <row r="2" spans="1:50" x14ac:dyDescent="0.25">
      <c r="A2" s="3"/>
      <c r="B2" s="5"/>
      <c r="C2" s="234"/>
      <c r="D2" s="234"/>
      <c r="E2" s="234"/>
      <c r="F2" s="236"/>
      <c r="G2" s="237"/>
      <c r="H2" s="238"/>
      <c r="I2" s="236"/>
      <c r="J2" s="237"/>
      <c r="K2" s="238"/>
      <c r="L2" s="236"/>
      <c r="M2" s="237"/>
      <c r="N2" s="238"/>
      <c r="O2" s="236"/>
      <c r="P2" s="237"/>
      <c r="Q2" s="238"/>
      <c r="R2" s="236"/>
      <c r="S2" s="237"/>
      <c r="T2" s="238"/>
      <c r="U2" s="236"/>
      <c r="V2" s="237"/>
      <c r="W2" s="238"/>
      <c r="X2" s="236"/>
      <c r="Y2" s="237"/>
      <c r="Z2" s="238"/>
      <c r="AA2" s="236"/>
      <c r="AB2" s="237"/>
      <c r="AC2" s="237"/>
      <c r="AD2" s="236"/>
      <c r="AE2" s="237"/>
      <c r="AF2" s="238"/>
      <c r="AG2" s="236"/>
      <c r="AH2" s="237"/>
      <c r="AI2" s="238"/>
      <c r="AJ2" s="236"/>
      <c r="AK2" s="237"/>
      <c r="AL2" s="238"/>
      <c r="AM2" s="236"/>
      <c r="AN2" s="237"/>
      <c r="AO2" s="238"/>
      <c r="AP2" s="236"/>
      <c r="AQ2" s="237"/>
      <c r="AR2" s="238"/>
      <c r="AS2" s="236"/>
      <c r="AT2" s="237"/>
      <c r="AU2" s="238"/>
      <c r="AV2" s="236"/>
      <c r="AW2" s="237"/>
      <c r="AX2" s="238"/>
    </row>
    <row r="3" spans="1:50" x14ac:dyDescent="0.25">
      <c r="A3" s="3" t="s">
        <v>48</v>
      </c>
      <c r="B3" s="5" t="s">
        <v>1</v>
      </c>
      <c r="C3" s="235"/>
      <c r="D3" s="235"/>
      <c r="E3" s="235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6" si="1">SUM(F5,I5,L5,O5,R5,X5,AA5,AD5,U5,AG5,AJ5,AM5,AP5,AS5,AV5)</f>
        <v>0</v>
      </c>
      <c r="D5" s="58">
        <f t="shared" ref="D5:D16" si="2">SUM(G5,J5,M5,P5,S5,Y5,AB5,AE5,V5,AH5,AK5,AN5,AQ5,AT5,AW5)</f>
        <v>0</v>
      </c>
      <c r="E5" s="58">
        <f t="shared" ref="E5:E16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11</v>
      </c>
      <c r="B13" s="35" t="s">
        <v>188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12</v>
      </c>
      <c r="B14" s="35" t="s">
        <v>276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13</v>
      </c>
      <c r="B15" s="149" t="s">
        <v>312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14</v>
      </c>
      <c r="B16" s="149" t="s">
        <v>317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15</v>
      </c>
      <c r="B17" s="149" t="s">
        <v>437</v>
      </c>
      <c r="C17" s="58">
        <f t="shared" ref="C17:C38" si="4">SUM(F17,I17,L17,O17,R17,X17,AA17,AD17,U17,AG17,AJ17,AM17,AP17,AS17,AV17)</f>
        <v>0</v>
      </c>
      <c r="D17" s="58">
        <f t="shared" ref="D17:D38" si="5">SUM(G17,J17,M17,P17,S17,Y17,AB17,AE17,V17,AH17,AK17,AN17,AQ17,AT17,AW17)</f>
        <v>0</v>
      </c>
      <c r="E17" s="58">
        <f t="shared" ref="E17:E38" si="6">SUM(H17,K17,N17,Q17,T17,Z17,AC17,AF17,W17,AI17,AL17,AO17,AR17,AU17,AX17)</f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17</v>
      </c>
      <c r="B18" s="148" t="s">
        <v>343</v>
      </c>
      <c r="C18" s="58">
        <f t="shared" si="4"/>
        <v>0</v>
      </c>
      <c r="D18" s="58">
        <f t="shared" si="5"/>
        <v>0</v>
      </c>
      <c r="E18" s="58">
        <f t="shared" si="6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20</v>
      </c>
      <c r="B19" s="148" t="s">
        <v>315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8">
        <v>22</v>
      </c>
      <c r="B20" s="40" t="s">
        <v>263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7">
        <v>23</v>
      </c>
      <c r="B21" s="37" t="s">
        <v>293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29</v>
      </c>
      <c r="B22" s="148" t="s">
        <v>275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30</v>
      </c>
      <c r="B23" s="148" t="s">
        <v>344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33</v>
      </c>
      <c r="B24" s="148" t="s">
        <v>291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35</v>
      </c>
      <c r="B25" s="148" t="s">
        <v>303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36</v>
      </c>
      <c r="B26" s="148" t="s">
        <v>313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39</v>
      </c>
      <c r="B27" s="148" t="s">
        <v>345</v>
      </c>
      <c r="C27" s="58">
        <f t="shared" si="4"/>
        <v>0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7">
        <v>40</v>
      </c>
      <c r="B28" s="149" t="s">
        <v>341</v>
      </c>
      <c r="C28" s="58">
        <f>SUM(F28,I28,L28,O28,R28,X28,AA28,AD28,U28,AG28,AJ28,AM28,AP28,AS28,AV28)</f>
        <v>0</v>
      </c>
      <c r="D28" s="58">
        <f>SUM(G28,J28,M28,P28,S28,Y28,AB28,AE28,V28,AH28,AK28,AN28,AQ28,AT28,AW28)</f>
        <v>0</v>
      </c>
      <c r="E28" s="58">
        <f>SUM(H28,K28,N28,Q28,T28,Z28,AC28,AF28,W28,AI28,AL28,AO28,AR28,AU28,AX28)</f>
        <v>0</v>
      </c>
      <c r="F28" s="49"/>
      <c r="G28" s="166"/>
      <c r="H28" s="50"/>
      <c r="I28" s="49"/>
      <c r="J28" s="166"/>
      <c r="K28" s="50"/>
      <c r="L28" s="49"/>
      <c r="M28" s="166"/>
      <c r="N28" s="50"/>
      <c r="O28" s="49"/>
      <c r="P28" s="166"/>
      <c r="Q28" s="50"/>
      <c r="R28" s="49"/>
      <c r="S28" s="166"/>
      <c r="T28" s="50"/>
      <c r="U28" s="49"/>
      <c r="V28" s="166"/>
      <c r="W28" s="50"/>
      <c r="X28" s="49"/>
      <c r="Y28" s="166"/>
      <c r="Z28" s="50"/>
      <c r="AA28" s="49"/>
      <c r="AB28" s="166"/>
      <c r="AC28" s="169"/>
      <c r="AD28" s="49"/>
      <c r="AE28" s="166"/>
      <c r="AF28" s="50"/>
      <c r="AG28" s="49"/>
      <c r="AH28" s="166"/>
      <c r="AI28" s="50"/>
      <c r="AJ28" s="49"/>
      <c r="AK28" s="166"/>
      <c r="AL28" s="50"/>
      <c r="AM28" s="49"/>
      <c r="AN28" s="166"/>
      <c r="AO28" s="50"/>
      <c r="AP28" s="49"/>
      <c r="AQ28" s="166"/>
      <c r="AR28" s="50"/>
      <c r="AS28" s="49"/>
      <c r="AT28" s="166"/>
      <c r="AU28" s="50"/>
      <c r="AV28" s="49"/>
      <c r="AW28" s="166"/>
      <c r="AX28" s="75"/>
    </row>
    <row r="29" spans="1:50" x14ac:dyDescent="0.25">
      <c r="A29" s="27">
        <v>41</v>
      </c>
      <c r="B29" s="35" t="s">
        <v>277</v>
      </c>
      <c r="C29" s="58">
        <f t="shared" si="4"/>
        <v>0</v>
      </c>
      <c r="D29" s="58">
        <f t="shared" si="5"/>
        <v>0</v>
      </c>
      <c r="E29" s="58">
        <f t="shared" si="6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56">
        <v>43</v>
      </c>
      <c r="B30" s="148" t="s">
        <v>327</v>
      </c>
      <c r="C30" s="58">
        <f t="shared" ref="C30:E31" si="7">SUM(F30,I30,L30,O30,R30,X30,AA30,AD30,U30,AG30,AJ30,AM30,AP30,AS30,AV30)</f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8">
        <v>44</v>
      </c>
      <c r="B31" s="148" t="s">
        <v>338</v>
      </c>
      <c r="C31" s="58">
        <f t="shared" si="7"/>
        <v>0</v>
      </c>
      <c r="D31" s="58">
        <f t="shared" si="7"/>
        <v>0</v>
      </c>
      <c r="E31" s="58">
        <f t="shared" si="7"/>
        <v>0</v>
      </c>
      <c r="F31" s="49"/>
      <c r="G31" s="166"/>
      <c r="H31" s="50"/>
      <c r="I31" s="49"/>
      <c r="J31" s="166"/>
      <c r="K31" s="50"/>
      <c r="L31" s="49"/>
      <c r="M31" s="166"/>
      <c r="N31" s="50"/>
      <c r="O31" s="49"/>
      <c r="P31" s="166"/>
      <c r="Q31" s="50"/>
      <c r="R31" s="49"/>
      <c r="S31" s="166"/>
      <c r="T31" s="50"/>
      <c r="U31" s="49"/>
      <c r="V31" s="166"/>
      <c r="W31" s="50"/>
      <c r="X31" s="49"/>
      <c r="Y31" s="166"/>
      <c r="Z31" s="50"/>
      <c r="AA31" s="49"/>
      <c r="AB31" s="166"/>
      <c r="AC31" s="169"/>
      <c r="AD31" s="49"/>
      <c r="AE31" s="166"/>
      <c r="AF31" s="50"/>
      <c r="AG31" s="49"/>
      <c r="AH31" s="166"/>
      <c r="AI31" s="50"/>
      <c r="AJ31" s="49"/>
      <c r="AK31" s="166"/>
      <c r="AL31" s="50"/>
      <c r="AM31" s="49"/>
      <c r="AN31" s="166"/>
      <c r="AO31" s="50"/>
      <c r="AP31" s="49"/>
      <c r="AQ31" s="166"/>
      <c r="AR31" s="50"/>
      <c r="AS31" s="49"/>
      <c r="AT31" s="166"/>
      <c r="AU31" s="50"/>
      <c r="AV31" s="49"/>
      <c r="AW31" s="166"/>
      <c r="AX31" s="75"/>
    </row>
    <row r="32" spans="1:50" x14ac:dyDescent="0.25">
      <c r="A32" s="27">
        <v>46</v>
      </c>
      <c r="B32" s="34" t="s">
        <v>298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8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53</v>
      </c>
      <c r="B34" s="148" t="s">
        <v>292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8">
        <v>55</v>
      </c>
      <c r="B35" s="37" t="s">
        <v>301</v>
      </c>
      <c r="C35" s="58">
        <f>SUM(F35,I35,L35,O35,R35,X35,AA35,AD35,U35,AG35,AJ35,AM35,AP35,AS35,AV35)</f>
        <v>0</v>
      </c>
      <c r="D35" s="58">
        <f>SUM(G35,J35,M35,P35,S35,Y35,AB35,AE35,V35,AH35,AK35,AN35,AQ35,AT35,AW35)</f>
        <v>0</v>
      </c>
      <c r="E35" s="58">
        <f>SUM(H35,K35,N35,Q35,T35,Z35,AC35,AF35,W35,AI35,AL35,AO35,AR35,AU35,AX35)</f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7">
        <v>56</v>
      </c>
      <c r="B36" s="149" t="s">
        <v>322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71</v>
      </c>
      <c r="B37" s="148" t="s">
        <v>339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89</v>
      </c>
      <c r="B38" s="148" t="s">
        <v>333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ht="15.75" thickBot="1" x14ac:dyDescent="0.3">
      <c r="F39" s="172">
        <f t="shared" ref="F39:AX39" si="8">SUM(F4:F38)</f>
        <v>0</v>
      </c>
      <c r="G39" s="173">
        <f t="shared" si="8"/>
        <v>0</v>
      </c>
      <c r="H39" s="174">
        <f t="shared" si="8"/>
        <v>0</v>
      </c>
      <c r="I39" s="172">
        <f t="shared" si="8"/>
        <v>0</v>
      </c>
      <c r="J39" s="173">
        <f t="shared" si="8"/>
        <v>0</v>
      </c>
      <c r="K39" s="174">
        <f t="shared" si="8"/>
        <v>0</v>
      </c>
      <c r="L39" s="172">
        <f t="shared" si="8"/>
        <v>0</v>
      </c>
      <c r="M39" s="173">
        <f t="shared" si="8"/>
        <v>0</v>
      </c>
      <c r="N39" s="174">
        <f t="shared" si="8"/>
        <v>0</v>
      </c>
      <c r="O39" s="172">
        <f t="shared" si="8"/>
        <v>0</v>
      </c>
      <c r="P39" s="173">
        <f t="shared" si="8"/>
        <v>0</v>
      </c>
      <c r="Q39" s="174">
        <f t="shared" si="8"/>
        <v>0</v>
      </c>
      <c r="R39" s="172">
        <f t="shared" si="8"/>
        <v>0</v>
      </c>
      <c r="S39" s="173">
        <f t="shared" si="8"/>
        <v>0</v>
      </c>
      <c r="T39" s="174">
        <f t="shared" si="8"/>
        <v>0</v>
      </c>
      <c r="U39" s="172">
        <f t="shared" si="8"/>
        <v>0</v>
      </c>
      <c r="V39" s="173">
        <f t="shared" si="8"/>
        <v>0</v>
      </c>
      <c r="W39" s="174">
        <f t="shared" si="8"/>
        <v>0</v>
      </c>
      <c r="X39" s="172">
        <f t="shared" si="8"/>
        <v>0</v>
      </c>
      <c r="Y39" s="173">
        <f t="shared" si="8"/>
        <v>0</v>
      </c>
      <c r="Z39" s="174">
        <f t="shared" si="8"/>
        <v>0</v>
      </c>
      <c r="AA39" s="172">
        <f t="shared" si="8"/>
        <v>0</v>
      </c>
      <c r="AB39" s="173">
        <f t="shared" si="8"/>
        <v>0</v>
      </c>
      <c r="AC39" s="175">
        <f t="shared" si="8"/>
        <v>0</v>
      </c>
      <c r="AD39" s="172">
        <f t="shared" si="8"/>
        <v>0</v>
      </c>
      <c r="AE39" s="173">
        <f t="shared" si="8"/>
        <v>0</v>
      </c>
      <c r="AF39" s="174">
        <f t="shared" si="8"/>
        <v>0</v>
      </c>
      <c r="AG39" s="172">
        <f t="shared" si="8"/>
        <v>0</v>
      </c>
      <c r="AH39" s="173">
        <f t="shared" si="8"/>
        <v>0</v>
      </c>
      <c r="AI39" s="174">
        <f t="shared" si="8"/>
        <v>0</v>
      </c>
      <c r="AJ39" s="172">
        <f t="shared" si="8"/>
        <v>0</v>
      </c>
      <c r="AK39" s="173">
        <f t="shared" si="8"/>
        <v>0</v>
      </c>
      <c r="AL39" s="174">
        <f t="shared" si="8"/>
        <v>0</v>
      </c>
      <c r="AM39" s="172">
        <f t="shared" si="8"/>
        <v>0</v>
      </c>
      <c r="AN39" s="173">
        <f t="shared" si="8"/>
        <v>0</v>
      </c>
      <c r="AO39" s="174">
        <f t="shared" si="8"/>
        <v>0</v>
      </c>
      <c r="AP39" s="172">
        <f t="shared" si="8"/>
        <v>0</v>
      </c>
      <c r="AQ39" s="173">
        <f t="shared" si="8"/>
        <v>0</v>
      </c>
      <c r="AR39" s="174">
        <f t="shared" si="8"/>
        <v>0</v>
      </c>
      <c r="AS39" s="172">
        <f t="shared" si="8"/>
        <v>0</v>
      </c>
      <c r="AT39" s="173">
        <f t="shared" si="8"/>
        <v>0</v>
      </c>
      <c r="AU39" s="174">
        <f t="shared" si="8"/>
        <v>0</v>
      </c>
      <c r="AV39" s="172">
        <f t="shared" si="8"/>
        <v>0</v>
      </c>
      <c r="AW39" s="173">
        <f t="shared" si="8"/>
        <v>0</v>
      </c>
      <c r="AX39" s="174">
        <f t="shared" si="8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12" sqref="A12:XFD12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3" t="s">
        <v>396</v>
      </c>
      <c r="D1" s="233" t="s">
        <v>397</v>
      </c>
      <c r="E1" s="233" t="s">
        <v>398</v>
      </c>
      <c r="F1" s="273" t="s">
        <v>87</v>
      </c>
      <c r="G1" s="274"/>
      <c r="H1" s="275"/>
      <c r="I1" s="276" t="s">
        <v>88</v>
      </c>
      <c r="J1" s="277"/>
      <c r="K1" s="278"/>
      <c r="L1" s="243" t="s">
        <v>89</v>
      </c>
      <c r="M1" s="244"/>
      <c r="N1" s="245"/>
      <c r="O1" s="246" t="s">
        <v>199</v>
      </c>
      <c r="P1" s="247"/>
      <c r="Q1" s="248"/>
      <c r="R1" s="249" t="s">
        <v>200</v>
      </c>
      <c r="S1" s="250"/>
      <c r="T1" s="251"/>
      <c r="U1" s="252" t="s">
        <v>306</v>
      </c>
      <c r="V1" s="253"/>
      <c r="W1" s="254"/>
    </row>
    <row r="2" spans="1:23" x14ac:dyDescent="0.25">
      <c r="A2" s="3"/>
      <c r="B2" s="5"/>
      <c r="C2" s="234"/>
      <c r="D2" s="234"/>
      <c r="E2" s="234"/>
      <c r="F2" s="255"/>
      <c r="G2" s="256"/>
      <c r="H2" s="257"/>
      <c r="I2" s="270"/>
      <c r="J2" s="271"/>
      <c r="K2" s="272"/>
      <c r="L2" s="267"/>
      <c r="M2" s="268"/>
      <c r="N2" s="269"/>
      <c r="O2" s="264"/>
      <c r="P2" s="265"/>
      <c r="Q2" s="266"/>
      <c r="R2" s="261"/>
      <c r="S2" s="262"/>
      <c r="T2" s="263"/>
      <c r="U2" s="258"/>
      <c r="V2" s="259"/>
      <c r="W2" s="260"/>
    </row>
    <row r="3" spans="1:23" ht="15.75" thickBot="1" x14ac:dyDescent="0.3">
      <c r="A3" s="3" t="s">
        <v>48</v>
      </c>
      <c r="B3" s="17" t="s">
        <v>1</v>
      </c>
      <c r="C3" s="242"/>
      <c r="D3" s="242"/>
      <c r="E3" s="242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8" si="2">SUM(F6,I6,L6,O6,R6,U6)</f>
        <v>0</v>
      </c>
      <c r="D6" s="58">
        <f t="shared" ref="D6:D38" si="3">SUM(G6,J6,M6,P6,S6,V6)</f>
        <v>0</v>
      </c>
      <c r="E6" s="58">
        <f t="shared" ref="E6:E3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11</v>
      </c>
      <c r="B13" s="35" t="s">
        <v>188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12</v>
      </c>
      <c r="B14" s="35" t="s">
        <v>276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13</v>
      </c>
      <c r="B15" s="149" t="s">
        <v>312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14</v>
      </c>
      <c r="B16" s="149" t="s">
        <v>317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15</v>
      </c>
      <c r="B17" s="149" t="s">
        <v>437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343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315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8">
        <v>22</v>
      </c>
      <c r="B20" s="40" t="s">
        <v>263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23</v>
      </c>
      <c r="B21" s="37" t="s">
        <v>293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29</v>
      </c>
      <c r="B22" s="148" t="s">
        <v>275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30</v>
      </c>
      <c r="B23" s="148" t="s">
        <v>344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33</v>
      </c>
      <c r="B24" s="148" t="s">
        <v>291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35</v>
      </c>
      <c r="B25" s="148" t="s">
        <v>303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36</v>
      </c>
      <c r="B26" s="148" t="s">
        <v>313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39</v>
      </c>
      <c r="B27" s="148" t="s">
        <v>345</v>
      </c>
      <c r="C27" s="58">
        <f t="shared" si="2"/>
        <v>0</v>
      </c>
      <c r="D27" s="58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40</v>
      </c>
      <c r="B28" s="149" t="s">
        <v>341</v>
      </c>
      <c r="C28" s="58">
        <f>SUM(F28,I28,L28,O28,R28,U28)</f>
        <v>0</v>
      </c>
      <c r="D28" s="58">
        <f>SUM(G28,J28,M28,P28,S28,V28)</f>
        <v>0</v>
      </c>
      <c r="E28" s="58">
        <f>SUM(H28,K28,N28,Q28,T28,W28)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7">
        <v>41</v>
      </c>
      <c r="B29" s="35" t="s">
        <v>277</v>
      </c>
      <c r="C29" s="58">
        <f t="shared" si="2"/>
        <v>0</v>
      </c>
      <c r="D29" s="58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56">
        <v>43</v>
      </c>
      <c r="B30" s="148" t="s">
        <v>327</v>
      </c>
      <c r="C30" s="58">
        <f t="shared" ref="C30:E31" si="5">SUM(F30,I30,L30,O30,R30,U30)</f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44</v>
      </c>
      <c r="B31" s="148" t="s">
        <v>338</v>
      </c>
      <c r="C31" s="58">
        <f t="shared" si="5"/>
        <v>0</v>
      </c>
      <c r="D31" s="58">
        <f t="shared" si="5"/>
        <v>0</v>
      </c>
      <c r="E31" s="58">
        <f t="shared" si="5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2"/>
        <v>0</v>
      </c>
      <c r="D34" s="58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ht="15.75" thickBot="1" x14ac:dyDescent="0.3">
      <c r="A35" s="28">
        <v>55</v>
      </c>
      <c r="B35" s="37" t="s">
        <v>301</v>
      </c>
      <c r="C35" s="164">
        <f t="shared" ref="C35" si="6">SUM(F35,I35,L35,O35,R35,U35)</f>
        <v>0</v>
      </c>
      <c r="D35" s="192">
        <f t="shared" ref="D35:E35" si="7">SUM(G35,J35,M35,P35,S35,V35)</f>
        <v>0</v>
      </c>
      <c r="E35" s="192">
        <f t="shared" si="7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2"/>
        <v>0</v>
      </c>
      <c r="D38" s="58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2">
        <f t="shared" ref="F39:W39" si="8">SUM(F4:F38)</f>
        <v>0</v>
      </c>
      <c r="G39" s="173">
        <f t="shared" si="8"/>
        <v>0</v>
      </c>
      <c r="H39" s="174">
        <f t="shared" si="8"/>
        <v>0</v>
      </c>
      <c r="I39" s="172">
        <f t="shared" si="8"/>
        <v>0</v>
      </c>
      <c r="J39" s="173">
        <f t="shared" si="8"/>
        <v>0</v>
      </c>
      <c r="K39" s="174">
        <f t="shared" si="8"/>
        <v>0</v>
      </c>
      <c r="L39" s="172">
        <f t="shared" si="8"/>
        <v>0</v>
      </c>
      <c r="M39" s="173">
        <f t="shared" si="8"/>
        <v>0</v>
      </c>
      <c r="N39" s="174">
        <f t="shared" si="8"/>
        <v>0</v>
      </c>
      <c r="O39" s="172">
        <f t="shared" si="8"/>
        <v>0</v>
      </c>
      <c r="P39" s="173">
        <f t="shared" si="8"/>
        <v>0</v>
      </c>
      <c r="Q39" s="174">
        <f t="shared" si="8"/>
        <v>0</v>
      </c>
      <c r="R39" s="172">
        <f t="shared" si="8"/>
        <v>0</v>
      </c>
      <c r="S39" s="173">
        <f t="shared" si="8"/>
        <v>0</v>
      </c>
      <c r="T39" s="174">
        <f t="shared" si="8"/>
        <v>0</v>
      </c>
      <c r="U39" s="172">
        <f t="shared" si="8"/>
        <v>0</v>
      </c>
      <c r="V39" s="173">
        <f t="shared" si="8"/>
        <v>0</v>
      </c>
      <c r="W39" s="174">
        <f t="shared" si="8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12" sqref="A12:XFD1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3" t="s">
        <v>396</v>
      </c>
      <c r="D1" s="233" t="s">
        <v>397</v>
      </c>
      <c r="E1" s="233" t="s">
        <v>398</v>
      </c>
      <c r="F1" s="273" t="s">
        <v>87</v>
      </c>
      <c r="G1" s="274"/>
      <c r="H1" s="275"/>
      <c r="I1" s="276" t="s">
        <v>88</v>
      </c>
      <c r="J1" s="277"/>
      <c r="K1" s="278"/>
      <c r="L1" s="243" t="s">
        <v>89</v>
      </c>
      <c r="M1" s="244"/>
      <c r="N1" s="245"/>
      <c r="O1" s="246" t="s">
        <v>199</v>
      </c>
      <c r="P1" s="247"/>
      <c r="Q1" s="248"/>
      <c r="R1" s="249" t="s">
        <v>200</v>
      </c>
      <c r="S1" s="250"/>
      <c r="T1" s="251"/>
      <c r="U1" s="252" t="s">
        <v>306</v>
      </c>
      <c r="V1" s="253"/>
      <c r="W1" s="254"/>
    </row>
    <row r="2" spans="1:23" x14ac:dyDescent="0.25">
      <c r="A2" s="3"/>
      <c r="B2" s="17"/>
      <c r="C2" s="234"/>
      <c r="D2" s="234"/>
      <c r="E2" s="234"/>
      <c r="F2" s="255" t="s">
        <v>438</v>
      </c>
      <c r="G2" s="256"/>
      <c r="H2" s="257"/>
      <c r="I2" s="270"/>
      <c r="J2" s="271"/>
      <c r="K2" s="272"/>
      <c r="L2" s="267"/>
      <c r="M2" s="268"/>
      <c r="N2" s="269"/>
      <c r="O2" s="264"/>
      <c r="P2" s="265"/>
      <c r="Q2" s="266"/>
      <c r="R2" s="261"/>
      <c r="S2" s="262"/>
      <c r="T2" s="263"/>
      <c r="U2" s="258"/>
      <c r="V2" s="259"/>
      <c r="W2" s="260"/>
    </row>
    <row r="3" spans="1:23" ht="15.75" thickBot="1" x14ac:dyDescent="0.3">
      <c r="A3" s="3" t="s">
        <v>48</v>
      </c>
      <c r="B3" s="17" t="s">
        <v>1</v>
      </c>
      <c r="C3" s="242"/>
      <c r="D3" s="242"/>
      <c r="E3" s="242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6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11</v>
      </c>
      <c r="B13" s="35" t="s">
        <v>188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12</v>
      </c>
      <c r="B14" s="35" t="s">
        <v>276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13</v>
      </c>
      <c r="B15" s="149" t="s">
        <v>312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14</v>
      </c>
      <c r="B16" s="149" t="s">
        <v>317</v>
      </c>
      <c r="C16" s="58">
        <f t="shared" si="1"/>
        <v>0</v>
      </c>
      <c r="D16" s="51">
        <f t="shared" si="1"/>
        <v>0</v>
      </c>
      <c r="E16" s="58">
        <f t="shared" si="1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15</v>
      </c>
      <c r="B17" s="149" t="s">
        <v>437</v>
      </c>
      <c r="C17" s="58">
        <f t="shared" ref="C17:C38" si="2">SUM(F17,I17,L17,O17,R17,U17)</f>
        <v>0</v>
      </c>
      <c r="D17" s="51">
        <f t="shared" ref="D17:D38" si="3">SUM(G17,J17,M17,P17,S17,V17)</f>
        <v>0</v>
      </c>
      <c r="E17" s="58">
        <f t="shared" ref="E17:E38" si="4">SUM(H17,K17,N17,Q17,T17,W17)</f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343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315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8">
        <v>22</v>
      </c>
      <c r="B20" s="40" t="s">
        <v>263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23</v>
      </c>
      <c r="B21" s="37" t="s">
        <v>293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29</v>
      </c>
      <c r="B22" s="148" t="s">
        <v>275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30</v>
      </c>
      <c r="B23" s="148" t="s">
        <v>344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33</v>
      </c>
      <c r="B24" s="148" t="s">
        <v>291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35</v>
      </c>
      <c r="B25" s="148" t="s">
        <v>303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36</v>
      </c>
      <c r="B26" s="148" t="s">
        <v>313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39</v>
      </c>
      <c r="B27" s="148" t="s">
        <v>345</v>
      </c>
      <c r="C27" s="58">
        <f t="shared" si="2"/>
        <v>0</v>
      </c>
      <c r="D27" s="51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40</v>
      </c>
      <c r="B28" s="149" t="s">
        <v>341</v>
      </c>
      <c r="C28" s="58">
        <f>SUM(F28,I28,L28,O28,R28,U28)</f>
        <v>0</v>
      </c>
      <c r="D28" s="51">
        <f>SUM(G28,J28,M28,P28,S28,V28)</f>
        <v>0</v>
      </c>
      <c r="E28" s="58">
        <f>SUM(H28,K28,N28,Q28,T28,W28)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7">
        <v>41</v>
      </c>
      <c r="B29" s="35" t="s">
        <v>277</v>
      </c>
      <c r="C29" s="58">
        <f t="shared" si="2"/>
        <v>0</v>
      </c>
      <c r="D29" s="51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56">
        <v>43</v>
      </c>
      <c r="B30" s="148" t="s">
        <v>327</v>
      </c>
      <c r="C30" s="58">
        <f t="shared" ref="C30:E31" si="5">SUM(F30,I30,L30,O30,R30,U30)</f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44</v>
      </c>
      <c r="B31" s="148" t="s">
        <v>338</v>
      </c>
      <c r="C31" s="58">
        <f t="shared" si="5"/>
        <v>0</v>
      </c>
      <c r="D31" s="51">
        <f t="shared" si="5"/>
        <v>0</v>
      </c>
      <c r="E31" s="58">
        <f t="shared" si="5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2"/>
        <v>0</v>
      </c>
      <c r="D34" s="51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>SUM(F35,I35,L35,O35,R35,U35)</f>
        <v>0</v>
      </c>
      <c r="D35" s="51">
        <f>SUM(G35,J35,M35,P35,S35,V35)</f>
        <v>0</v>
      </c>
      <c r="E35" s="58">
        <f>SUM(H35,K35,N35,Q35,T35,W35)</f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2"/>
        <v>0</v>
      </c>
      <c r="D38" s="51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2">
        <f t="shared" ref="F39:W39" si="6">SUM(F4:F38)</f>
        <v>0</v>
      </c>
      <c r="G39" s="173">
        <f t="shared" si="6"/>
        <v>0</v>
      </c>
      <c r="H39" s="174">
        <f t="shared" si="6"/>
        <v>0</v>
      </c>
      <c r="I39" s="172">
        <f t="shared" si="6"/>
        <v>0</v>
      </c>
      <c r="J39" s="173">
        <f t="shared" si="6"/>
        <v>0</v>
      </c>
      <c r="K39" s="174">
        <f t="shared" si="6"/>
        <v>0</v>
      </c>
      <c r="L39" s="172">
        <f t="shared" si="6"/>
        <v>0</v>
      </c>
      <c r="M39" s="173">
        <f t="shared" si="6"/>
        <v>0</v>
      </c>
      <c r="N39" s="174">
        <f t="shared" si="6"/>
        <v>0</v>
      </c>
      <c r="O39" s="172">
        <f t="shared" si="6"/>
        <v>0</v>
      </c>
      <c r="P39" s="173">
        <f t="shared" si="6"/>
        <v>0</v>
      </c>
      <c r="Q39" s="174">
        <f t="shared" si="6"/>
        <v>0</v>
      </c>
      <c r="R39" s="172">
        <f t="shared" si="6"/>
        <v>0</v>
      </c>
      <c r="S39" s="173">
        <f t="shared" si="6"/>
        <v>0</v>
      </c>
      <c r="T39" s="174">
        <f t="shared" si="6"/>
        <v>0</v>
      </c>
      <c r="U39" s="172">
        <f t="shared" si="6"/>
        <v>0</v>
      </c>
      <c r="V39" s="173">
        <f t="shared" si="6"/>
        <v>0</v>
      </c>
      <c r="W39" s="174">
        <f t="shared" si="6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AI44" sqref="AI44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9" t="s">
        <v>340</v>
      </c>
      <c r="D1" s="280"/>
      <c r="E1" s="280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11</v>
      </c>
      <c r="B12" s="149" t="s">
        <v>188</v>
      </c>
      <c r="C12" s="20"/>
      <c r="D12" s="20"/>
      <c r="E12" s="20"/>
    </row>
    <row r="13" spans="1:5" x14ac:dyDescent="0.25">
      <c r="A13" s="27">
        <v>12</v>
      </c>
      <c r="B13" s="149" t="s">
        <v>276</v>
      </c>
      <c r="C13" s="20"/>
      <c r="D13" s="20"/>
      <c r="E13" s="20"/>
    </row>
    <row r="14" spans="1:5" x14ac:dyDescent="0.25">
      <c r="A14" s="27">
        <v>13</v>
      </c>
      <c r="B14" s="149" t="s">
        <v>312</v>
      </c>
      <c r="C14" s="20"/>
      <c r="D14" s="20"/>
      <c r="E14" s="20"/>
    </row>
    <row r="15" spans="1:5" x14ac:dyDescent="0.25">
      <c r="A15" s="27">
        <v>14</v>
      </c>
      <c r="B15" s="149" t="s">
        <v>317</v>
      </c>
      <c r="C15" s="20">
        <v>1</v>
      </c>
      <c r="D15" s="20"/>
      <c r="E15" s="20"/>
    </row>
    <row r="16" spans="1:5" x14ac:dyDescent="0.25">
      <c r="A16" s="27">
        <v>15</v>
      </c>
      <c r="B16" s="149" t="s">
        <v>437</v>
      </c>
      <c r="C16" s="20"/>
      <c r="D16" s="20"/>
      <c r="E16" s="20"/>
    </row>
    <row r="17" spans="1:5" x14ac:dyDescent="0.25">
      <c r="A17" s="27">
        <v>17</v>
      </c>
      <c r="B17" s="148" t="s">
        <v>343</v>
      </c>
      <c r="C17" s="20">
        <v>1</v>
      </c>
      <c r="D17" s="20"/>
      <c r="E17" s="20">
        <v>2</v>
      </c>
    </row>
    <row r="18" spans="1:5" x14ac:dyDescent="0.25">
      <c r="A18" s="27">
        <v>20</v>
      </c>
      <c r="B18" s="148" t="s">
        <v>315</v>
      </c>
      <c r="C18" s="20">
        <v>1</v>
      </c>
      <c r="D18" s="20"/>
      <c r="E18" s="20"/>
    </row>
    <row r="19" spans="1:5" x14ac:dyDescent="0.25">
      <c r="A19" s="28">
        <v>22</v>
      </c>
      <c r="B19" s="158" t="s">
        <v>263</v>
      </c>
      <c r="C19" s="20"/>
      <c r="D19" s="20"/>
      <c r="E19" s="20"/>
    </row>
    <row r="20" spans="1:5" x14ac:dyDescent="0.25">
      <c r="A20" s="27">
        <v>23</v>
      </c>
      <c r="B20" s="148" t="s">
        <v>293</v>
      </c>
      <c r="C20" s="20"/>
      <c r="D20" s="20"/>
      <c r="E20" s="20"/>
    </row>
    <row r="21" spans="1:5" x14ac:dyDescent="0.25">
      <c r="A21" s="28">
        <v>29</v>
      </c>
      <c r="B21" s="148" t="s">
        <v>275</v>
      </c>
      <c r="C21" s="20">
        <v>1</v>
      </c>
      <c r="D21" s="20">
        <v>1</v>
      </c>
      <c r="E21" s="20"/>
    </row>
    <row r="22" spans="1:5" x14ac:dyDescent="0.25">
      <c r="A22" s="28">
        <v>30</v>
      </c>
      <c r="B22" s="148" t="s">
        <v>344</v>
      </c>
      <c r="C22" s="20"/>
      <c r="D22" s="20"/>
      <c r="E22" s="20"/>
    </row>
    <row r="23" spans="1:5" x14ac:dyDescent="0.25">
      <c r="A23" s="28">
        <v>33</v>
      </c>
      <c r="B23" s="148" t="s">
        <v>291</v>
      </c>
      <c r="C23" s="20">
        <v>1</v>
      </c>
      <c r="D23" s="20">
        <v>1</v>
      </c>
      <c r="E23" s="20"/>
    </row>
    <row r="24" spans="1:5" x14ac:dyDescent="0.25">
      <c r="A24" s="28">
        <v>35</v>
      </c>
      <c r="B24" s="148" t="s">
        <v>303</v>
      </c>
      <c r="C24" s="20"/>
      <c r="D24" s="20"/>
      <c r="E24" s="20"/>
    </row>
    <row r="25" spans="1:5" x14ac:dyDescent="0.25">
      <c r="A25" s="28">
        <v>36</v>
      </c>
      <c r="B25" s="148" t="s">
        <v>313</v>
      </c>
      <c r="C25" s="20">
        <v>1</v>
      </c>
      <c r="D25" s="20"/>
      <c r="E25" s="20"/>
    </row>
    <row r="26" spans="1:5" x14ac:dyDescent="0.25">
      <c r="A26" s="28">
        <v>39</v>
      </c>
      <c r="B26" s="148" t="s">
        <v>345</v>
      </c>
      <c r="C26" s="20">
        <v>1</v>
      </c>
      <c r="D26" s="20"/>
      <c r="E26" s="20"/>
    </row>
    <row r="27" spans="1:5" x14ac:dyDescent="0.25">
      <c r="A27" s="27">
        <v>40</v>
      </c>
      <c r="B27" s="149" t="s">
        <v>341</v>
      </c>
      <c r="C27" s="20"/>
      <c r="D27" s="20"/>
      <c r="E27" s="20"/>
    </row>
    <row r="28" spans="1:5" x14ac:dyDescent="0.25">
      <c r="A28" s="27">
        <v>41</v>
      </c>
      <c r="B28" s="149" t="s">
        <v>277</v>
      </c>
      <c r="C28" s="20">
        <v>1</v>
      </c>
      <c r="D28" s="20"/>
      <c r="E28" s="20"/>
    </row>
    <row r="29" spans="1:5" x14ac:dyDescent="0.25">
      <c r="A29" s="56">
        <v>43</v>
      </c>
      <c r="B29" s="148" t="s">
        <v>327</v>
      </c>
      <c r="C29" s="20"/>
      <c r="D29" s="20"/>
      <c r="E29" s="20"/>
    </row>
    <row r="30" spans="1:5" x14ac:dyDescent="0.25">
      <c r="A30" s="28">
        <v>44</v>
      </c>
      <c r="B30" s="148" t="s">
        <v>338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73" zoomScale="80" zoomScaleNormal="80" workbookViewId="0">
      <selection activeCell="U95" sqref="U95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01" t="s">
        <v>202</v>
      </c>
      <c r="D1" s="302"/>
      <c r="E1" s="302"/>
      <c r="F1" s="302"/>
      <c r="G1" s="302"/>
      <c r="H1" s="302"/>
      <c r="I1" s="303"/>
      <c r="J1" s="114" t="s">
        <v>195</v>
      </c>
      <c r="K1" s="115" t="s">
        <v>194</v>
      </c>
      <c r="L1" s="281" t="s">
        <v>287</v>
      </c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7"/>
      <c r="AH1" s="281" t="s">
        <v>175</v>
      </c>
      <c r="AI1" s="282"/>
      <c r="AJ1" s="282"/>
      <c r="AK1" s="283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88" t="s">
        <v>442</v>
      </c>
      <c r="L80" s="289"/>
      <c r="M80" s="290"/>
      <c r="O80" s="133"/>
      <c r="P80" s="133"/>
      <c r="W80" s="284"/>
      <c r="X80" s="284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1"/>
      <c r="L81" s="292"/>
      <c r="M81" s="293"/>
      <c r="O81" s="133"/>
      <c r="P81" s="133"/>
      <c r="W81" s="284" t="s">
        <v>209</v>
      </c>
      <c r="X81" s="284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294" t="s">
        <v>443</v>
      </c>
      <c r="L82" s="295"/>
      <c r="M82" s="296"/>
      <c r="O82" s="133"/>
      <c r="P82" s="133"/>
      <c r="W82" s="284" t="s">
        <v>210</v>
      </c>
      <c r="X82" s="284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297" t="s">
        <v>444</v>
      </c>
      <c r="L83" s="298"/>
      <c r="M83" s="299"/>
      <c r="O83" s="133"/>
      <c r="P83" s="133"/>
      <c r="W83" s="285" t="s">
        <v>97</v>
      </c>
      <c r="X83" s="285"/>
      <c r="Y83" s="196">
        <v>220</v>
      </c>
      <c r="Z83" s="196">
        <v>60</v>
      </c>
      <c r="AA83" s="70">
        <v>75</v>
      </c>
      <c r="AC83" s="109">
        <f>Y83/SUM($Y$83:$AA$83)</f>
        <v>0.61971830985915488</v>
      </c>
      <c r="AD83" s="197">
        <f t="shared" ref="AD83:AE83" si="5">Z83/SUM($Y$83:$AA$83)</f>
        <v>0.16901408450704225</v>
      </c>
      <c r="AE83" s="197">
        <f t="shared" si="5"/>
        <v>0.21126760563380281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16" t="s">
        <v>284</v>
      </c>
      <c r="L84" s="317"/>
      <c r="M84" s="318"/>
      <c r="O84" s="141"/>
      <c r="P84" s="141"/>
      <c r="W84" s="300"/>
      <c r="X84" s="300"/>
      <c r="Y84" s="198"/>
      <c r="Z84" s="198"/>
      <c r="AA84" s="198"/>
      <c r="AC84" s="199"/>
      <c r="AD84" s="199"/>
      <c r="AE84" s="19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19"/>
      <c r="L85" s="320"/>
      <c r="M85" s="321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19"/>
      <c r="L86" s="320"/>
      <c r="M86" s="321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19"/>
      <c r="L87" s="320"/>
      <c r="M87" s="321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19"/>
      <c r="L88" s="320"/>
      <c r="M88" s="321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19"/>
      <c r="L89" s="320"/>
      <c r="M89" s="321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19"/>
      <c r="L90" s="320"/>
      <c r="M90" s="321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19"/>
      <c r="L91" s="320"/>
      <c r="M91" s="321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19"/>
      <c r="L92" s="320"/>
      <c r="M92" s="321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19"/>
      <c r="L93" s="320"/>
      <c r="M93" s="321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19"/>
      <c r="L94" s="320"/>
      <c r="M94" s="321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19"/>
      <c r="L95" s="320"/>
      <c r="M95" s="321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19"/>
      <c r="L96" s="320"/>
      <c r="M96" s="321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19"/>
      <c r="L97" s="320"/>
      <c r="M97" s="321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19"/>
      <c r="L98" s="320"/>
      <c r="M98" s="321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19"/>
      <c r="L99" s="320"/>
      <c r="M99" s="321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19"/>
      <c r="L100" s="320"/>
      <c r="M100" s="321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19"/>
      <c r="L101" s="320"/>
      <c r="M101" s="321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19"/>
      <c r="L102" s="320"/>
      <c r="M102" s="321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19"/>
      <c r="L103" s="320"/>
      <c r="M103" s="321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19"/>
      <c r="L104" s="320"/>
      <c r="M104" s="321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22"/>
      <c r="L105" s="323"/>
      <c r="M105" s="324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13" t="s">
        <v>286</v>
      </c>
      <c r="L106" s="314"/>
      <c r="M106" s="315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13" t="s">
        <v>288</v>
      </c>
      <c r="L107" s="314"/>
      <c r="M107" s="315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04" t="s">
        <v>289</v>
      </c>
      <c r="L108" s="305"/>
      <c r="M108" s="306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07"/>
      <c r="L109" s="308"/>
      <c r="M109" s="309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07"/>
      <c r="L110" s="308"/>
      <c r="M110" s="309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07"/>
      <c r="L111" s="308"/>
      <c r="M111" s="309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07"/>
      <c r="L112" s="308"/>
      <c r="M112" s="309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10"/>
      <c r="L113" s="311"/>
      <c r="M113" s="312"/>
    </row>
    <row r="114" spans="1:13" ht="15.75" x14ac:dyDescent="0.25">
      <c r="A114" s="93" t="s">
        <v>445</v>
      </c>
      <c r="B114" s="122"/>
      <c r="C114" s="122"/>
      <c r="D114" s="122">
        <f>SUM(E114*3+F114)</f>
        <v>6</v>
      </c>
      <c r="E114" s="122">
        <f>COUNTIF(C3:C41,3)</f>
        <v>2</v>
      </c>
      <c r="F114" s="122">
        <f>COUNTIF(C3:C41,1)</f>
        <v>0</v>
      </c>
      <c r="G114" s="122">
        <f>COUNTIF(C3:C41,0)</f>
        <v>0</v>
      </c>
      <c r="H114" s="122">
        <f>Match!R4</f>
        <v>4</v>
      </c>
      <c r="I114" s="122">
        <f>Match!S4</f>
        <v>0</v>
      </c>
      <c r="J114" s="122">
        <f t="shared" si="6"/>
        <v>4</v>
      </c>
    </row>
  </sheetData>
  <autoFilter ref="A79:J112" xr:uid="{9C81160F-C24B-449F-8F5A-CB622AB71070}"/>
  <mergeCells count="15">
    <mergeCell ref="W84:X84"/>
    <mergeCell ref="C1:I1"/>
    <mergeCell ref="K108:M113"/>
    <mergeCell ref="K106:M106"/>
    <mergeCell ref="K107:M107"/>
    <mergeCell ref="K84:M105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A5" sqref="A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325" t="s">
        <v>406</v>
      </c>
      <c r="B1" s="325"/>
      <c r="C1" s="325"/>
      <c r="D1" s="325"/>
      <c r="E1" s="325"/>
      <c r="F1" s="325" t="s">
        <v>407</v>
      </c>
      <c r="G1" s="325"/>
      <c r="H1" s="325"/>
      <c r="I1" s="325"/>
      <c r="J1" s="325"/>
    </row>
    <row r="2" spans="1:21" x14ac:dyDescent="0.25">
      <c r="A2" s="325"/>
      <c r="B2" s="325"/>
      <c r="C2" s="325"/>
      <c r="D2" s="325"/>
      <c r="E2" s="325"/>
      <c r="F2" s="325"/>
      <c r="G2" s="325"/>
      <c r="H2" s="325"/>
      <c r="I2" s="325"/>
      <c r="J2" s="325"/>
      <c r="L2" t="s">
        <v>410</v>
      </c>
      <c r="M2" t="s">
        <v>411</v>
      </c>
      <c r="N2" t="s">
        <v>412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413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408</v>
      </c>
      <c r="H3" t="s">
        <v>401</v>
      </c>
      <c r="I3" t="s">
        <v>402</v>
      </c>
      <c r="J3" t="s">
        <v>403</v>
      </c>
      <c r="L3">
        <v>1</v>
      </c>
      <c r="M3" t="s">
        <v>409</v>
      </c>
      <c r="N3" s="195">
        <v>2</v>
      </c>
      <c r="O3" s="195">
        <v>2</v>
      </c>
      <c r="P3" s="195">
        <v>0</v>
      </c>
      <c r="Q3" s="195">
        <v>0</v>
      </c>
      <c r="R3" s="195">
        <v>6</v>
      </c>
      <c r="S3" s="195">
        <v>2</v>
      </c>
      <c r="T3" s="195">
        <v>4</v>
      </c>
      <c r="U3" s="195">
        <v>6</v>
      </c>
    </row>
    <row r="4" spans="1:21" x14ac:dyDescent="0.25">
      <c r="A4" t="s">
        <v>441</v>
      </c>
      <c r="B4" s="194">
        <v>0.72916666666666663</v>
      </c>
      <c r="C4" t="s">
        <v>4</v>
      </c>
      <c r="D4" t="s">
        <v>419</v>
      </c>
      <c r="E4" t="s">
        <v>404</v>
      </c>
      <c r="F4" t="s">
        <v>435</v>
      </c>
      <c r="G4" s="194" t="s">
        <v>440</v>
      </c>
      <c r="H4" t="s">
        <v>4</v>
      </c>
      <c r="I4" t="s">
        <v>415</v>
      </c>
      <c r="J4" t="s">
        <v>436</v>
      </c>
      <c r="L4">
        <v>2</v>
      </c>
      <c r="M4" t="s">
        <v>414</v>
      </c>
      <c r="N4" s="195">
        <v>2</v>
      </c>
      <c r="O4" s="195">
        <v>2</v>
      </c>
      <c r="P4" s="195">
        <v>0</v>
      </c>
      <c r="Q4" s="195">
        <v>0</v>
      </c>
      <c r="R4" s="195">
        <v>4</v>
      </c>
      <c r="S4" s="195">
        <v>0</v>
      </c>
      <c r="T4" s="195">
        <v>4</v>
      </c>
      <c r="U4" s="195">
        <v>6</v>
      </c>
    </row>
    <row r="5" spans="1:21" x14ac:dyDescent="0.25">
      <c r="L5">
        <v>3</v>
      </c>
      <c r="M5" t="s">
        <v>423</v>
      </c>
      <c r="N5" s="195">
        <v>2</v>
      </c>
      <c r="O5" s="195">
        <v>2</v>
      </c>
      <c r="P5" s="195">
        <v>0</v>
      </c>
      <c r="Q5" s="195">
        <v>0</v>
      </c>
      <c r="R5" s="195">
        <v>3</v>
      </c>
      <c r="S5" s="195">
        <v>0</v>
      </c>
      <c r="T5" s="195">
        <v>3</v>
      </c>
      <c r="U5" s="195">
        <v>6</v>
      </c>
    </row>
    <row r="6" spans="1:21" x14ac:dyDescent="0.25">
      <c r="L6">
        <v>4</v>
      </c>
      <c r="M6" t="s">
        <v>419</v>
      </c>
      <c r="N6" s="195">
        <v>2</v>
      </c>
      <c r="O6" s="195">
        <v>2</v>
      </c>
      <c r="P6" s="195">
        <v>0</v>
      </c>
      <c r="Q6" s="195">
        <v>0</v>
      </c>
      <c r="R6" s="195">
        <v>7</v>
      </c>
      <c r="S6" s="195">
        <v>5</v>
      </c>
      <c r="T6" s="195">
        <v>2</v>
      </c>
      <c r="U6" s="195">
        <v>6</v>
      </c>
    </row>
    <row r="7" spans="1:21" x14ac:dyDescent="0.25">
      <c r="L7">
        <v>5</v>
      </c>
      <c r="M7" t="s">
        <v>417</v>
      </c>
      <c r="N7" s="195">
        <v>2</v>
      </c>
      <c r="O7" s="195">
        <v>1</v>
      </c>
      <c r="P7" s="195">
        <v>1</v>
      </c>
      <c r="Q7" s="195">
        <v>0</v>
      </c>
      <c r="R7" s="195">
        <v>4</v>
      </c>
      <c r="S7" s="195">
        <v>1</v>
      </c>
      <c r="T7" s="195">
        <v>3</v>
      </c>
      <c r="U7" s="195">
        <v>4</v>
      </c>
    </row>
    <row r="8" spans="1:21" x14ac:dyDescent="0.25">
      <c r="L8">
        <v>6</v>
      </c>
      <c r="M8" t="s">
        <v>428</v>
      </c>
      <c r="N8" s="195">
        <v>2</v>
      </c>
      <c r="O8" s="195">
        <v>1</v>
      </c>
      <c r="P8" s="195">
        <v>1</v>
      </c>
      <c r="Q8" s="195">
        <v>0</v>
      </c>
      <c r="R8" s="195">
        <v>4</v>
      </c>
      <c r="S8" s="195">
        <v>2</v>
      </c>
      <c r="T8" s="195">
        <v>2</v>
      </c>
      <c r="U8" s="195">
        <v>4</v>
      </c>
    </row>
    <row r="9" spans="1:21" x14ac:dyDescent="0.25">
      <c r="L9">
        <v>7</v>
      </c>
      <c r="M9" t="s">
        <v>421</v>
      </c>
      <c r="N9" s="195">
        <v>2</v>
      </c>
      <c r="O9" s="195">
        <v>1</v>
      </c>
      <c r="P9" s="195">
        <v>1</v>
      </c>
      <c r="Q9" s="195">
        <v>0</v>
      </c>
      <c r="R9" s="195">
        <v>3</v>
      </c>
      <c r="S9" s="195">
        <v>1</v>
      </c>
      <c r="T9" s="195">
        <v>2</v>
      </c>
      <c r="U9" s="195">
        <v>4</v>
      </c>
    </row>
    <row r="10" spans="1:21" x14ac:dyDescent="0.25">
      <c r="L10">
        <v>8</v>
      </c>
      <c r="M10" t="s">
        <v>425</v>
      </c>
      <c r="N10" s="195">
        <v>2</v>
      </c>
      <c r="O10" s="195">
        <v>1</v>
      </c>
      <c r="P10" s="195">
        <v>1</v>
      </c>
      <c r="Q10" s="195">
        <v>0</v>
      </c>
      <c r="R10" s="195">
        <v>2</v>
      </c>
      <c r="S10" s="195">
        <v>1</v>
      </c>
      <c r="T10" s="195">
        <v>1</v>
      </c>
      <c r="U10" s="195">
        <v>4</v>
      </c>
    </row>
    <row r="11" spans="1:21" x14ac:dyDescent="0.25">
      <c r="L11">
        <v>9</v>
      </c>
      <c r="M11" t="s">
        <v>418</v>
      </c>
      <c r="N11" s="195">
        <v>2</v>
      </c>
      <c r="O11" s="195">
        <v>1</v>
      </c>
      <c r="P11" s="195">
        <v>0</v>
      </c>
      <c r="Q11" s="195">
        <v>1</v>
      </c>
      <c r="R11" s="195">
        <v>7</v>
      </c>
      <c r="S11" s="195">
        <v>4</v>
      </c>
      <c r="T11" s="195">
        <v>3</v>
      </c>
      <c r="U11" s="195">
        <v>3</v>
      </c>
    </row>
    <row r="12" spans="1:21" x14ac:dyDescent="0.25">
      <c r="L12">
        <v>10</v>
      </c>
      <c r="M12" t="s">
        <v>427</v>
      </c>
      <c r="N12" s="195">
        <v>2</v>
      </c>
      <c r="O12" s="195">
        <v>1</v>
      </c>
      <c r="P12" s="195">
        <v>0</v>
      </c>
      <c r="Q12" s="195">
        <v>1</v>
      </c>
      <c r="R12" s="195">
        <v>5</v>
      </c>
      <c r="S12" s="195">
        <v>4</v>
      </c>
      <c r="T12" s="195">
        <v>1</v>
      </c>
      <c r="U12" s="195">
        <v>3</v>
      </c>
    </row>
    <row r="13" spans="1:21" x14ac:dyDescent="0.25">
      <c r="L13">
        <v>11</v>
      </c>
      <c r="M13" t="s">
        <v>430</v>
      </c>
      <c r="N13" s="195">
        <v>2</v>
      </c>
      <c r="O13" s="195">
        <v>1</v>
      </c>
      <c r="P13" s="195">
        <v>0</v>
      </c>
      <c r="Q13" s="195">
        <v>1</v>
      </c>
      <c r="R13" s="195">
        <v>2</v>
      </c>
      <c r="S13" s="195">
        <v>2</v>
      </c>
      <c r="T13" s="195">
        <v>0</v>
      </c>
      <c r="U13" s="195">
        <v>3</v>
      </c>
    </row>
    <row r="14" spans="1:21" x14ac:dyDescent="0.25">
      <c r="L14">
        <v>12</v>
      </c>
      <c r="M14" t="s">
        <v>424</v>
      </c>
      <c r="N14" s="195">
        <v>2</v>
      </c>
      <c r="O14" s="195">
        <v>1</v>
      </c>
      <c r="P14" s="195">
        <v>0</v>
      </c>
      <c r="Q14" s="195">
        <v>1</v>
      </c>
      <c r="R14" s="195">
        <v>4</v>
      </c>
      <c r="S14" s="195">
        <v>6</v>
      </c>
      <c r="T14" s="195" t="s">
        <v>433</v>
      </c>
      <c r="U14" s="195">
        <v>3</v>
      </c>
    </row>
    <row r="15" spans="1:21" x14ac:dyDescent="0.25">
      <c r="L15">
        <v>13</v>
      </c>
      <c r="M15" t="s">
        <v>426</v>
      </c>
      <c r="N15" s="195">
        <v>2</v>
      </c>
      <c r="O15" s="195">
        <v>0</v>
      </c>
      <c r="P15" s="195">
        <v>2</v>
      </c>
      <c r="Q15" s="195">
        <v>0</v>
      </c>
      <c r="R15" s="195">
        <v>4</v>
      </c>
      <c r="S15" s="195">
        <v>4</v>
      </c>
      <c r="T15" s="195">
        <v>0</v>
      </c>
      <c r="U15" s="195">
        <v>2</v>
      </c>
    </row>
    <row r="16" spans="1:21" x14ac:dyDescent="0.25">
      <c r="L16">
        <v>14</v>
      </c>
      <c r="M16" t="s">
        <v>416</v>
      </c>
      <c r="N16" s="195">
        <v>2</v>
      </c>
      <c r="O16" s="195">
        <v>0</v>
      </c>
      <c r="P16" s="195">
        <v>1</v>
      </c>
      <c r="Q16" s="195">
        <v>1</v>
      </c>
      <c r="R16" s="195">
        <v>2</v>
      </c>
      <c r="S16" s="195">
        <v>3</v>
      </c>
      <c r="T16" s="195" t="s">
        <v>432</v>
      </c>
      <c r="U16" s="195">
        <v>1</v>
      </c>
    </row>
    <row r="17" spans="12:21" x14ac:dyDescent="0.25">
      <c r="L17">
        <v>15</v>
      </c>
      <c r="M17" t="s">
        <v>429</v>
      </c>
      <c r="N17" s="195">
        <v>2</v>
      </c>
      <c r="O17" s="195">
        <v>0</v>
      </c>
      <c r="P17" s="195">
        <v>1</v>
      </c>
      <c r="Q17" s="195">
        <v>1</v>
      </c>
      <c r="R17" s="195">
        <v>2</v>
      </c>
      <c r="S17" s="195">
        <v>3</v>
      </c>
      <c r="T17" s="195" t="s">
        <v>432</v>
      </c>
      <c r="U17" s="195">
        <v>1</v>
      </c>
    </row>
    <row r="18" spans="12:21" x14ac:dyDescent="0.25">
      <c r="L18">
        <v>16</v>
      </c>
      <c r="M18" t="s">
        <v>422</v>
      </c>
      <c r="N18" s="195">
        <v>2</v>
      </c>
      <c r="O18" s="195">
        <v>0</v>
      </c>
      <c r="P18" s="195">
        <v>0</v>
      </c>
      <c r="Q18" s="195">
        <v>2</v>
      </c>
      <c r="R18" s="195">
        <v>2</v>
      </c>
      <c r="S18" s="195">
        <v>4</v>
      </c>
      <c r="T18" s="195" t="s">
        <v>433</v>
      </c>
      <c r="U18" s="195">
        <v>0</v>
      </c>
    </row>
    <row r="19" spans="12:21" x14ac:dyDescent="0.25">
      <c r="L19">
        <v>17</v>
      </c>
      <c r="M19" t="s">
        <v>405</v>
      </c>
      <c r="N19" s="195">
        <v>2</v>
      </c>
      <c r="O19" s="195">
        <v>0</v>
      </c>
      <c r="P19" s="195">
        <v>0</v>
      </c>
      <c r="Q19" s="195">
        <v>2</v>
      </c>
      <c r="R19" s="195">
        <v>0</v>
      </c>
      <c r="S19" s="195">
        <v>4</v>
      </c>
      <c r="T19" s="195" t="s">
        <v>434</v>
      </c>
      <c r="U19" s="195">
        <v>0</v>
      </c>
    </row>
    <row r="20" spans="12:21" x14ac:dyDescent="0.25">
      <c r="L20">
        <v>18</v>
      </c>
      <c r="M20" t="s">
        <v>420</v>
      </c>
      <c r="N20" s="195">
        <v>2</v>
      </c>
      <c r="O20" s="195">
        <v>0</v>
      </c>
      <c r="P20" s="195">
        <v>0</v>
      </c>
      <c r="Q20" s="195">
        <v>2</v>
      </c>
      <c r="R20" s="195">
        <v>1</v>
      </c>
      <c r="S20" s="195">
        <v>6</v>
      </c>
      <c r="T20" s="195" t="s">
        <v>439</v>
      </c>
      <c r="U20" s="195">
        <v>0</v>
      </c>
    </row>
    <row r="21" spans="12:21" x14ac:dyDescent="0.25">
      <c r="L21">
        <v>19</v>
      </c>
      <c r="M21" t="s">
        <v>415</v>
      </c>
      <c r="N21" s="195">
        <v>2</v>
      </c>
      <c r="O21" s="195">
        <v>0</v>
      </c>
      <c r="P21" s="195">
        <v>0</v>
      </c>
      <c r="Q21" s="195">
        <v>2</v>
      </c>
      <c r="R21" s="195">
        <v>0</v>
      </c>
      <c r="S21" s="195">
        <v>5</v>
      </c>
      <c r="T21" s="195" t="s">
        <v>439</v>
      </c>
      <c r="U21" s="195">
        <v>0</v>
      </c>
    </row>
    <row r="22" spans="12:21" x14ac:dyDescent="0.25">
      <c r="L22">
        <v>20</v>
      </c>
      <c r="M22" t="s">
        <v>431</v>
      </c>
      <c r="N22" s="195">
        <v>2</v>
      </c>
      <c r="O22" s="195">
        <v>0</v>
      </c>
      <c r="P22" s="195">
        <v>0</v>
      </c>
      <c r="Q22" s="195">
        <v>2</v>
      </c>
      <c r="R22" s="195">
        <v>0</v>
      </c>
      <c r="S22" s="195">
        <v>5</v>
      </c>
      <c r="T22" s="195" t="s">
        <v>439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0" t="s">
        <v>46</v>
      </c>
      <c r="B1" s="326"/>
      <c r="C1" s="327" t="s">
        <v>44</v>
      </c>
      <c r="D1" s="203"/>
      <c r="E1" s="328"/>
      <c r="H1" s="200" t="s">
        <v>47</v>
      </c>
      <c r="I1" s="326"/>
      <c r="J1" s="327" t="s">
        <v>44</v>
      </c>
      <c r="K1" s="203"/>
      <c r="L1" s="328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83</v>
      </c>
      <c r="K30" s="9">
        <f>'Apps &amp; Goals'!T10</f>
        <v>315</v>
      </c>
      <c r="L30" s="14">
        <f>J30/K30</f>
        <v>0.2634920634920635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2026-09-02T08:38:26Z</dcterms:modified>
</cp:coreProperties>
</file>