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9072" documentId="13_ncr:1_{662DAA9A-C5C7-8346-85AE-B86E329139C8}" xr6:coauthVersionLast="47" xr6:coauthVersionMax="47" xr10:uidLastSave="{E089F50B-405F-471C-B2E8-F165D99CD77B}"/>
  <bookViews>
    <workbookView xWindow="-120" yWindow="-120" windowWidth="29040" windowHeight="15720" tabRatio="799" firstSheet="1" activeTab="23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Goals'!$A$3:$U$39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F34" i="1"/>
  <c r="G34" i="1"/>
  <c r="H34" i="1"/>
  <c r="I34" i="1"/>
  <c r="J34" i="1"/>
  <c r="K34" i="1"/>
  <c r="L34" i="1"/>
  <c r="M34" i="1"/>
  <c r="N34" i="1"/>
  <c r="O34" i="1"/>
  <c r="U34" i="1" s="1"/>
  <c r="P34" i="1"/>
  <c r="V34" i="1" s="1"/>
  <c r="Q34" i="1"/>
  <c r="R34" i="1"/>
  <c r="S34" i="1"/>
  <c r="T34" i="1"/>
  <c r="E35" i="1"/>
  <c r="F35" i="1"/>
  <c r="U35" i="1" s="1"/>
  <c r="G35" i="1"/>
  <c r="H35" i="1"/>
  <c r="I35" i="1"/>
  <c r="J35" i="1"/>
  <c r="K35" i="1"/>
  <c r="L35" i="1"/>
  <c r="M35" i="1"/>
  <c r="V35" i="1" s="1"/>
  <c r="N35" i="1"/>
  <c r="T35" i="1" s="1"/>
  <c r="O35" i="1"/>
  <c r="P35" i="1"/>
  <c r="Q35" i="1"/>
  <c r="R35" i="1"/>
  <c r="S35" i="1"/>
  <c r="E36" i="1"/>
  <c r="F36" i="1"/>
  <c r="U36" i="1" s="1"/>
  <c r="G36" i="1"/>
  <c r="V36" i="1" s="1"/>
  <c r="H36" i="1"/>
  <c r="I36" i="1"/>
  <c r="J36" i="1"/>
  <c r="K36" i="1"/>
  <c r="T36" i="1" s="1"/>
  <c r="L36" i="1"/>
  <c r="M36" i="1"/>
  <c r="N36" i="1"/>
  <c r="O36" i="1"/>
  <c r="P36" i="1"/>
  <c r="Q36" i="1"/>
  <c r="R36" i="1"/>
  <c r="S36" i="1"/>
  <c r="E37" i="1"/>
  <c r="T37" i="1" s="1"/>
  <c r="F37" i="1"/>
  <c r="G37" i="1"/>
  <c r="H37" i="1"/>
  <c r="I37" i="1"/>
  <c r="U37" i="1" s="1"/>
  <c r="J37" i="1"/>
  <c r="V37" i="1" s="1"/>
  <c r="K37" i="1"/>
  <c r="L37" i="1"/>
  <c r="M37" i="1"/>
  <c r="N37" i="1"/>
  <c r="O37" i="1"/>
  <c r="P37" i="1"/>
  <c r="Q37" i="1"/>
  <c r="R37" i="1"/>
  <c r="S37" i="1"/>
  <c r="E38" i="1"/>
  <c r="F38" i="1"/>
  <c r="U38" i="1" s="1"/>
  <c r="G38" i="1"/>
  <c r="V38" i="1" s="1"/>
  <c r="H38" i="1"/>
  <c r="T38" i="1" s="1"/>
  <c r="I38" i="1"/>
  <c r="J38" i="1"/>
  <c r="K38" i="1"/>
  <c r="L38" i="1"/>
  <c r="M38" i="1"/>
  <c r="N38" i="1"/>
  <c r="O38" i="1"/>
  <c r="P38" i="1"/>
  <c r="Q38" i="1"/>
  <c r="R38" i="1"/>
  <c r="S38" i="1"/>
  <c r="E39" i="1"/>
  <c r="T39" i="1" s="1"/>
  <c r="F39" i="1"/>
  <c r="U39" i="1" s="1"/>
  <c r="G39" i="1"/>
  <c r="H39" i="1"/>
  <c r="I39" i="1"/>
  <c r="J39" i="1"/>
  <c r="V39" i="1" s="1"/>
  <c r="K39" i="1"/>
  <c r="L39" i="1"/>
  <c r="M39" i="1"/>
  <c r="N39" i="1"/>
  <c r="O39" i="1"/>
  <c r="P39" i="1"/>
  <c r="Q39" i="1"/>
  <c r="R39" i="1"/>
  <c r="S39" i="1"/>
  <c r="BC36" i="10"/>
  <c r="BD36" i="10"/>
  <c r="BE36" i="10"/>
  <c r="BH36" i="10" s="1"/>
  <c r="BF36" i="10"/>
  <c r="BG36" i="10"/>
  <c r="BC37" i="10"/>
  <c r="BF37" i="10" s="1"/>
  <c r="BD37" i="10"/>
  <c r="BE37" i="10"/>
  <c r="BG37" i="10"/>
  <c r="BH37" i="10"/>
  <c r="BC38" i="10"/>
  <c r="BD38" i="10"/>
  <c r="BG38" i="10" s="1"/>
  <c r="BE38" i="10"/>
  <c r="BH38" i="10" s="1"/>
  <c r="BF38" i="10"/>
  <c r="BC39" i="10"/>
  <c r="BF39" i="10" s="1"/>
  <c r="BD39" i="10"/>
  <c r="BG39" i="10" s="1"/>
  <c r="BE39" i="10"/>
  <c r="BH39" i="10" s="1"/>
  <c r="BC40" i="10"/>
  <c r="BD40" i="10"/>
  <c r="BE40" i="10"/>
  <c r="BF40" i="10"/>
  <c r="BG40" i="10"/>
  <c r="BH40" i="10"/>
  <c r="BC41" i="10"/>
  <c r="BF41" i="10" s="1"/>
  <c r="BD41" i="10"/>
  <c r="BG41" i="10" s="1"/>
  <c r="BE41" i="10"/>
  <c r="BH41" i="10"/>
  <c r="AQ36" i="10"/>
  <c r="AT36" i="10" s="1"/>
  <c r="AR36" i="10"/>
  <c r="AU36" i="10" s="1"/>
  <c r="AS36" i="10"/>
  <c r="AV36" i="10" s="1"/>
  <c r="AQ37" i="10"/>
  <c r="AR37" i="10"/>
  <c r="AS37" i="10"/>
  <c r="AT37" i="10"/>
  <c r="AU37" i="10"/>
  <c r="AV37" i="10"/>
  <c r="AQ38" i="10"/>
  <c r="AR38" i="10"/>
  <c r="AS38" i="10"/>
  <c r="AT38" i="10"/>
  <c r="AU38" i="10"/>
  <c r="AV38" i="10"/>
  <c r="AQ39" i="10"/>
  <c r="AT39" i="10" s="1"/>
  <c r="AR39" i="10"/>
  <c r="AS39" i="10"/>
  <c r="AV39" i="10" s="1"/>
  <c r="AU39" i="10"/>
  <c r="AQ40" i="10"/>
  <c r="AR40" i="10"/>
  <c r="AU40" i="10" s="1"/>
  <c r="AS40" i="10"/>
  <c r="AV40" i="10" s="1"/>
  <c r="AT40" i="10"/>
  <c r="AQ41" i="10"/>
  <c r="AR41" i="10"/>
  <c r="AS41" i="10"/>
  <c r="AV41" i="10" s="1"/>
  <c r="AT41" i="10"/>
  <c r="AU41" i="10"/>
  <c r="AE36" i="10"/>
  <c r="AH36" i="10" s="1"/>
  <c r="AF36" i="10"/>
  <c r="AG36" i="10"/>
  <c r="AJ36" i="10" s="1"/>
  <c r="AI36" i="10"/>
  <c r="AE37" i="10"/>
  <c r="AF37" i="10"/>
  <c r="AG37" i="10"/>
  <c r="AJ37" i="10" s="1"/>
  <c r="AH37" i="10"/>
  <c r="AI37" i="10"/>
  <c r="AE38" i="10"/>
  <c r="AF38" i="10"/>
  <c r="AG38" i="10"/>
  <c r="AJ38" i="10" s="1"/>
  <c r="AH38" i="10"/>
  <c r="AI38" i="10"/>
  <c r="AE39" i="10"/>
  <c r="AH39" i="10" s="1"/>
  <c r="AF39" i="10"/>
  <c r="AI39" i="10" s="1"/>
  <c r="AG39" i="10"/>
  <c r="AJ39" i="10"/>
  <c r="AE40" i="10"/>
  <c r="AH40" i="10" s="1"/>
  <c r="AF40" i="10"/>
  <c r="AI40" i="10" s="1"/>
  <c r="AG40" i="10"/>
  <c r="AJ40" i="10" s="1"/>
  <c r="AE41" i="10"/>
  <c r="AH41" i="10" s="1"/>
  <c r="AF41" i="10"/>
  <c r="AI41" i="10" s="1"/>
  <c r="AG41" i="10"/>
  <c r="AJ41" i="10" s="1"/>
  <c r="S36" i="10"/>
  <c r="V36" i="10" s="1"/>
  <c r="T36" i="10"/>
  <c r="W36" i="10" s="1"/>
  <c r="U36" i="10"/>
  <c r="X36" i="10" s="1"/>
  <c r="S37" i="10"/>
  <c r="T37" i="10"/>
  <c r="W37" i="10" s="1"/>
  <c r="U37" i="10"/>
  <c r="V37" i="10"/>
  <c r="X37" i="10"/>
  <c r="S38" i="10"/>
  <c r="T38" i="10"/>
  <c r="U38" i="10"/>
  <c r="X38" i="10" s="1"/>
  <c r="V38" i="10"/>
  <c r="W38" i="10"/>
  <c r="S39" i="10"/>
  <c r="V39" i="10" s="1"/>
  <c r="T39" i="10"/>
  <c r="W39" i="10" s="1"/>
  <c r="U39" i="10"/>
  <c r="X39" i="10"/>
  <c r="S40" i="10"/>
  <c r="T40" i="10"/>
  <c r="W40" i="10" s="1"/>
  <c r="U40" i="10"/>
  <c r="X40" i="10" s="1"/>
  <c r="V40" i="10"/>
  <c r="S41" i="10"/>
  <c r="V41" i="10" s="1"/>
  <c r="T41" i="10"/>
  <c r="W41" i="10" s="1"/>
  <c r="U41" i="10"/>
  <c r="X41" i="10" s="1"/>
  <c r="G36" i="10"/>
  <c r="H36" i="10"/>
  <c r="K36" i="10" s="1"/>
  <c r="I36" i="10"/>
  <c r="J36" i="10"/>
  <c r="L36" i="10"/>
  <c r="G37" i="10"/>
  <c r="H37" i="10"/>
  <c r="I37" i="10"/>
  <c r="J37" i="10"/>
  <c r="K37" i="10"/>
  <c r="L37" i="10"/>
  <c r="G38" i="10"/>
  <c r="H38" i="10"/>
  <c r="K38" i="10" s="1"/>
  <c r="I38" i="10"/>
  <c r="L38" i="10" s="1"/>
  <c r="J38" i="10"/>
  <c r="G39" i="10"/>
  <c r="H39" i="10"/>
  <c r="I39" i="10"/>
  <c r="J39" i="10"/>
  <c r="K39" i="10"/>
  <c r="L39" i="10"/>
  <c r="G40" i="10"/>
  <c r="H40" i="10"/>
  <c r="I40" i="10"/>
  <c r="J40" i="10"/>
  <c r="K40" i="10"/>
  <c r="L40" i="10"/>
  <c r="G41" i="10"/>
  <c r="J41" i="10" s="1"/>
  <c r="H41" i="10"/>
  <c r="K41" i="10" s="1"/>
  <c r="I41" i="10"/>
  <c r="L41" i="10"/>
  <c r="C34" i="9"/>
  <c r="F34" i="30" s="1"/>
  <c r="D34" i="9"/>
  <c r="E34" i="9"/>
  <c r="C35" i="9"/>
  <c r="D35" i="9"/>
  <c r="G35" i="30" s="1"/>
  <c r="E35" i="9"/>
  <c r="H35" i="30" s="1"/>
  <c r="C36" i="9"/>
  <c r="D36" i="9"/>
  <c r="G36" i="30" s="1"/>
  <c r="E36" i="9"/>
  <c r="H36" i="30" s="1"/>
  <c r="C37" i="9"/>
  <c r="D37" i="9"/>
  <c r="G37" i="30" s="1"/>
  <c r="E37" i="9"/>
  <c r="C38" i="9"/>
  <c r="D38" i="9"/>
  <c r="G38" i="30" s="1"/>
  <c r="E38" i="9"/>
  <c r="C39" i="9"/>
  <c r="D39" i="9"/>
  <c r="G39" i="30" s="1"/>
  <c r="E39" i="9"/>
  <c r="G34" i="30"/>
  <c r="H34" i="30"/>
  <c r="J34" i="30"/>
  <c r="O34" i="30"/>
  <c r="P34" i="30"/>
  <c r="Q34" i="30"/>
  <c r="D37" i="30"/>
  <c r="F37" i="30"/>
  <c r="H37" i="30"/>
  <c r="L37" i="30"/>
  <c r="M37" i="30"/>
  <c r="O37" i="30"/>
  <c r="P37" i="30"/>
  <c r="Q37" i="30"/>
  <c r="C35" i="30"/>
  <c r="E35" i="30"/>
  <c r="F35" i="30"/>
  <c r="I35" i="30"/>
  <c r="K35" i="30"/>
  <c r="N35" i="30"/>
  <c r="O35" i="30"/>
  <c r="P35" i="30"/>
  <c r="Q35" i="30"/>
  <c r="C36" i="30"/>
  <c r="D36" i="30"/>
  <c r="K36" i="30"/>
  <c r="L36" i="30"/>
  <c r="N36" i="30"/>
  <c r="O36" i="30"/>
  <c r="P36" i="30"/>
  <c r="Q36" i="30"/>
  <c r="L38" i="30"/>
  <c r="M38" i="30"/>
  <c r="N38" i="30"/>
  <c r="O38" i="30"/>
  <c r="P38" i="30"/>
  <c r="Q38" i="30"/>
  <c r="C39" i="30"/>
  <c r="E39" i="30"/>
  <c r="J39" i="30"/>
  <c r="K39" i="30"/>
  <c r="O39" i="30"/>
  <c r="P39" i="30"/>
  <c r="Q39" i="30"/>
  <c r="C34" i="7"/>
  <c r="L34" i="30" s="1"/>
  <c r="D34" i="7"/>
  <c r="M34" i="30" s="1"/>
  <c r="E34" i="7"/>
  <c r="N34" i="30" s="1"/>
  <c r="C37" i="7"/>
  <c r="D37" i="7"/>
  <c r="E37" i="7"/>
  <c r="N37" i="30" s="1"/>
  <c r="C35" i="7"/>
  <c r="L35" i="30" s="1"/>
  <c r="D35" i="7"/>
  <c r="M35" i="30" s="1"/>
  <c r="E35" i="7"/>
  <c r="C36" i="7"/>
  <c r="D36" i="7"/>
  <c r="M36" i="30" s="1"/>
  <c r="E36" i="7"/>
  <c r="C38" i="7"/>
  <c r="D38" i="7"/>
  <c r="E38" i="7"/>
  <c r="C39" i="7"/>
  <c r="L39" i="30" s="1"/>
  <c r="D39" i="7"/>
  <c r="M39" i="30" s="1"/>
  <c r="E39" i="7"/>
  <c r="N39" i="30" s="1"/>
  <c r="C34" i="8"/>
  <c r="I34" i="30" s="1"/>
  <c r="D34" i="8"/>
  <c r="E34" i="8"/>
  <c r="K34" i="30" s="1"/>
  <c r="C37" i="8"/>
  <c r="I37" i="30" s="1"/>
  <c r="D37" i="8"/>
  <c r="J37" i="30" s="1"/>
  <c r="E37" i="8"/>
  <c r="K37" i="30" s="1"/>
  <c r="C35" i="8"/>
  <c r="D35" i="8"/>
  <c r="J35" i="30" s="1"/>
  <c r="E35" i="8"/>
  <c r="C36" i="8"/>
  <c r="I36" i="30" s="1"/>
  <c r="D36" i="8"/>
  <c r="J36" i="30" s="1"/>
  <c r="E36" i="8"/>
  <c r="C38" i="8"/>
  <c r="I38" i="30" s="1"/>
  <c r="D38" i="8"/>
  <c r="J38" i="30" s="1"/>
  <c r="E38" i="8"/>
  <c r="C39" i="8"/>
  <c r="I39" i="30" s="1"/>
  <c r="D39" i="8"/>
  <c r="E39" i="8"/>
  <c r="C34" i="5"/>
  <c r="C34" i="30" s="1"/>
  <c r="D34" i="5"/>
  <c r="D34" i="30" s="1"/>
  <c r="E34" i="5"/>
  <c r="E34" i="30" s="1"/>
  <c r="C37" i="5"/>
  <c r="C37" i="30" s="1"/>
  <c r="D37" i="5"/>
  <c r="E37" i="5"/>
  <c r="E37" i="30" s="1"/>
  <c r="C35" i="5"/>
  <c r="D35" i="5"/>
  <c r="D35" i="30" s="1"/>
  <c r="E35" i="5"/>
  <c r="C36" i="5"/>
  <c r="D36" i="5"/>
  <c r="E36" i="5"/>
  <c r="E36" i="30" s="1"/>
  <c r="C38" i="5"/>
  <c r="C38" i="30" s="1"/>
  <c r="D38" i="5"/>
  <c r="D38" i="30" s="1"/>
  <c r="E38" i="5"/>
  <c r="E38" i="30" s="1"/>
  <c r="C39" i="5"/>
  <c r="D39" i="5"/>
  <c r="D39" i="30" s="1"/>
  <c r="E39" i="5"/>
  <c r="BC24" i="10"/>
  <c r="BF24" i="10" s="1"/>
  <c r="BE33" i="10"/>
  <c r="BH33" i="10" s="1"/>
  <c r="S31" i="1" s="1"/>
  <c r="BE34" i="10"/>
  <c r="BH34" i="10" s="1"/>
  <c r="S32" i="1" s="1"/>
  <c r="AS30" i="10"/>
  <c r="AV30" i="10" s="1"/>
  <c r="I31" i="10"/>
  <c r="L31" i="10" s="1"/>
  <c r="O31" i="30"/>
  <c r="BC33" i="10" s="1"/>
  <c r="BF33" i="10" s="1"/>
  <c r="Q31" i="1" s="1"/>
  <c r="P31" i="30"/>
  <c r="BD33" i="10" s="1"/>
  <c r="BG33" i="10" s="1"/>
  <c r="R31" i="1" s="1"/>
  <c r="Q31" i="30"/>
  <c r="G32" i="30"/>
  <c r="T34" i="10" s="1"/>
  <c r="W34" i="10" s="1"/>
  <c r="I32" i="1" s="1"/>
  <c r="O32" i="30"/>
  <c r="BC34" i="10" s="1"/>
  <c r="BF34" i="10" s="1"/>
  <c r="Q32" i="1" s="1"/>
  <c r="P32" i="30"/>
  <c r="BD34" i="10" s="1"/>
  <c r="BG34" i="10" s="1"/>
  <c r="R32" i="1" s="1"/>
  <c r="Q32" i="30"/>
  <c r="G33" i="30"/>
  <c r="T35" i="10" s="1"/>
  <c r="W35" i="10" s="1"/>
  <c r="I33" i="1" s="1"/>
  <c r="I33" i="30"/>
  <c r="AE35" i="10" s="1"/>
  <c r="AH35" i="10" s="1"/>
  <c r="K33" i="1" s="1"/>
  <c r="J33" i="30"/>
  <c r="AF35" i="10" s="1"/>
  <c r="AI35" i="10" s="1"/>
  <c r="L33" i="1" s="1"/>
  <c r="N33" i="30"/>
  <c r="AS35" i="10" s="1"/>
  <c r="AV35" i="10" s="1"/>
  <c r="P33" i="1" s="1"/>
  <c r="O33" i="30"/>
  <c r="BC35" i="10" s="1"/>
  <c r="BF35" i="10" s="1"/>
  <c r="Q33" i="1" s="1"/>
  <c r="P33" i="30"/>
  <c r="BD35" i="10" s="1"/>
  <c r="BG35" i="10" s="1"/>
  <c r="R33" i="1" s="1"/>
  <c r="Q33" i="30"/>
  <c r="C31" i="7"/>
  <c r="L31" i="30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2" i="7"/>
  <c r="L32" i="30" s="1"/>
  <c r="AQ34" i="10" s="1"/>
  <c r="AT34" i="10" s="1"/>
  <c r="N32" i="1" s="1"/>
  <c r="D32" i="7"/>
  <c r="M32" i="30" s="1"/>
  <c r="E32" i="7"/>
  <c r="N32" i="30" s="1"/>
  <c r="AS34" i="10" s="1"/>
  <c r="AV34" i="10" s="1"/>
  <c r="P32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33" i="8"/>
  <c r="D33" i="8"/>
  <c r="E33" i="8"/>
  <c r="K33" i="30" s="1"/>
  <c r="AG35" i="10" s="1"/>
  <c r="AJ35" i="10" s="1"/>
  <c r="M33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2" i="9"/>
  <c r="F32" i="30" s="1"/>
  <c r="S34" i="10" s="1"/>
  <c r="V34" i="10" s="1"/>
  <c r="H32" i="1" s="1"/>
  <c r="D32" i="9"/>
  <c r="E32" i="9"/>
  <c r="H32" i="30" s="1"/>
  <c r="U34" i="10" s="1"/>
  <c r="X34" i="10" s="1"/>
  <c r="J32" i="1" s="1"/>
  <c r="C33" i="9"/>
  <c r="F33" i="30" s="1"/>
  <c r="S35" i="10" s="1"/>
  <c r="V35" i="10" s="1"/>
  <c r="H33" i="1" s="1"/>
  <c r="D33" i="9"/>
  <c r="E33" i="9"/>
  <c r="H33" i="30" s="1"/>
  <c r="U35" i="10" s="1"/>
  <c r="X35" i="10" s="1"/>
  <c r="J33" i="1" s="1"/>
  <c r="F36" i="30"/>
  <c r="F38" i="30"/>
  <c r="H38" i="30"/>
  <c r="F39" i="30"/>
  <c r="H39" i="30"/>
  <c r="C31" i="5"/>
  <c r="C31" i="30" s="1"/>
  <c r="G33" i="10" s="1"/>
  <c r="J33" i="10" s="1"/>
  <c r="E31" i="1" s="1"/>
  <c r="D31" i="5"/>
  <c r="D31" i="30" s="1"/>
  <c r="H33" i="10" s="1"/>
  <c r="K33" i="10" s="1"/>
  <c r="F31" i="1" s="1"/>
  <c r="E31" i="5"/>
  <c r="E31" i="30" s="1"/>
  <c r="C32" i="5"/>
  <c r="C32" i="30" s="1"/>
  <c r="G34" i="10" s="1"/>
  <c r="J34" i="10" s="1"/>
  <c r="E32" i="1" s="1"/>
  <c r="D32" i="5"/>
  <c r="D32" i="30" s="1"/>
  <c r="H34" i="10" s="1"/>
  <c r="K34" i="10" s="1"/>
  <c r="F32" i="1" s="1"/>
  <c r="E32" i="5"/>
  <c r="E32" i="30" s="1"/>
  <c r="I34" i="10" s="1"/>
  <c r="L34" i="10" s="1"/>
  <c r="G32" i="1" s="1"/>
  <c r="C33" i="5"/>
  <c r="C33" i="30" s="1"/>
  <c r="D33" i="5"/>
  <c r="D33" i="30" s="1"/>
  <c r="H35" i="10" s="1"/>
  <c r="K35" i="10" s="1"/>
  <c r="F33" i="1" s="1"/>
  <c r="E33" i="5"/>
  <c r="E33" i="30" s="1"/>
  <c r="I35" i="10" s="1"/>
  <c r="L35" i="10" s="1"/>
  <c r="G33" i="1" s="1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BC18" i="10" s="1"/>
  <c r="BF18" i="10" s="1"/>
  <c r="P16" i="30"/>
  <c r="BD18" i="10" s="1"/>
  <c r="BG18" i="10" s="1"/>
  <c r="Q16" i="30"/>
  <c r="BE18" i="10" s="1"/>
  <c r="BH18" i="10" s="1"/>
  <c r="O17" i="30"/>
  <c r="BC19" i="10" s="1"/>
  <c r="BF19" i="10" s="1"/>
  <c r="P17" i="30"/>
  <c r="BD19" i="10" s="1"/>
  <c r="BG19" i="10" s="1"/>
  <c r="Q17" i="30"/>
  <c r="BE19" i="10" s="1"/>
  <c r="BH19" i="10" s="1"/>
  <c r="O18" i="30"/>
  <c r="BC20" i="10" s="1"/>
  <c r="BF20" i="10" s="1"/>
  <c r="P18" i="30"/>
  <c r="BD20" i="10" s="1"/>
  <c r="BG20" i="10" s="1"/>
  <c r="Q18" i="30"/>
  <c r="BE20" i="10" s="1"/>
  <c r="BH20" i="10" s="1"/>
  <c r="O19" i="30"/>
  <c r="P19" i="30"/>
  <c r="BD21" i="10" s="1"/>
  <c r="BG21" i="10" s="1"/>
  <c r="Q19" i="30"/>
  <c r="BE21" i="10" s="1"/>
  <c r="BH21" i="10" s="1"/>
  <c r="O20" i="30"/>
  <c r="BC22" i="10" s="1"/>
  <c r="BF22" i="10" s="1"/>
  <c r="P20" i="30"/>
  <c r="BD22" i="10" s="1"/>
  <c r="BG22" i="10" s="1"/>
  <c r="Q20" i="30"/>
  <c r="BE22" i="10" s="1"/>
  <c r="BH22" i="10" s="1"/>
  <c r="O21" i="30"/>
  <c r="BC23" i="10" s="1"/>
  <c r="BF23" i="10" s="1"/>
  <c r="P21" i="30"/>
  <c r="BD23" i="10" s="1"/>
  <c r="BG23" i="10" s="1"/>
  <c r="Q21" i="30"/>
  <c r="BE23" i="10" s="1"/>
  <c r="BH23" i="10" s="1"/>
  <c r="O22" i="30"/>
  <c r="P22" i="30"/>
  <c r="BD24" i="10" s="1"/>
  <c r="BG24" i="10" s="1"/>
  <c r="Q22" i="30"/>
  <c r="BE24" i="10" s="1"/>
  <c r="BH24" i="10" s="1"/>
  <c r="O23" i="30"/>
  <c r="BC25" i="10" s="1"/>
  <c r="BF25" i="10" s="1"/>
  <c r="P23" i="30"/>
  <c r="BD25" i="10" s="1"/>
  <c r="BG25" i="10" s="1"/>
  <c r="Q23" i="30"/>
  <c r="BE25" i="10" s="1"/>
  <c r="BH25" i="10" s="1"/>
  <c r="O24" i="30"/>
  <c r="BC26" i="10" s="1"/>
  <c r="BF26" i="10" s="1"/>
  <c r="P24" i="30"/>
  <c r="BD26" i="10" s="1"/>
  <c r="BG26" i="10" s="1"/>
  <c r="Q24" i="30"/>
  <c r="O25" i="30"/>
  <c r="BC27" i="10" s="1"/>
  <c r="BF27" i="10" s="1"/>
  <c r="P25" i="30"/>
  <c r="BD27" i="10" s="1"/>
  <c r="BG27" i="10" s="1"/>
  <c r="Q25" i="30"/>
  <c r="BE27" i="10" s="1"/>
  <c r="BH27" i="10" s="1"/>
  <c r="O26" i="30"/>
  <c r="BC28" i="10" s="1"/>
  <c r="BF28" i="10" s="1"/>
  <c r="P26" i="30"/>
  <c r="BD28" i="10" s="1"/>
  <c r="BG28" i="10" s="1"/>
  <c r="Q26" i="30"/>
  <c r="BE28" i="10" s="1"/>
  <c r="BH28" i="10" s="1"/>
  <c r="O28" i="30"/>
  <c r="BC30" i="10" s="1"/>
  <c r="BF30" i="10" s="1"/>
  <c r="P28" i="30"/>
  <c r="BD30" i="10" s="1"/>
  <c r="BG30" i="10" s="1"/>
  <c r="Q28" i="30"/>
  <c r="BE30" i="10" s="1"/>
  <c r="BH30" i="10" s="1"/>
  <c r="O27" i="30"/>
  <c r="P27" i="30"/>
  <c r="BD29" i="10" s="1"/>
  <c r="BG29" i="10" s="1"/>
  <c r="Q27" i="30"/>
  <c r="BE29" i="10" s="1"/>
  <c r="BH29" i="10" s="1"/>
  <c r="O29" i="30"/>
  <c r="BC31" i="10" s="1"/>
  <c r="BF31" i="10" s="1"/>
  <c r="P29" i="30"/>
  <c r="BD31" i="10" s="1"/>
  <c r="BG31" i="10" s="1"/>
  <c r="Q29" i="30"/>
  <c r="BE31" i="10" s="1"/>
  <c r="BH31" i="10" s="1"/>
  <c r="O30" i="30"/>
  <c r="BC32" i="10" s="1"/>
  <c r="BF32" i="10" s="1"/>
  <c r="P30" i="30"/>
  <c r="BD32" i="10" s="1"/>
  <c r="BG32" i="10" s="1"/>
  <c r="Q30" i="30"/>
  <c r="C16" i="7"/>
  <c r="L16" i="30" s="1"/>
  <c r="AQ18" i="10" s="1"/>
  <c r="AT18" i="10" s="1"/>
  <c r="D16" i="7"/>
  <c r="M16" i="30" s="1"/>
  <c r="AR18" i="10" s="1"/>
  <c r="AU18" i="10" s="1"/>
  <c r="E16" i="7"/>
  <c r="N16" i="30" s="1"/>
  <c r="AS18" i="10" s="1"/>
  <c r="AV18" i="10" s="1"/>
  <c r="C17" i="7"/>
  <c r="L17" i="30" s="1"/>
  <c r="AQ19" i="10" s="1"/>
  <c r="AT19" i="10" s="1"/>
  <c r="D17" i="7"/>
  <c r="M17" i="30" s="1"/>
  <c r="AR19" i="10" s="1"/>
  <c r="AU19" i="10" s="1"/>
  <c r="E17" i="7"/>
  <c r="N17" i="30" s="1"/>
  <c r="AS19" i="10" s="1"/>
  <c r="AV19" i="10" s="1"/>
  <c r="C18" i="7"/>
  <c r="L18" i="30" s="1"/>
  <c r="AQ20" i="10" s="1"/>
  <c r="AT20" i="10" s="1"/>
  <c r="D18" i="7"/>
  <c r="M18" i="30" s="1"/>
  <c r="AR20" i="10" s="1"/>
  <c r="AU20" i="10" s="1"/>
  <c r="E18" i="7"/>
  <c r="N18" i="30" s="1"/>
  <c r="C19" i="7"/>
  <c r="L19" i="30" s="1"/>
  <c r="AQ21" i="10" s="1"/>
  <c r="AT21" i="10" s="1"/>
  <c r="D19" i="7"/>
  <c r="M19" i="30" s="1"/>
  <c r="AR21" i="10" s="1"/>
  <c r="AU21" i="10" s="1"/>
  <c r="E19" i="7"/>
  <c r="N19" i="30" s="1"/>
  <c r="AS21" i="10" s="1"/>
  <c r="AV21" i="10" s="1"/>
  <c r="C20" i="7"/>
  <c r="L20" i="30" s="1"/>
  <c r="AQ22" i="10" s="1"/>
  <c r="AT22" i="10" s="1"/>
  <c r="D20" i="7"/>
  <c r="M20" i="30" s="1"/>
  <c r="AR22" i="10" s="1"/>
  <c r="AU22" i="10" s="1"/>
  <c r="E20" i="7"/>
  <c r="N20" i="30" s="1"/>
  <c r="AS22" i="10" s="1"/>
  <c r="AV22" i="10" s="1"/>
  <c r="C21" i="7"/>
  <c r="L21" i="30" s="1"/>
  <c r="AQ23" i="10" s="1"/>
  <c r="AT23" i="10" s="1"/>
  <c r="D21" i="7"/>
  <c r="M21" i="30" s="1"/>
  <c r="E21" i="7"/>
  <c r="N21" i="30" s="1"/>
  <c r="C22" i="7"/>
  <c r="L22" i="30" s="1"/>
  <c r="AQ24" i="10" s="1"/>
  <c r="AT24" i="10" s="1"/>
  <c r="D22" i="7"/>
  <c r="M22" i="30" s="1"/>
  <c r="AR24" i="10" s="1"/>
  <c r="AU24" i="10" s="1"/>
  <c r="E22" i="7"/>
  <c r="N22" i="30" s="1"/>
  <c r="C23" i="7"/>
  <c r="L23" i="30" s="1"/>
  <c r="AQ25" i="10" s="1"/>
  <c r="AT25" i="10" s="1"/>
  <c r="D23" i="7"/>
  <c r="M23" i="30" s="1"/>
  <c r="AR25" i="10" s="1"/>
  <c r="AU25" i="10" s="1"/>
  <c r="E23" i="7"/>
  <c r="N23" i="30" s="1"/>
  <c r="AS25" i="10" s="1"/>
  <c r="AV25" i="10" s="1"/>
  <c r="C24" i="7"/>
  <c r="L24" i="30" s="1"/>
  <c r="AQ26" i="10" s="1"/>
  <c r="AT26" i="10" s="1"/>
  <c r="D24" i="7"/>
  <c r="M24" i="30" s="1"/>
  <c r="AR26" i="10" s="1"/>
  <c r="AU26" i="10" s="1"/>
  <c r="E24" i="7"/>
  <c r="N24" i="30" s="1"/>
  <c r="AS26" i="10" s="1"/>
  <c r="AV26" i="10" s="1"/>
  <c r="C25" i="7"/>
  <c r="L25" i="30" s="1"/>
  <c r="D25" i="7"/>
  <c r="M25" i="30" s="1"/>
  <c r="AR27" i="10" s="1"/>
  <c r="AU27" i="10" s="1"/>
  <c r="E25" i="7"/>
  <c r="N25" i="30" s="1"/>
  <c r="AS27" i="10" s="1"/>
  <c r="AV27" i="10" s="1"/>
  <c r="C26" i="7"/>
  <c r="L26" i="30" s="1"/>
  <c r="AQ28" i="10" s="1"/>
  <c r="AT28" i="10" s="1"/>
  <c r="D26" i="7"/>
  <c r="M26" i="30" s="1"/>
  <c r="AR28" i="10" s="1"/>
  <c r="AU28" i="10" s="1"/>
  <c r="E26" i="7"/>
  <c r="N26" i="30" s="1"/>
  <c r="C28" i="7"/>
  <c r="L28" i="30" s="1"/>
  <c r="D28" i="7"/>
  <c r="M28" i="30" s="1"/>
  <c r="E28" i="7"/>
  <c r="N28" i="30" s="1"/>
  <c r="C27" i="7"/>
  <c r="L27" i="30" s="1"/>
  <c r="AQ29" i="10" s="1"/>
  <c r="AT29" i="10" s="1"/>
  <c r="D27" i="7"/>
  <c r="M27" i="30" s="1"/>
  <c r="AR29" i="10" s="1"/>
  <c r="AU29" i="10" s="1"/>
  <c r="E27" i="7"/>
  <c r="N27" i="30" s="1"/>
  <c r="AS29" i="10" s="1"/>
  <c r="AV29" i="10" s="1"/>
  <c r="C29" i="7"/>
  <c r="L29" i="30" s="1"/>
  <c r="AQ31" i="10" s="1"/>
  <c r="AT31" i="10" s="1"/>
  <c r="D29" i="7"/>
  <c r="M29" i="30" s="1"/>
  <c r="AR31" i="10" s="1"/>
  <c r="AU31" i="10" s="1"/>
  <c r="E29" i="7"/>
  <c r="N29" i="30" s="1"/>
  <c r="AS31" i="10" s="1"/>
  <c r="AV31" i="10" s="1"/>
  <c r="C30" i="7"/>
  <c r="L30" i="30" s="1"/>
  <c r="AQ32" i="10" s="1"/>
  <c r="AT32" i="10" s="1"/>
  <c r="D30" i="7"/>
  <c r="M30" i="30" s="1"/>
  <c r="AR32" i="10" s="1"/>
  <c r="AU32" i="10" s="1"/>
  <c r="E30" i="7"/>
  <c r="N30" i="30" s="1"/>
  <c r="E4" i="7"/>
  <c r="N4" i="30" s="1"/>
  <c r="AS6" i="10" s="1"/>
  <c r="AV6" i="10" s="1"/>
  <c r="P4" i="1" s="1"/>
  <c r="E5" i="7"/>
  <c r="N5" i="30" s="1"/>
  <c r="AS7" i="10" s="1"/>
  <c r="AV7" i="10" s="1"/>
  <c r="E6" i="7"/>
  <c r="N6" i="30" s="1"/>
  <c r="AS8" i="10" s="1"/>
  <c r="AV8" i="10" s="1"/>
  <c r="E7" i="7"/>
  <c r="N7" i="30" s="1"/>
  <c r="AS9" i="10" s="1"/>
  <c r="AV9" i="10" s="1"/>
  <c r="E8" i="7"/>
  <c r="N8" i="30" s="1"/>
  <c r="AS10" i="10" s="1"/>
  <c r="AV10" i="10" s="1"/>
  <c r="E9" i="7"/>
  <c r="N9" i="30" s="1"/>
  <c r="E10" i="7"/>
  <c r="N10" i="30" s="1"/>
  <c r="AS12" i="10" s="1"/>
  <c r="AV12" i="10" s="1"/>
  <c r="E11" i="7"/>
  <c r="N11" i="30" s="1"/>
  <c r="AS13" i="10" s="1"/>
  <c r="AV13" i="10" s="1"/>
  <c r="E12" i="7"/>
  <c r="N12" i="30" s="1"/>
  <c r="AS14" i="10" s="1"/>
  <c r="AV14" i="10" s="1"/>
  <c r="E13" i="7"/>
  <c r="N13" i="30" s="1"/>
  <c r="AS15" i="10" s="1"/>
  <c r="AV15" i="10" s="1"/>
  <c r="E14" i="7"/>
  <c r="N14" i="30" s="1"/>
  <c r="AS16" i="10" s="1"/>
  <c r="AV16" i="10" s="1"/>
  <c r="E15" i="7"/>
  <c r="N15" i="30" s="1"/>
  <c r="AS17" i="10" s="1"/>
  <c r="AV17" i="10" s="1"/>
  <c r="D5" i="7"/>
  <c r="M5" i="30" s="1"/>
  <c r="AR7" i="10" s="1"/>
  <c r="AU7" i="10" s="1"/>
  <c r="D4" i="7"/>
  <c r="C6" i="8"/>
  <c r="D6" i="8"/>
  <c r="J6" i="30" s="1"/>
  <c r="AF8" i="10" s="1"/>
  <c r="AI8" i="10" s="1"/>
  <c r="E6" i="8"/>
  <c r="K6" i="30" s="1"/>
  <c r="AG8" i="10" s="1"/>
  <c r="AJ8" i="10" s="1"/>
  <c r="C7" i="8"/>
  <c r="I7" i="30" s="1"/>
  <c r="AE9" i="10" s="1"/>
  <c r="AH9" i="10" s="1"/>
  <c r="D7" i="8"/>
  <c r="J7" i="30" s="1"/>
  <c r="E7" i="8"/>
  <c r="K7" i="30" s="1"/>
  <c r="C8" i="8"/>
  <c r="I8" i="30" s="1"/>
  <c r="AE10" i="10" s="1"/>
  <c r="AH10" i="10" s="1"/>
  <c r="D8" i="8"/>
  <c r="J8" i="30" s="1"/>
  <c r="AF10" i="10" s="1"/>
  <c r="AI10" i="10" s="1"/>
  <c r="E8" i="8"/>
  <c r="K8" i="30" s="1"/>
  <c r="AG10" i="10" s="1"/>
  <c r="AJ10" i="10" s="1"/>
  <c r="C9" i="8"/>
  <c r="I9" i="30" s="1"/>
  <c r="AE11" i="10" s="1"/>
  <c r="AH11" i="10" s="1"/>
  <c r="D9" i="8"/>
  <c r="J9" i="30" s="1"/>
  <c r="AF11" i="10" s="1"/>
  <c r="AI11" i="10" s="1"/>
  <c r="E9" i="8"/>
  <c r="K9" i="30" s="1"/>
  <c r="AG11" i="10" s="1"/>
  <c r="AJ11" i="10" s="1"/>
  <c r="C10" i="8"/>
  <c r="I10" i="30" s="1"/>
  <c r="AE12" i="10" s="1"/>
  <c r="AH12" i="10" s="1"/>
  <c r="D10" i="8"/>
  <c r="J10" i="30" s="1"/>
  <c r="AF12" i="10" s="1"/>
  <c r="AI12" i="10" s="1"/>
  <c r="E10" i="8"/>
  <c r="C11" i="8"/>
  <c r="I11" i="30" s="1"/>
  <c r="AE13" i="10" s="1"/>
  <c r="AH13" i="10" s="1"/>
  <c r="D11" i="8"/>
  <c r="J11" i="30" s="1"/>
  <c r="AF13" i="10" s="1"/>
  <c r="AI13" i="10" s="1"/>
  <c r="E11" i="8"/>
  <c r="K11" i="30" s="1"/>
  <c r="C12" i="8"/>
  <c r="I12" i="30" s="1"/>
  <c r="AE14" i="10" s="1"/>
  <c r="AH14" i="10" s="1"/>
  <c r="D12" i="8"/>
  <c r="J12" i="30" s="1"/>
  <c r="E12" i="8"/>
  <c r="K12" i="30" s="1"/>
  <c r="AG14" i="10" s="1"/>
  <c r="AJ14" i="10" s="1"/>
  <c r="C13" i="8"/>
  <c r="I13" i="30" s="1"/>
  <c r="AE15" i="10" s="1"/>
  <c r="AH15" i="10" s="1"/>
  <c r="D13" i="8"/>
  <c r="J13" i="30" s="1"/>
  <c r="AF15" i="10" s="1"/>
  <c r="AI15" i="10" s="1"/>
  <c r="E13" i="8"/>
  <c r="K13" i="30" s="1"/>
  <c r="AG15" i="10" s="1"/>
  <c r="AJ15" i="10" s="1"/>
  <c r="C14" i="8"/>
  <c r="D14" i="8"/>
  <c r="J14" i="30" s="1"/>
  <c r="AF16" i="10" s="1"/>
  <c r="AI16" i="10" s="1"/>
  <c r="E14" i="8"/>
  <c r="K14" i="30" s="1"/>
  <c r="AG16" i="10" s="1"/>
  <c r="AJ16" i="10" s="1"/>
  <c r="C15" i="8"/>
  <c r="I15" i="30" s="1"/>
  <c r="AE17" i="10" s="1"/>
  <c r="AH17" i="10" s="1"/>
  <c r="D15" i="8"/>
  <c r="J15" i="30" s="1"/>
  <c r="E15" i="8"/>
  <c r="K15" i="30" s="1"/>
  <c r="AG17" i="10" s="1"/>
  <c r="AJ17" i="10" s="1"/>
  <c r="C16" i="8"/>
  <c r="I16" i="30" s="1"/>
  <c r="AE18" i="10" s="1"/>
  <c r="AH18" i="10" s="1"/>
  <c r="D16" i="8"/>
  <c r="J16" i="30" s="1"/>
  <c r="AF18" i="10" s="1"/>
  <c r="AI18" i="10" s="1"/>
  <c r="E16" i="8"/>
  <c r="K16" i="30" s="1"/>
  <c r="AG18" i="10" s="1"/>
  <c r="AJ18" i="10" s="1"/>
  <c r="C17" i="8"/>
  <c r="I17" i="30" s="1"/>
  <c r="AE19" i="10" s="1"/>
  <c r="AH19" i="10" s="1"/>
  <c r="D17" i="8"/>
  <c r="J17" i="30" s="1"/>
  <c r="AF19" i="10" s="1"/>
  <c r="AI19" i="10" s="1"/>
  <c r="E17" i="8"/>
  <c r="K17" i="30" s="1"/>
  <c r="AG19" i="10" s="1"/>
  <c r="AJ19" i="10" s="1"/>
  <c r="C18" i="8"/>
  <c r="I18" i="30" s="1"/>
  <c r="AE20" i="10" s="1"/>
  <c r="AH20" i="10" s="1"/>
  <c r="D18" i="8"/>
  <c r="J18" i="30" s="1"/>
  <c r="AF20" i="10" s="1"/>
  <c r="AI20" i="10" s="1"/>
  <c r="E18" i="8"/>
  <c r="K18" i="30" s="1"/>
  <c r="C19" i="8"/>
  <c r="I19" i="30" s="1"/>
  <c r="AE21" i="10" s="1"/>
  <c r="AH21" i="10" s="1"/>
  <c r="D19" i="8"/>
  <c r="J19" i="30" s="1"/>
  <c r="AF21" i="10" s="1"/>
  <c r="AI21" i="10" s="1"/>
  <c r="E19" i="8"/>
  <c r="K19" i="30" s="1"/>
  <c r="AG21" i="10" s="1"/>
  <c r="AJ21" i="10" s="1"/>
  <c r="C20" i="8"/>
  <c r="I20" i="30" s="1"/>
  <c r="AE22" i="10" s="1"/>
  <c r="AH22" i="10" s="1"/>
  <c r="D20" i="8"/>
  <c r="J20" i="30" s="1"/>
  <c r="AF22" i="10" s="1"/>
  <c r="AI22" i="10" s="1"/>
  <c r="E20" i="8"/>
  <c r="K20" i="30" s="1"/>
  <c r="C21" i="8"/>
  <c r="I21" i="30" s="1"/>
  <c r="AE23" i="10" s="1"/>
  <c r="AH23" i="10" s="1"/>
  <c r="D21" i="8"/>
  <c r="J21" i="30" s="1"/>
  <c r="AF23" i="10" s="1"/>
  <c r="AI23" i="10" s="1"/>
  <c r="E21" i="8"/>
  <c r="K21" i="30" s="1"/>
  <c r="AG23" i="10" s="1"/>
  <c r="AJ23" i="10" s="1"/>
  <c r="C22" i="8"/>
  <c r="I22" i="30" s="1"/>
  <c r="AE24" i="10" s="1"/>
  <c r="AH24" i="10" s="1"/>
  <c r="D22" i="8"/>
  <c r="J22" i="30" s="1"/>
  <c r="E22" i="8"/>
  <c r="K22" i="30" s="1"/>
  <c r="AG24" i="10" s="1"/>
  <c r="AJ24" i="10" s="1"/>
  <c r="C23" i="8"/>
  <c r="I23" i="30" s="1"/>
  <c r="AE25" i="10" s="1"/>
  <c r="AH25" i="10" s="1"/>
  <c r="D23" i="8"/>
  <c r="J23" i="30" s="1"/>
  <c r="AF25" i="10" s="1"/>
  <c r="AI25" i="10" s="1"/>
  <c r="E23" i="8"/>
  <c r="K23" i="30" s="1"/>
  <c r="C24" i="8"/>
  <c r="I24" i="30" s="1"/>
  <c r="AE26" i="10" s="1"/>
  <c r="AH26" i="10" s="1"/>
  <c r="D24" i="8"/>
  <c r="J24" i="30" s="1"/>
  <c r="AF26" i="10" s="1"/>
  <c r="AI26" i="10" s="1"/>
  <c r="E24" i="8"/>
  <c r="K24" i="30" s="1"/>
  <c r="AG26" i="10" s="1"/>
  <c r="AJ26" i="10" s="1"/>
  <c r="C25" i="8"/>
  <c r="I25" i="30" s="1"/>
  <c r="AE27" i="10" s="1"/>
  <c r="AH27" i="10" s="1"/>
  <c r="D25" i="8"/>
  <c r="J25" i="30" s="1"/>
  <c r="AF27" i="10" s="1"/>
  <c r="AI27" i="10" s="1"/>
  <c r="E25" i="8"/>
  <c r="K25" i="30" s="1"/>
  <c r="AG27" i="10" s="1"/>
  <c r="AJ27" i="10" s="1"/>
  <c r="C26" i="8"/>
  <c r="I26" i="30" s="1"/>
  <c r="AE28" i="10" s="1"/>
  <c r="AH28" i="10" s="1"/>
  <c r="D26" i="8"/>
  <c r="J26" i="30" s="1"/>
  <c r="AF28" i="10" s="1"/>
  <c r="AI28" i="10" s="1"/>
  <c r="E26" i="8"/>
  <c r="K26" i="30" s="1"/>
  <c r="AG28" i="10" s="1"/>
  <c r="AJ28" i="10" s="1"/>
  <c r="C28" i="8"/>
  <c r="I28" i="30" s="1"/>
  <c r="AE30" i="10" s="1"/>
  <c r="AH30" i="10" s="1"/>
  <c r="D28" i="8"/>
  <c r="J28" i="30" s="1"/>
  <c r="E28" i="8"/>
  <c r="K28" i="30" s="1"/>
  <c r="C27" i="8"/>
  <c r="I27" i="30" s="1"/>
  <c r="AE29" i="10" s="1"/>
  <c r="AH29" i="10" s="1"/>
  <c r="D27" i="8"/>
  <c r="J27" i="30" s="1"/>
  <c r="AF29" i="10" s="1"/>
  <c r="AI29" i="10" s="1"/>
  <c r="E27" i="8"/>
  <c r="K27" i="30" s="1"/>
  <c r="AG29" i="10" s="1"/>
  <c r="AJ29" i="10" s="1"/>
  <c r="C29" i="8"/>
  <c r="I29" i="30" s="1"/>
  <c r="D29" i="8"/>
  <c r="J29" i="30" s="1"/>
  <c r="E29" i="8"/>
  <c r="K29" i="30" s="1"/>
  <c r="AG31" i="10" s="1"/>
  <c r="AJ31" i="10" s="1"/>
  <c r="C30" i="8"/>
  <c r="I30" i="30" s="1"/>
  <c r="AE32" i="10" s="1"/>
  <c r="AH32" i="10" s="1"/>
  <c r="D30" i="8"/>
  <c r="J30" i="30" s="1"/>
  <c r="E30" i="8"/>
  <c r="K30" i="30" s="1"/>
  <c r="AG32" i="10" s="1"/>
  <c r="AJ32" i="10" s="1"/>
  <c r="D5" i="8"/>
  <c r="J5" i="30" s="1"/>
  <c r="AF7" i="10" s="1"/>
  <c r="AI7" i="10" s="1"/>
  <c r="E5" i="8"/>
  <c r="K5" i="30" s="1"/>
  <c r="AG7" i="10" s="1"/>
  <c r="AJ7" i="10" s="1"/>
  <c r="C5" i="8"/>
  <c r="I5" i="30" s="1"/>
  <c r="AE7" i="10" s="1"/>
  <c r="AH7" i="10" s="1"/>
  <c r="K10" i="30"/>
  <c r="AG12" i="10" s="1"/>
  <c r="AJ12" i="10" s="1"/>
  <c r="D4" i="8"/>
  <c r="E4" i="8"/>
  <c r="K4" i="30" s="1"/>
  <c r="AG6" i="10" s="1"/>
  <c r="AJ6" i="10" s="1"/>
  <c r="M4" i="1" s="1"/>
  <c r="C16" i="9"/>
  <c r="F16" i="30" s="1"/>
  <c r="D16" i="9"/>
  <c r="G16" i="30" s="1"/>
  <c r="T18" i="10" s="1"/>
  <c r="W18" i="10" s="1"/>
  <c r="E16" i="9"/>
  <c r="H16" i="30" s="1"/>
  <c r="U18" i="10" s="1"/>
  <c r="X18" i="10" s="1"/>
  <c r="C17" i="9"/>
  <c r="F17" i="30" s="1"/>
  <c r="S19" i="10" s="1"/>
  <c r="V19" i="10" s="1"/>
  <c r="D17" i="9"/>
  <c r="G17" i="30" s="1"/>
  <c r="E17" i="9"/>
  <c r="H17" i="30" s="1"/>
  <c r="U19" i="10" s="1"/>
  <c r="X19" i="10" s="1"/>
  <c r="C18" i="9"/>
  <c r="F18" i="30" s="1"/>
  <c r="S20" i="10" s="1"/>
  <c r="V20" i="10" s="1"/>
  <c r="D18" i="9"/>
  <c r="G18" i="30" s="1"/>
  <c r="T20" i="10" s="1"/>
  <c r="W20" i="10" s="1"/>
  <c r="E18" i="9"/>
  <c r="H18" i="30" s="1"/>
  <c r="U20" i="10" s="1"/>
  <c r="X20" i="10" s="1"/>
  <c r="C19" i="9"/>
  <c r="F19" i="30" s="1"/>
  <c r="S21" i="10" s="1"/>
  <c r="V21" i="10" s="1"/>
  <c r="D19" i="9"/>
  <c r="G19" i="30" s="1"/>
  <c r="T21" i="10" s="1"/>
  <c r="W21" i="10" s="1"/>
  <c r="E19" i="9"/>
  <c r="H19" i="30" s="1"/>
  <c r="U21" i="10" s="1"/>
  <c r="X21" i="10" s="1"/>
  <c r="C20" i="9"/>
  <c r="F20" i="30" s="1"/>
  <c r="D20" i="9"/>
  <c r="G20" i="30" s="1"/>
  <c r="T22" i="10" s="1"/>
  <c r="W22" i="10" s="1"/>
  <c r="E20" i="9"/>
  <c r="H20" i="30" s="1"/>
  <c r="U22" i="10" s="1"/>
  <c r="X22" i="10" s="1"/>
  <c r="C21" i="9"/>
  <c r="F21" i="30" s="1"/>
  <c r="S23" i="10" s="1"/>
  <c r="V23" i="10" s="1"/>
  <c r="D21" i="9"/>
  <c r="G21" i="30" s="1"/>
  <c r="T23" i="10" s="1"/>
  <c r="W23" i="10" s="1"/>
  <c r="E21" i="9"/>
  <c r="H21" i="30" s="1"/>
  <c r="U23" i="10" s="1"/>
  <c r="X23" i="10" s="1"/>
  <c r="C22" i="9"/>
  <c r="F22" i="30" s="1"/>
  <c r="S24" i="10" s="1"/>
  <c r="V24" i="10" s="1"/>
  <c r="D22" i="9"/>
  <c r="G22" i="30" s="1"/>
  <c r="E22" i="9"/>
  <c r="H22" i="30" s="1"/>
  <c r="C23" i="9"/>
  <c r="F23" i="30" s="1"/>
  <c r="S25" i="10" s="1"/>
  <c r="V25" i="10" s="1"/>
  <c r="D23" i="9"/>
  <c r="G23" i="30" s="1"/>
  <c r="T25" i="10" s="1"/>
  <c r="W25" i="10" s="1"/>
  <c r="E23" i="9"/>
  <c r="H23" i="30" s="1"/>
  <c r="U25" i="10" s="1"/>
  <c r="X25" i="10" s="1"/>
  <c r="C24" i="9"/>
  <c r="F24" i="30" s="1"/>
  <c r="S26" i="10" s="1"/>
  <c r="V26" i="10" s="1"/>
  <c r="D24" i="9"/>
  <c r="G24" i="30" s="1"/>
  <c r="T26" i="10" s="1"/>
  <c r="W26" i="10" s="1"/>
  <c r="E24" i="9"/>
  <c r="H24" i="30" s="1"/>
  <c r="U26" i="10" s="1"/>
  <c r="X26" i="10" s="1"/>
  <c r="C25" i="9"/>
  <c r="F25" i="30" s="1"/>
  <c r="S27" i="10" s="1"/>
  <c r="V27" i="10" s="1"/>
  <c r="D25" i="9"/>
  <c r="G25" i="30" s="1"/>
  <c r="E25" i="9"/>
  <c r="H25" i="30" s="1"/>
  <c r="U27" i="10" s="1"/>
  <c r="X27" i="10" s="1"/>
  <c r="C26" i="9"/>
  <c r="F26" i="30" s="1"/>
  <c r="S28" i="10" s="1"/>
  <c r="V28" i="10" s="1"/>
  <c r="D26" i="9"/>
  <c r="G26" i="30" s="1"/>
  <c r="T28" i="10" s="1"/>
  <c r="W28" i="10" s="1"/>
  <c r="E26" i="9"/>
  <c r="H26" i="30" s="1"/>
  <c r="C28" i="9"/>
  <c r="F28" i="30" s="1"/>
  <c r="S30" i="10" s="1"/>
  <c r="V30" i="10" s="1"/>
  <c r="D28" i="9"/>
  <c r="G28" i="30" s="1"/>
  <c r="T30" i="10" s="1"/>
  <c r="W30" i="10" s="1"/>
  <c r="E28" i="9"/>
  <c r="H28" i="30" s="1"/>
  <c r="U30" i="10" s="1"/>
  <c r="X30" i="10" s="1"/>
  <c r="C27" i="9"/>
  <c r="F27" i="30" s="1"/>
  <c r="S29" i="10" s="1"/>
  <c r="V29" i="10" s="1"/>
  <c r="D27" i="9"/>
  <c r="G27" i="30" s="1"/>
  <c r="T29" i="10" s="1"/>
  <c r="W29" i="10" s="1"/>
  <c r="E27" i="9"/>
  <c r="H27" i="30" s="1"/>
  <c r="U29" i="10" s="1"/>
  <c r="X29" i="10" s="1"/>
  <c r="C29" i="9"/>
  <c r="F29" i="30" s="1"/>
  <c r="S31" i="10" s="1"/>
  <c r="V31" i="10" s="1"/>
  <c r="D29" i="9"/>
  <c r="G29" i="30" s="1"/>
  <c r="T31" i="10" s="1"/>
  <c r="W31" i="10" s="1"/>
  <c r="E29" i="9"/>
  <c r="H29" i="30" s="1"/>
  <c r="U31" i="10" s="1"/>
  <c r="X31" i="10" s="1"/>
  <c r="C30" i="9"/>
  <c r="F30" i="30" s="1"/>
  <c r="S32" i="10" s="1"/>
  <c r="V32" i="10" s="1"/>
  <c r="D30" i="9"/>
  <c r="G30" i="30" s="1"/>
  <c r="T32" i="10" s="1"/>
  <c r="W32" i="10" s="1"/>
  <c r="E30" i="9"/>
  <c r="H30" i="30" s="1"/>
  <c r="C16" i="5"/>
  <c r="C16" i="30" s="1"/>
  <c r="G18" i="10" s="1"/>
  <c r="J18" i="10" s="1"/>
  <c r="D16" i="5"/>
  <c r="D16" i="30" s="1"/>
  <c r="H18" i="10" s="1"/>
  <c r="K18" i="10" s="1"/>
  <c r="E16" i="5"/>
  <c r="E16" i="30" s="1"/>
  <c r="I18" i="10" s="1"/>
  <c r="L18" i="10" s="1"/>
  <c r="C17" i="5"/>
  <c r="C17" i="30" s="1"/>
  <c r="G19" i="10" s="1"/>
  <c r="J19" i="10" s="1"/>
  <c r="D17" i="5"/>
  <c r="D17" i="30" s="1"/>
  <c r="H19" i="10" s="1"/>
  <c r="K19" i="10" s="1"/>
  <c r="E17" i="5"/>
  <c r="E17" i="30" s="1"/>
  <c r="C18" i="5"/>
  <c r="C18" i="30" s="1"/>
  <c r="G20" i="10" s="1"/>
  <c r="J20" i="10" s="1"/>
  <c r="D18" i="5"/>
  <c r="D18" i="30" s="1"/>
  <c r="H20" i="10" s="1"/>
  <c r="K20" i="10" s="1"/>
  <c r="E18" i="5"/>
  <c r="E18" i="30" s="1"/>
  <c r="I20" i="10" s="1"/>
  <c r="L20" i="10" s="1"/>
  <c r="C19" i="5"/>
  <c r="C19" i="30" s="1"/>
  <c r="G21" i="10" s="1"/>
  <c r="J21" i="10" s="1"/>
  <c r="D19" i="5"/>
  <c r="D19" i="30" s="1"/>
  <c r="H21" i="10" s="1"/>
  <c r="K21" i="10" s="1"/>
  <c r="E19" i="5"/>
  <c r="E19" i="30" s="1"/>
  <c r="I21" i="10" s="1"/>
  <c r="L21" i="10" s="1"/>
  <c r="C20" i="5"/>
  <c r="C20" i="30" s="1"/>
  <c r="G22" i="10" s="1"/>
  <c r="J22" i="10" s="1"/>
  <c r="D20" i="5"/>
  <c r="D20" i="30" s="1"/>
  <c r="H22" i="10" s="1"/>
  <c r="K22" i="10" s="1"/>
  <c r="E20" i="5"/>
  <c r="E20" i="30" s="1"/>
  <c r="I22" i="10" s="1"/>
  <c r="L22" i="10" s="1"/>
  <c r="C21" i="5"/>
  <c r="C21" i="30" s="1"/>
  <c r="G23" i="10" s="1"/>
  <c r="J23" i="10" s="1"/>
  <c r="D21" i="5"/>
  <c r="D21" i="30" s="1"/>
  <c r="H23" i="10" s="1"/>
  <c r="K23" i="10" s="1"/>
  <c r="E21" i="5"/>
  <c r="E21" i="30" s="1"/>
  <c r="I23" i="10" s="1"/>
  <c r="L23" i="10" s="1"/>
  <c r="C22" i="5"/>
  <c r="C22" i="30" s="1"/>
  <c r="G24" i="10" s="1"/>
  <c r="J24" i="10" s="1"/>
  <c r="D22" i="5"/>
  <c r="D22" i="30" s="1"/>
  <c r="H24" i="10" s="1"/>
  <c r="K24" i="10" s="1"/>
  <c r="E22" i="5"/>
  <c r="E22" i="30" s="1"/>
  <c r="I24" i="10" s="1"/>
  <c r="L24" i="10" s="1"/>
  <c r="C23" i="5"/>
  <c r="C23" i="30" s="1"/>
  <c r="G25" i="10" s="1"/>
  <c r="J25" i="10" s="1"/>
  <c r="D23" i="5"/>
  <c r="D23" i="30" s="1"/>
  <c r="H25" i="10" s="1"/>
  <c r="K25" i="10" s="1"/>
  <c r="E23" i="5"/>
  <c r="E23" i="30" s="1"/>
  <c r="I25" i="10" s="1"/>
  <c r="L25" i="10" s="1"/>
  <c r="C24" i="5"/>
  <c r="C24" i="30" s="1"/>
  <c r="G26" i="10" s="1"/>
  <c r="J26" i="10" s="1"/>
  <c r="D24" i="5"/>
  <c r="D24" i="30" s="1"/>
  <c r="H26" i="10" s="1"/>
  <c r="K26" i="10" s="1"/>
  <c r="E24" i="5"/>
  <c r="E24" i="30" s="1"/>
  <c r="I26" i="10" s="1"/>
  <c r="L26" i="10" s="1"/>
  <c r="C25" i="5"/>
  <c r="C25" i="30" s="1"/>
  <c r="G27" i="10" s="1"/>
  <c r="J27" i="10" s="1"/>
  <c r="D25" i="5"/>
  <c r="D25" i="30" s="1"/>
  <c r="E25" i="5"/>
  <c r="E25" i="30" s="1"/>
  <c r="C26" i="5"/>
  <c r="C26" i="30" s="1"/>
  <c r="G28" i="10" s="1"/>
  <c r="J28" i="10" s="1"/>
  <c r="D26" i="5"/>
  <c r="D26" i="30" s="1"/>
  <c r="H28" i="10" s="1"/>
  <c r="K28" i="10" s="1"/>
  <c r="E26" i="5"/>
  <c r="E26" i="30" s="1"/>
  <c r="I28" i="10" s="1"/>
  <c r="L28" i="10" s="1"/>
  <c r="C28" i="5"/>
  <c r="C28" i="30" s="1"/>
  <c r="G30" i="10" s="1"/>
  <c r="J30" i="10" s="1"/>
  <c r="D28" i="5"/>
  <c r="D28" i="30" s="1"/>
  <c r="E28" i="5"/>
  <c r="E28" i="30" s="1"/>
  <c r="I30" i="10" s="1"/>
  <c r="L30" i="10" s="1"/>
  <c r="C27" i="5"/>
  <c r="C27" i="30" s="1"/>
  <c r="G29" i="10" s="1"/>
  <c r="J29" i="10" s="1"/>
  <c r="D27" i="5"/>
  <c r="D27" i="30" s="1"/>
  <c r="H29" i="10" s="1"/>
  <c r="K29" i="10" s="1"/>
  <c r="E27" i="5"/>
  <c r="E27" i="30" s="1"/>
  <c r="I29" i="10" s="1"/>
  <c r="L29" i="10" s="1"/>
  <c r="C29" i="5"/>
  <c r="C29" i="30" s="1"/>
  <c r="G31" i="10" s="1"/>
  <c r="J31" i="10" s="1"/>
  <c r="D29" i="5"/>
  <c r="D29" i="30" s="1"/>
  <c r="H31" i="10" s="1"/>
  <c r="K31" i="10" s="1"/>
  <c r="E29" i="5"/>
  <c r="E29" i="30" s="1"/>
  <c r="C30" i="5"/>
  <c r="C30" i="30" s="1"/>
  <c r="G32" i="10" s="1"/>
  <c r="J32" i="10" s="1"/>
  <c r="D30" i="5"/>
  <c r="D30" i="30" s="1"/>
  <c r="H32" i="10" s="1"/>
  <c r="K32" i="10" s="1"/>
  <c r="E30" i="5"/>
  <c r="E30" i="30" s="1"/>
  <c r="I32" i="10" s="1"/>
  <c r="L32" i="10" s="1"/>
  <c r="O5" i="30"/>
  <c r="BC7" i="10" s="1"/>
  <c r="BF7" i="10" s="1"/>
  <c r="P5" i="30"/>
  <c r="BD7" i="10" s="1"/>
  <c r="BG7" i="10" s="1"/>
  <c r="Q5" i="30"/>
  <c r="BE7" i="10" s="1"/>
  <c r="BH7" i="10" s="1"/>
  <c r="O6" i="30"/>
  <c r="BC8" i="10" s="1"/>
  <c r="BF8" i="10" s="1"/>
  <c r="P6" i="30"/>
  <c r="Q6" i="30"/>
  <c r="O7" i="30"/>
  <c r="BC9" i="10" s="1"/>
  <c r="BF9" i="10" s="1"/>
  <c r="P7" i="30"/>
  <c r="BD9" i="10" s="1"/>
  <c r="BG9" i="10" s="1"/>
  <c r="Q7" i="30"/>
  <c r="BE9" i="10" s="1"/>
  <c r="BH9" i="10" s="1"/>
  <c r="O8" i="30"/>
  <c r="BC10" i="10" s="1"/>
  <c r="BF10" i="10" s="1"/>
  <c r="P8" i="30"/>
  <c r="BD10" i="10" s="1"/>
  <c r="BG10" i="10" s="1"/>
  <c r="Q8" i="30"/>
  <c r="O9" i="30"/>
  <c r="BC11" i="10" s="1"/>
  <c r="BF11" i="10" s="1"/>
  <c r="P9" i="30"/>
  <c r="BD11" i="10" s="1"/>
  <c r="BG11" i="10" s="1"/>
  <c r="Q9" i="30"/>
  <c r="BE11" i="10" s="1"/>
  <c r="BH11" i="10" s="1"/>
  <c r="O10" i="30"/>
  <c r="BC12" i="10" s="1"/>
  <c r="BF12" i="10" s="1"/>
  <c r="P10" i="30"/>
  <c r="BD12" i="10" s="1"/>
  <c r="BG12" i="10" s="1"/>
  <c r="Q10" i="30"/>
  <c r="BE12" i="10" s="1"/>
  <c r="BH12" i="10" s="1"/>
  <c r="O11" i="30"/>
  <c r="P11" i="30"/>
  <c r="BD13" i="10" s="1"/>
  <c r="BG13" i="10" s="1"/>
  <c r="Q11" i="30"/>
  <c r="BE13" i="10" s="1"/>
  <c r="BH13" i="10" s="1"/>
  <c r="O12" i="30"/>
  <c r="BC14" i="10" s="1"/>
  <c r="BF14" i="10" s="1"/>
  <c r="P12" i="30"/>
  <c r="BD14" i="10" s="1"/>
  <c r="BG14" i="10" s="1"/>
  <c r="Q12" i="30"/>
  <c r="BE14" i="10" s="1"/>
  <c r="BH14" i="10" s="1"/>
  <c r="O13" i="30"/>
  <c r="BC15" i="10" s="1"/>
  <c r="BF15" i="10" s="1"/>
  <c r="P13" i="30"/>
  <c r="BD15" i="10" s="1"/>
  <c r="BG15" i="10" s="1"/>
  <c r="Q13" i="30"/>
  <c r="BE15" i="10" s="1"/>
  <c r="BH15" i="10" s="1"/>
  <c r="O14" i="30"/>
  <c r="BC16" i="10" s="1"/>
  <c r="BF16" i="10" s="1"/>
  <c r="P14" i="30"/>
  <c r="BD16" i="10" s="1"/>
  <c r="BG16" i="10" s="1"/>
  <c r="Q14" i="30"/>
  <c r="BE16" i="10" s="1"/>
  <c r="BH16" i="10" s="1"/>
  <c r="O15" i="30"/>
  <c r="BC17" i="10" s="1"/>
  <c r="BF17" i="10" s="1"/>
  <c r="P15" i="30"/>
  <c r="BD17" i="10" s="1"/>
  <c r="BG17" i="10" s="1"/>
  <c r="Q15" i="30"/>
  <c r="BE17" i="10" s="1"/>
  <c r="BH17" i="10" s="1"/>
  <c r="P4" i="30"/>
  <c r="BD6" i="10" s="1"/>
  <c r="Q4" i="30"/>
  <c r="BE6" i="10" s="1"/>
  <c r="BH6" i="10" s="1"/>
  <c r="S4" i="1" s="1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D15" i="7"/>
  <c r="M15" i="30" s="1"/>
  <c r="AR17" i="10" s="1"/>
  <c r="AU17" i="10" s="1"/>
  <c r="C15" i="7"/>
  <c r="L15" i="30" s="1"/>
  <c r="AQ17" i="10" s="1"/>
  <c r="AT17" i="10" s="1"/>
  <c r="D14" i="7"/>
  <c r="M14" i="30" s="1"/>
  <c r="AR16" i="10" s="1"/>
  <c r="AU16" i="10" s="1"/>
  <c r="C14" i="7"/>
  <c r="L14" i="30" s="1"/>
  <c r="AQ16" i="10" s="1"/>
  <c r="AT16" i="10" s="1"/>
  <c r="D13" i="7"/>
  <c r="M13" i="30" s="1"/>
  <c r="C13" i="7"/>
  <c r="L13" i="30" s="1"/>
  <c r="D12" i="7"/>
  <c r="M12" i="30" s="1"/>
  <c r="AR14" i="10" s="1"/>
  <c r="AU14" i="10" s="1"/>
  <c r="C12" i="7"/>
  <c r="L12" i="30" s="1"/>
  <c r="AQ14" i="10" s="1"/>
  <c r="AT14" i="10" s="1"/>
  <c r="D11" i="7"/>
  <c r="M11" i="30" s="1"/>
  <c r="AR13" i="10" s="1"/>
  <c r="AU13" i="10" s="1"/>
  <c r="C11" i="7"/>
  <c r="L11" i="30" s="1"/>
  <c r="AQ13" i="10" s="1"/>
  <c r="AT13" i="10" s="1"/>
  <c r="D10" i="7"/>
  <c r="M10" i="30" s="1"/>
  <c r="AR12" i="10" s="1"/>
  <c r="AU12" i="10" s="1"/>
  <c r="C10" i="7"/>
  <c r="L10" i="30" s="1"/>
  <c r="AQ12" i="10" s="1"/>
  <c r="AT12" i="10" s="1"/>
  <c r="D9" i="7"/>
  <c r="M9" i="30" s="1"/>
  <c r="AR11" i="10" s="1"/>
  <c r="AU11" i="10" s="1"/>
  <c r="C9" i="7"/>
  <c r="L9" i="30" s="1"/>
  <c r="D8" i="7"/>
  <c r="M8" i="30" s="1"/>
  <c r="AR10" i="10" s="1"/>
  <c r="AU10" i="10" s="1"/>
  <c r="C8" i="7"/>
  <c r="L8" i="30" s="1"/>
  <c r="AQ10" i="10" s="1"/>
  <c r="AT10" i="10" s="1"/>
  <c r="D7" i="7"/>
  <c r="M7" i="30" s="1"/>
  <c r="AR9" i="10" s="1"/>
  <c r="AU9" i="10" s="1"/>
  <c r="C7" i="7"/>
  <c r="L7" i="30" s="1"/>
  <c r="AQ9" i="10" s="1"/>
  <c r="AT9" i="10" s="1"/>
  <c r="D6" i="7"/>
  <c r="M6" i="30" s="1"/>
  <c r="AR8" i="10" s="1"/>
  <c r="AU8" i="10" s="1"/>
  <c r="C6" i="7"/>
  <c r="L6" i="30" s="1"/>
  <c r="AQ8" i="10" s="1"/>
  <c r="AT8" i="10" s="1"/>
  <c r="C5" i="7"/>
  <c r="L5" i="30" s="1"/>
  <c r="C4" i="7"/>
  <c r="W40" i="8"/>
  <c r="T40" i="8"/>
  <c r="Q40" i="8"/>
  <c r="N40" i="8"/>
  <c r="K40" i="8"/>
  <c r="H40" i="8"/>
  <c r="G40" i="8"/>
  <c r="I40" i="8"/>
  <c r="J40" i="8"/>
  <c r="L40" i="8"/>
  <c r="M40" i="8"/>
  <c r="O40" i="8"/>
  <c r="P40" i="8"/>
  <c r="R40" i="8"/>
  <c r="S40" i="8"/>
  <c r="U40" i="8"/>
  <c r="V40" i="8"/>
  <c r="C5" i="9"/>
  <c r="F5" i="30" s="1"/>
  <c r="S7" i="10" s="1"/>
  <c r="V7" i="10" s="1"/>
  <c r="D5" i="9"/>
  <c r="G5" i="30" s="1"/>
  <c r="T7" i="10" s="1"/>
  <c r="W7" i="10" s="1"/>
  <c r="E5" i="9"/>
  <c r="H5" i="30" s="1"/>
  <c r="U7" i="10" s="1"/>
  <c r="X7" i="10" s="1"/>
  <c r="C6" i="9"/>
  <c r="F6" i="30" s="1"/>
  <c r="S8" i="10" s="1"/>
  <c r="V8" i="10" s="1"/>
  <c r="D6" i="9"/>
  <c r="G6" i="30" s="1"/>
  <c r="E6" i="9"/>
  <c r="H6" i="30" s="1"/>
  <c r="C7" i="9"/>
  <c r="F7" i="30" s="1"/>
  <c r="S9" i="10" s="1"/>
  <c r="V9" i="10" s="1"/>
  <c r="D7" i="9"/>
  <c r="G7" i="30" s="1"/>
  <c r="T9" i="10" s="1"/>
  <c r="W9" i="10" s="1"/>
  <c r="E7" i="9"/>
  <c r="H7" i="30" s="1"/>
  <c r="U9" i="10" s="1"/>
  <c r="X9" i="10" s="1"/>
  <c r="C8" i="9"/>
  <c r="F8" i="30" s="1"/>
  <c r="S10" i="10" s="1"/>
  <c r="V10" i="10" s="1"/>
  <c r="D8" i="9"/>
  <c r="G8" i="30" s="1"/>
  <c r="T10" i="10" s="1"/>
  <c r="W10" i="10" s="1"/>
  <c r="E8" i="9"/>
  <c r="H8" i="30" s="1"/>
  <c r="U10" i="10" s="1"/>
  <c r="X10" i="10" s="1"/>
  <c r="C9" i="9"/>
  <c r="F9" i="30" s="1"/>
  <c r="D9" i="9"/>
  <c r="G9" i="30" s="1"/>
  <c r="E9" i="9"/>
  <c r="H9" i="30" s="1"/>
  <c r="U11" i="10" s="1"/>
  <c r="X11" i="10" s="1"/>
  <c r="C10" i="9"/>
  <c r="F10" i="30" s="1"/>
  <c r="S12" i="10" s="1"/>
  <c r="V12" i="10" s="1"/>
  <c r="D10" i="9"/>
  <c r="G10" i="30" s="1"/>
  <c r="T12" i="10" s="1"/>
  <c r="W12" i="10" s="1"/>
  <c r="E10" i="9"/>
  <c r="H10" i="30" s="1"/>
  <c r="U12" i="10" s="1"/>
  <c r="X12" i="10" s="1"/>
  <c r="C11" i="9"/>
  <c r="F11" i="30" s="1"/>
  <c r="S13" i="10" s="1"/>
  <c r="V13" i="10" s="1"/>
  <c r="D11" i="9"/>
  <c r="G11" i="30" s="1"/>
  <c r="T13" i="10" s="1"/>
  <c r="W13" i="10" s="1"/>
  <c r="E11" i="9"/>
  <c r="H11" i="30" s="1"/>
  <c r="U13" i="10" s="1"/>
  <c r="X13" i="10" s="1"/>
  <c r="C12" i="9"/>
  <c r="F12" i="30" s="1"/>
  <c r="S14" i="10" s="1"/>
  <c r="V14" i="10" s="1"/>
  <c r="D12" i="9"/>
  <c r="G12" i="30" s="1"/>
  <c r="E12" i="9"/>
  <c r="H12" i="30" s="1"/>
  <c r="U14" i="10" s="1"/>
  <c r="X14" i="10" s="1"/>
  <c r="C13" i="9"/>
  <c r="F13" i="30" s="1"/>
  <c r="S15" i="10" s="1"/>
  <c r="V15" i="10" s="1"/>
  <c r="D13" i="9"/>
  <c r="G13" i="30" s="1"/>
  <c r="T15" i="10" s="1"/>
  <c r="W15" i="10" s="1"/>
  <c r="E13" i="9"/>
  <c r="H13" i="30" s="1"/>
  <c r="C14" i="9"/>
  <c r="F14" i="30" s="1"/>
  <c r="S16" i="10" s="1"/>
  <c r="V16" i="10" s="1"/>
  <c r="D14" i="9"/>
  <c r="G14" i="30" s="1"/>
  <c r="E14" i="9"/>
  <c r="H14" i="30" s="1"/>
  <c r="C15" i="9"/>
  <c r="F15" i="30" s="1"/>
  <c r="S17" i="10" s="1"/>
  <c r="V17" i="10" s="1"/>
  <c r="D15" i="9"/>
  <c r="G15" i="30" s="1"/>
  <c r="T17" i="10" s="1"/>
  <c r="W17" i="10" s="1"/>
  <c r="E15" i="9"/>
  <c r="H15" i="30" s="1"/>
  <c r="U17" i="10" s="1"/>
  <c r="X17" i="10" s="1"/>
  <c r="D4" i="9"/>
  <c r="G4" i="30" s="1"/>
  <c r="T6" i="10" s="1"/>
  <c r="E4" i="9"/>
  <c r="H4" i="30" s="1"/>
  <c r="U6" i="10" s="1"/>
  <c r="X6" i="10" s="1"/>
  <c r="J4" i="1" s="1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AR40" i="9"/>
  <c r="AS40" i="9"/>
  <c r="AT40" i="9"/>
  <c r="AU40" i="9"/>
  <c r="AV40" i="9"/>
  <c r="AW40" i="9"/>
  <c r="AX40" i="9"/>
  <c r="C5" i="5"/>
  <c r="C5" i="30" s="1"/>
  <c r="G7" i="10" s="1"/>
  <c r="J7" i="10" s="1"/>
  <c r="D5" i="5"/>
  <c r="D5" i="30" s="1"/>
  <c r="H7" i="10" s="1"/>
  <c r="K7" i="10" s="1"/>
  <c r="E5" i="5"/>
  <c r="E5" i="30" s="1"/>
  <c r="I7" i="10" s="1"/>
  <c r="L7" i="10" s="1"/>
  <c r="C6" i="5"/>
  <c r="C6" i="30" s="1"/>
  <c r="G8" i="10" s="1"/>
  <c r="J8" i="10" s="1"/>
  <c r="D6" i="5"/>
  <c r="D6" i="30" s="1"/>
  <c r="H8" i="10" s="1"/>
  <c r="K8" i="10" s="1"/>
  <c r="E6" i="5"/>
  <c r="E6" i="30" s="1"/>
  <c r="I8" i="10" s="1"/>
  <c r="L8" i="10" s="1"/>
  <c r="C7" i="5"/>
  <c r="C7" i="30" s="1"/>
  <c r="G9" i="10" s="1"/>
  <c r="J9" i="10" s="1"/>
  <c r="D7" i="5"/>
  <c r="D7" i="30" s="1"/>
  <c r="E7" i="5"/>
  <c r="E7" i="30" s="1"/>
  <c r="I9" i="10" s="1"/>
  <c r="L9" i="10" s="1"/>
  <c r="C8" i="5"/>
  <c r="C8" i="30" s="1"/>
  <c r="G10" i="10" s="1"/>
  <c r="J10" i="10" s="1"/>
  <c r="D8" i="5"/>
  <c r="D8" i="30" s="1"/>
  <c r="H10" i="10" s="1"/>
  <c r="K10" i="10" s="1"/>
  <c r="E8" i="5"/>
  <c r="E8" i="30" s="1"/>
  <c r="I10" i="10" s="1"/>
  <c r="L10" i="10" s="1"/>
  <c r="C9" i="5"/>
  <c r="C9" i="30" s="1"/>
  <c r="G11" i="10" s="1"/>
  <c r="J11" i="10" s="1"/>
  <c r="D9" i="5"/>
  <c r="D9" i="30" s="1"/>
  <c r="E9" i="5"/>
  <c r="E9" i="30" s="1"/>
  <c r="I11" i="10" s="1"/>
  <c r="L11" i="10" s="1"/>
  <c r="C10" i="5"/>
  <c r="C10" i="30" s="1"/>
  <c r="G12" i="10" s="1"/>
  <c r="J12" i="10" s="1"/>
  <c r="D10" i="5"/>
  <c r="D10" i="30" s="1"/>
  <c r="H12" i="10" s="1"/>
  <c r="K12" i="10" s="1"/>
  <c r="E10" i="5"/>
  <c r="E10" i="30" s="1"/>
  <c r="I12" i="10" s="1"/>
  <c r="L12" i="10" s="1"/>
  <c r="C11" i="5"/>
  <c r="C11" i="30" s="1"/>
  <c r="G13" i="10" s="1"/>
  <c r="J13" i="10" s="1"/>
  <c r="D11" i="5"/>
  <c r="D11" i="30" s="1"/>
  <c r="H13" i="10" s="1"/>
  <c r="K13" i="10" s="1"/>
  <c r="E11" i="5"/>
  <c r="E11" i="30" s="1"/>
  <c r="I13" i="10" s="1"/>
  <c r="L13" i="10" s="1"/>
  <c r="C12" i="5"/>
  <c r="C12" i="30" s="1"/>
  <c r="G14" i="10" s="1"/>
  <c r="J14" i="10" s="1"/>
  <c r="D12" i="5"/>
  <c r="D12" i="30" s="1"/>
  <c r="H14" i="10" s="1"/>
  <c r="K14" i="10" s="1"/>
  <c r="E12" i="5"/>
  <c r="E12" i="30" s="1"/>
  <c r="I14" i="10" s="1"/>
  <c r="L14" i="10" s="1"/>
  <c r="C13" i="5"/>
  <c r="C13" i="30" s="1"/>
  <c r="G15" i="10" s="1"/>
  <c r="J15" i="10" s="1"/>
  <c r="D13" i="5"/>
  <c r="D13" i="30" s="1"/>
  <c r="H15" i="10" s="1"/>
  <c r="K15" i="10" s="1"/>
  <c r="E13" i="5"/>
  <c r="E13" i="30" s="1"/>
  <c r="I15" i="10" s="1"/>
  <c r="L15" i="10" s="1"/>
  <c r="C14" i="5"/>
  <c r="C14" i="30" s="1"/>
  <c r="G16" i="10" s="1"/>
  <c r="J16" i="10" s="1"/>
  <c r="D14" i="5"/>
  <c r="D14" i="30" s="1"/>
  <c r="H16" i="10" s="1"/>
  <c r="K16" i="10" s="1"/>
  <c r="E14" i="5"/>
  <c r="E14" i="30" s="1"/>
  <c r="I16" i="10" s="1"/>
  <c r="L16" i="10" s="1"/>
  <c r="C15" i="5"/>
  <c r="C15" i="30" s="1"/>
  <c r="G17" i="10" s="1"/>
  <c r="J17" i="10" s="1"/>
  <c r="D15" i="5"/>
  <c r="D15" i="30" s="1"/>
  <c r="H17" i="10" s="1"/>
  <c r="K17" i="10" s="1"/>
  <c r="E15" i="5"/>
  <c r="E15" i="30" s="1"/>
  <c r="I17" i="10" s="1"/>
  <c r="L17" i="10" s="1"/>
  <c r="D4" i="5"/>
  <c r="D4" i="30" s="1"/>
  <c r="E4" i="5"/>
  <c r="E4" i="30" s="1"/>
  <c r="C4" i="5"/>
  <c r="DO40" i="5"/>
  <c r="DN40" i="5"/>
  <c r="DM40" i="5"/>
  <c r="DL40" i="5"/>
  <c r="DK40" i="5"/>
  <c r="DJ40" i="5"/>
  <c r="DI40" i="5"/>
  <c r="DH40" i="5"/>
  <c r="DG40" i="5"/>
  <c r="DF40" i="5"/>
  <c r="DE40" i="5"/>
  <c r="DD40" i="5"/>
  <c r="DC40" i="5"/>
  <c r="DB40" i="5"/>
  <c r="DA40" i="5"/>
  <c r="CZ40" i="5"/>
  <c r="CY40" i="5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BE40" i="5"/>
  <c r="BD40" i="5"/>
  <c r="BC40" i="5"/>
  <c r="BB40" i="5"/>
  <c r="BA40" i="5"/>
  <c r="AZ40" i="5"/>
  <c r="AY40" i="5"/>
  <c r="AX40" i="5"/>
  <c r="AW40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O4" i="30"/>
  <c r="BC6" i="10" s="1"/>
  <c r="E3" i="4"/>
  <c r="F40" i="8"/>
  <c r="C4" i="9"/>
  <c r="F4" i="30" s="1"/>
  <c r="S6" i="10" s="1"/>
  <c r="F40" i="9"/>
  <c r="G40" i="5"/>
  <c r="F40" i="5"/>
  <c r="I6" i="30"/>
  <c r="AE8" i="10" s="1"/>
  <c r="AH8" i="10" s="1"/>
  <c r="I14" i="30"/>
  <c r="AE16" i="10" s="1"/>
  <c r="AH16" i="10" s="1"/>
  <c r="R36" i="30" l="1"/>
  <c r="K38" i="30"/>
  <c r="T38" i="30" s="1"/>
  <c r="R34" i="30"/>
  <c r="T36" i="30"/>
  <c r="S37" i="30"/>
  <c r="S36" i="30"/>
  <c r="R38" i="30"/>
  <c r="S39" i="30"/>
  <c r="R39" i="30"/>
  <c r="S38" i="30"/>
  <c r="S34" i="30"/>
  <c r="R37" i="30"/>
  <c r="T34" i="30"/>
  <c r="T37" i="30"/>
  <c r="T35" i="30"/>
  <c r="T39" i="30"/>
  <c r="R35" i="30"/>
  <c r="S35" i="30"/>
  <c r="V32" i="1"/>
  <c r="T33" i="30"/>
  <c r="U33" i="1"/>
  <c r="BE32" i="10"/>
  <c r="BH32" i="10" s="1"/>
  <c r="S30" i="1" s="1"/>
  <c r="AG13" i="10"/>
  <c r="AJ13" i="10" s="1"/>
  <c r="M11" i="1" s="1"/>
  <c r="L6" i="1"/>
  <c r="AS32" i="10"/>
  <c r="AV32" i="10" s="1"/>
  <c r="P30" i="1" s="1"/>
  <c r="BC21" i="10"/>
  <c r="BF21" i="10" s="1"/>
  <c r="Q19" i="1" s="1"/>
  <c r="P6" i="1"/>
  <c r="U32" i="10"/>
  <c r="X32" i="10" s="1"/>
  <c r="J30" i="1" s="1"/>
  <c r="U31" i="1"/>
  <c r="M26" i="1"/>
  <c r="L23" i="1"/>
  <c r="BE8" i="10"/>
  <c r="BH8" i="10" s="1"/>
  <c r="S6" i="1" s="1"/>
  <c r="T27" i="10"/>
  <c r="W27" i="10" s="1"/>
  <c r="I25" i="1" s="1"/>
  <c r="AG30" i="10"/>
  <c r="AJ30" i="10" s="1"/>
  <c r="M28" i="1" s="1"/>
  <c r="BC13" i="10"/>
  <c r="BF13" i="10" s="1"/>
  <c r="Q11" i="1" s="1"/>
  <c r="AF14" i="10"/>
  <c r="AI14" i="10" s="1"/>
  <c r="L12" i="1" s="1"/>
  <c r="I19" i="10"/>
  <c r="L19" i="10" s="1"/>
  <c r="G17" i="1" s="1"/>
  <c r="AF9" i="10"/>
  <c r="AI9" i="10" s="1"/>
  <c r="L7" i="1" s="1"/>
  <c r="F12" i="1"/>
  <c r="U8" i="10"/>
  <c r="X8" i="10" s="1"/>
  <c r="J6" i="1" s="1"/>
  <c r="BE35" i="10"/>
  <c r="BH35" i="10" s="1"/>
  <c r="S33" i="1" s="1"/>
  <c r="V33" i="1" s="1"/>
  <c r="BE10" i="10"/>
  <c r="BH10" i="10" s="1"/>
  <c r="S8" i="1" s="1"/>
  <c r="AS11" i="10"/>
  <c r="AV11" i="10" s="1"/>
  <c r="P9" i="1" s="1"/>
  <c r="AR30" i="10"/>
  <c r="AU30" i="10" s="1"/>
  <c r="O28" i="1" s="1"/>
  <c r="U16" i="10"/>
  <c r="X16" i="10" s="1"/>
  <c r="J14" i="1" s="1"/>
  <c r="T11" i="10"/>
  <c r="W11" i="10" s="1"/>
  <c r="I9" i="1" s="1"/>
  <c r="AQ7" i="10"/>
  <c r="AT7" i="10" s="1"/>
  <c r="N5" i="1" s="1"/>
  <c r="AR15" i="10"/>
  <c r="AU15" i="10" s="1"/>
  <c r="O13" i="1" s="1"/>
  <c r="U24" i="10"/>
  <c r="X24" i="10" s="1"/>
  <c r="J22" i="1" s="1"/>
  <c r="T19" i="10"/>
  <c r="W19" i="10" s="1"/>
  <c r="I17" i="1" s="1"/>
  <c r="AF31" i="10"/>
  <c r="AI31" i="10" s="1"/>
  <c r="L29" i="1" s="1"/>
  <c r="AG20" i="10"/>
  <c r="AJ20" i="10" s="1"/>
  <c r="M18" i="1" s="1"/>
  <c r="L13" i="1"/>
  <c r="AQ30" i="10"/>
  <c r="AT30" i="10" s="1"/>
  <c r="N28" i="1" s="1"/>
  <c r="T32" i="1"/>
  <c r="H30" i="10"/>
  <c r="K30" i="10" s="1"/>
  <c r="F28" i="1" s="1"/>
  <c r="AF24" i="10"/>
  <c r="AI24" i="10" s="1"/>
  <c r="L22" i="1" s="1"/>
  <c r="AF17" i="10"/>
  <c r="AI17" i="10" s="1"/>
  <c r="L15" i="1" s="1"/>
  <c r="T16" i="10"/>
  <c r="W16" i="10" s="1"/>
  <c r="I14" i="1" s="1"/>
  <c r="T24" i="10"/>
  <c r="W24" i="10" s="1"/>
  <c r="I22" i="1" s="1"/>
  <c r="H17" i="1"/>
  <c r="AE31" i="10"/>
  <c r="AH31" i="10" s="1"/>
  <c r="K29" i="1" s="1"/>
  <c r="AG25" i="10"/>
  <c r="AJ25" i="10" s="1"/>
  <c r="M23" i="1" s="1"/>
  <c r="K13" i="1"/>
  <c r="AG9" i="10"/>
  <c r="AJ9" i="10" s="1"/>
  <c r="M7" i="1" s="1"/>
  <c r="AS28" i="10"/>
  <c r="AV28" i="10" s="1"/>
  <c r="P26" i="1" s="1"/>
  <c r="AR23" i="10"/>
  <c r="AU23" i="10" s="1"/>
  <c r="O21" i="1" s="1"/>
  <c r="S32" i="30"/>
  <c r="AR34" i="10"/>
  <c r="AU34" i="10" s="1"/>
  <c r="O32" i="1" s="1"/>
  <c r="U32" i="1" s="1"/>
  <c r="R31" i="30"/>
  <c r="AS23" i="10"/>
  <c r="AV23" i="10" s="1"/>
  <c r="P21" i="1" s="1"/>
  <c r="J13" i="1"/>
  <c r="F17" i="1"/>
  <c r="Q25" i="1"/>
  <c r="P25" i="1"/>
  <c r="O20" i="1"/>
  <c r="S18" i="1"/>
  <c r="BE26" i="10"/>
  <c r="BH26" i="10" s="1"/>
  <c r="S24" i="1" s="1"/>
  <c r="BD8" i="10"/>
  <c r="BG8" i="10" s="1"/>
  <c r="R6" i="1" s="1"/>
  <c r="R11" i="1"/>
  <c r="J25" i="1"/>
  <c r="I20" i="1"/>
  <c r="S31" i="30"/>
  <c r="AQ11" i="10"/>
  <c r="AT11" i="10" s="1"/>
  <c r="N9" i="1" s="1"/>
  <c r="I30" i="1"/>
  <c r="H25" i="1"/>
  <c r="O29" i="1"/>
  <c r="R27" i="1"/>
  <c r="T31" i="30"/>
  <c r="I33" i="10"/>
  <c r="L33" i="10" s="1"/>
  <c r="G31" i="1" s="1"/>
  <c r="V31" i="1" s="1"/>
  <c r="AF30" i="10"/>
  <c r="AI30" i="10" s="1"/>
  <c r="L28" i="1" s="1"/>
  <c r="K26" i="1"/>
  <c r="K10" i="1"/>
  <c r="P14" i="1"/>
  <c r="T32" i="30"/>
  <c r="I27" i="10"/>
  <c r="L27" i="10" s="1"/>
  <c r="G25" i="1" s="1"/>
  <c r="U28" i="10"/>
  <c r="X28" i="10" s="1"/>
  <c r="J26" i="1" s="1"/>
  <c r="U15" i="10"/>
  <c r="X15" i="10" s="1"/>
  <c r="L20" i="1"/>
  <c r="S14" i="1"/>
  <c r="P17" i="1"/>
  <c r="S16" i="1"/>
  <c r="R32" i="30"/>
  <c r="BC29" i="10"/>
  <c r="BF29" i="10" s="1"/>
  <c r="Q27" i="1" s="1"/>
  <c r="R22" i="1"/>
  <c r="H27" i="10"/>
  <c r="K27" i="10" s="1"/>
  <c r="F25" i="1" s="1"/>
  <c r="N12" i="1"/>
  <c r="L14" i="1"/>
  <c r="S33" i="30"/>
  <c r="AS24" i="10"/>
  <c r="AV24" i="10" s="1"/>
  <c r="P22" i="1" s="1"/>
  <c r="Q17" i="1"/>
  <c r="Q9" i="1"/>
  <c r="N17" i="1"/>
  <c r="H9" i="10"/>
  <c r="K9" i="10" s="1"/>
  <c r="F7" i="1" s="1"/>
  <c r="T8" i="10"/>
  <c r="W8" i="10" s="1"/>
  <c r="I6" i="1" s="1"/>
  <c r="AF32" i="10"/>
  <c r="AI32" i="10" s="1"/>
  <c r="L30" i="1" s="1"/>
  <c r="AG22" i="10"/>
  <c r="AJ22" i="10" s="1"/>
  <c r="M20" i="1" s="1"/>
  <c r="AS20" i="10"/>
  <c r="AV20" i="10" s="1"/>
  <c r="P18" i="1" s="1"/>
  <c r="N21" i="1"/>
  <c r="AQ27" i="10"/>
  <c r="AT27" i="10" s="1"/>
  <c r="N25" i="1" s="1"/>
  <c r="AQ15" i="10"/>
  <c r="AT15" i="10" s="1"/>
  <c r="N13" i="1" s="1"/>
  <c r="F16" i="1"/>
  <c r="H11" i="10"/>
  <c r="K11" i="10" s="1"/>
  <c r="F9" i="1" s="1"/>
  <c r="I28" i="1"/>
  <c r="J21" i="1"/>
  <c r="T14" i="10"/>
  <c r="W14" i="10" s="1"/>
  <c r="I12" i="1" s="1"/>
  <c r="S22" i="10"/>
  <c r="V22" i="10" s="1"/>
  <c r="H20" i="1" s="1"/>
  <c r="H7" i="1"/>
  <c r="H12" i="1"/>
  <c r="H28" i="1"/>
  <c r="S18" i="10"/>
  <c r="V18" i="10" s="1"/>
  <c r="H16" i="1" s="1"/>
  <c r="S11" i="10"/>
  <c r="V11" i="10" s="1"/>
  <c r="H9" i="1" s="1"/>
  <c r="G7" i="1"/>
  <c r="R33" i="30"/>
  <c r="G35" i="10"/>
  <c r="J35" i="10" s="1"/>
  <c r="E33" i="1" s="1"/>
  <c r="T33" i="1" s="1"/>
  <c r="E7" i="1"/>
  <c r="E12" i="1"/>
  <c r="AQ33" i="10"/>
  <c r="AT33" i="10" s="1"/>
  <c r="N31" i="1" s="1"/>
  <c r="T31" i="1" s="1"/>
  <c r="R17" i="1"/>
  <c r="Q6" i="1"/>
  <c r="S5" i="1"/>
  <c r="R30" i="1"/>
  <c r="R28" i="1"/>
  <c r="Q22" i="1"/>
  <c r="S28" i="1"/>
  <c r="S15" i="1"/>
  <c r="S10" i="1"/>
  <c r="R5" i="1"/>
  <c r="Q28" i="1"/>
  <c r="S21" i="1"/>
  <c r="R16" i="1"/>
  <c r="R15" i="1"/>
  <c r="R10" i="1"/>
  <c r="Q5" i="1"/>
  <c r="R21" i="1"/>
  <c r="Q16" i="1"/>
  <c r="Q15" i="1"/>
  <c r="R29" i="1"/>
  <c r="Q21" i="1"/>
  <c r="S11" i="1"/>
  <c r="S20" i="1"/>
  <c r="S9" i="1"/>
  <c r="R14" i="1"/>
  <c r="R9" i="1"/>
  <c r="R20" i="1"/>
  <c r="Q10" i="1"/>
  <c r="Q26" i="1"/>
  <c r="Q14" i="1"/>
  <c r="Q20" i="1"/>
  <c r="S13" i="1"/>
  <c r="R13" i="1"/>
  <c r="R8" i="1"/>
  <c r="Q13" i="1"/>
  <c r="Q8" i="1"/>
  <c r="R24" i="1"/>
  <c r="S12" i="1"/>
  <c r="R7" i="1"/>
  <c r="S23" i="1"/>
  <c r="R18" i="1"/>
  <c r="R12" i="1"/>
  <c r="Q18" i="1"/>
  <c r="S7" i="1"/>
  <c r="Q24" i="1"/>
  <c r="Q7" i="1"/>
  <c r="R23" i="1"/>
  <c r="Q12" i="1"/>
  <c r="Q23" i="1"/>
  <c r="S17" i="1"/>
  <c r="O8" i="1"/>
  <c r="O30" i="1"/>
  <c r="P24" i="1"/>
  <c r="N30" i="1"/>
  <c r="O19" i="1"/>
  <c r="O9" i="1"/>
  <c r="O5" i="1"/>
  <c r="P29" i="1"/>
  <c r="O24" i="1"/>
  <c r="N19" i="1"/>
  <c r="N24" i="1"/>
  <c r="P23" i="1"/>
  <c r="O18" i="1"/>
  <c r="N10" i="1"/>
  <c r="P15" i="1"/>
  <c r="O10" i="1"/>
  <c r="N29" i="1"/>
  <c r="N11" i="1"/>
  <c r="P13" i="1"/>
  <c r="P27" i="1"/>
  <c r="O23" i="1"/>
  <c r="N18" i="1"/>
  <c r="P16" i="1"/>
  <c r="P19" i="1"/>
  <c r="O11" i="1"/>
  <c r="P12" i="1"/>
  <c r="O27" i="1"/>
  <c r="N23" i="1"/>
  <c r="P11" i="1"/>
  <c r="O17" i="1"/>
  <c r="P8" i="1"/>
  <c r="O12" i="1"/>
  <c r="P10" i="1"/>
  <c r="P28" i="1"/>
  <c r="O22" i="1"/>
  <c r="N22" i="1"/>
  <c r="N14" i="1"/>
  <c r="P7" i="1"/>
  <c r="N16" i="1"/>
  <c r="O16" i="1"/>
  <c r="N6" i="1"/>
  <c r="O14" i="1"/>
  <c r="N7" i="1"/>
  <c r="N15" i="1"/>
  <c r="P5" i="1"/>
  <c r="N26" i="1"/>
  <c r="P20" i="1"/>
  <c r="O6" i="1"/>
  <c r="O26" i="1"/>
  <c r="O7" i="1"/>
  <c r="O15" i="1"/>
  <c r="N8" i="1"/>
  <c r="O25" i="1"/>
  <c r="N20" i="1"/>
  <c r="K12" i="1"/>
  <c r="M5" i="1"/>
  <c r="L5" i="1"/>
  <c r="M25" i="1"/>
  <c r="K15" i="1"/>
  <c r="M9" i="1"/>
  <c r="M30" i="1"/>
  <c r="L25" i="1"/>
  <c r="K20" i="1"/>
  <c r="M14" i="1"/>
  <c r="L9" i="1"/>
  <c r="M6" i="1"/>
  <c r="K25" i="1"/>
  <c r="K9" i="1"/>
  <c r="K30" i="1"/>
  <c r="M24" i="1"/>
  <c r="L19" i="1"/>
  <c r="M8" i="1"/>
  <c r="M19" i="1"/>
  <c r="M29" i="1"/>
  <c r="L24" i="1"/>
  <c r="K19" i="1"/>
  <c r="L8" i="1"/>
  <c r="K24" i="1"/>
  <c r="M13" i="1"/>
  <c r="M27" i="1"/>
  <c r="K18" i="1"/>
  <c r="M12" i="1"/>
  <c r="K8" i="1"/>
  <c r="L18" i="1"/>
  <c r="K14" i="1"/>
  <c r="K6" i="1"/>
  <c r="K23" i="1"/>
  <c r="M17" i="1"/>
  <c r="K7" i="1"/>
  <c r="K27" i="1"/>
  <c r="K22" i="1"/>
  <c r="M16" i="1"/>
  <c r="L11" i="1"/>
  <c r="M10" i="1"/>
  <c r="K28" i="1"/>
  <c r="M21" i="1"/>
  <c r="L16" i="1"/>
  <c r="K11" i="1"/>
  <c r="M22" i="1"/>
  <c r="K17" i="1"/>
  <c r="L21" i="1"/>
  <c r="K16" i="1"/>
  <c r="K5" i="1"/>
  <c r="L26" i="1"/>
  <c r="K21" i="1"/>
  <c r="M15" i="1"/>
  <c r="L10" i="1"/>
  <c r="H6" i="1"/>
  <c r="H30" i="1"/>
  <c r="J24" i="1"/>
  <c r="I19" i="1"/>
  <c r="J5" i="1"/>
  <c r="H19" i="1"/>
  <c r="J18" i="1"/>
  <c r="J11" i="1"/>
  <c r="I24" i="1"/>
  <c r="H24" i="1"/>
  <c r="J15" i="1"/>
  <c r="I10" i="1"/>
  <c r="H5" i="1"/>
  <c r="H29" i="1"/>
  <c r="J23" i="1"/>
  <c r="I18" i="1"/>
  <c r="J19" i="1"/>
  <c r="I11" i="1"/>
  <c r="H11" i="1"/>
  <c r="J29" i="1"/>
  <c r="I5" i="1"/>
  <c r="I29" i="1"/>
  <c r="I15" i="1"/>
  <c r="H10" i="1"/>
  <c r="J27" i="1"/>
  <c r="I23" i="1"/>
  <c r="H18" i="1"/>
  <c r="J10" i="1"/>
  <c r="H15" i="1"/>
  <c r="J9" i="1"/>
  <c r="I27" i="1"/>
  <c r="H23" i="1"/>
  <c r="J17" i="1"/>
  <c r="H27" i="1"/>
  <c r="J28" i="1"/>
  <c r="J16" i="1"/>
  <c r="I8" i="1"/>
  <c r="J8" i="1"/>
  <c r="H22" i="1"/>
  <c r="I16" i="1"/>
  <c r="I13" i="1"/>
  <c r="H8" i="1"/>
  <c r="I21" i="1"/>
  <c r="H13" i="1"/>
  <c r="J7" i="1"/>
  <c r="I26" i="1"/>
  <c r="H21" i="1"/>
  <c r="J12" i="1"/>
  <c r="I7" i="1"/>
  <c r="H26" i="1"/>
  <c r="J20" i="1"/>
  <c r="G16" i="1"/>
  <c r="F26" i="1"/>
  <c r="E21" i="1"/>
  <c r="G11" i="1"/>
  <c r="F6" i="1"/>
  <c r="E26" i="1"/>
  <c r="E22" i="1"/>
  <c r="G30" i="1"/>
  <c r="F30" i="1"/>
  <c r="G10" i="1"/>
  <c r="F5" i="1"/>
  <c r="E30" i="1"/>
  <c r="E25" i="1"/>
  <c r="G19" i="1"/>
  <c r="G6" i="1"/>
  <c r="F10" i="1"/>
  <c r="E5" i="1"/>
  <c r="G29" i="1"/>
  <c r="G24" i="1"/>
  <c r="F19" i="1"/>
  <c r="E6" i="1"/>
  <c r="E11" i="1"/>
  <c r="F15" i="1"/>
  <c r="E10" i="1"/>
  <c r="F29" i="1"/>
  <c r="F24" i="1"/>
  <c r="E19" i="1"/>
  <c r="E15" i="1"/>
  <c r="E29" i="1"/>
  <c r="G18" i="1"/>
  <c r="E13" i="1"/>
  <c r="G21" i="1"/>
  <c r="G26" i="1"/>
  <c r="F11" i="1"/>
  <c r="G14" i="1"/>
  <c r="G27" i="1"/>
  <c r="G23" i="1"/>
  <c r="E9" i="1"/>
  <c r="F27" i="1"/>
  <c r="E14" i="1"/>
  <c r="G8" i="1"/>
  <c r="E27" i="1"/>
  <c r="G13" i="1"/>
  <c r="G22" i="1"/>
  <c r="F13" i="1"/>
  <c r="E17" i="1"/>
  <c r="J114" i="21"/>
  <c r="D114" i="21"/>
  <c r="R16" i="30"/>
  <c r="S20" i="30"/>
  <c r="R27" i="30"/>
  <c r="S18" i="30"/>
  <c r="S21" i="30"/>
  <c r="T20" i="30"/>
  <c r="G28" i="1"/>
  <c r="T28" i="30"/>
  <c r="F22" i="1"/>
  <c r="S22" i="30"/>
  <c r="R18" i="30"/>
  <c r="E18" i="1"/>
  <c r="R24" i="30"/>
  <c r="E24" i="1"/>
  <c r="S17" i="30"/>
  <c r="S27" i="30"/>
  <c r="R30" i="30"/>
  <c r="R29" i="30"/>
  <c r="T26" i="30"/>
  <c r="R22" i="30"/>
  <c r="S16" i="30"/>
  <c r="F21" i="1"/>
  <c r="Q29" i="1"/>
  <c r="S26" i="1"/>
  <c r="S26" i="30"/>
  <c r="T22" i="30"/>
  <c r="T16" i="30"/>
  <c r="R26" i="1"/>
  <c r="N27" i="1"/>
  <c r="T25" i="30"/>
  <c r="T19" i="30"/>
  <c r="F18" i="1"/>
  <c r="S25" i="30"/>
  <c r="T21" i="30"/>
  <c r="S19" i="30"/>
  <c r="S25" i="1"/>
  <c r="S22" i="1"/>
  <c r="T24" i="30"/>
  <c r="T18" i="30"/>
  <c r="R25" i="1"/>
  <c r="S24" i="30"/>
  <c r="G20" i="1"/>
  <c r="S19" i="1"/>
  <c r="F20" i="1"/>
  <c r="L27" i="1"/>
  <c r="R19" i="1"/>
  <c r="L17" i="1"/>
  <c r="Q30" i="1"/>
  <c r="S30" i="30"/>
  <c r="S28" i="30"/>
  <c r="T29" i="30"/>
  <c r="T27" i="30"/>
  <c r="S29" i="1"/>
  <c r="S27" i="1"/>
  <c r="R26" i="30"/>
  <c r="R25" i="30"/>
  <c r="E20" i="1"/>
  <c r="R20" i="30"/>
  <c r="E16" i="1"/>
  <c r="T23" i="30"/>
  <c r="F23" i="1"/>
  <c r="S23" i="30"/>
  <c r="R17" i="30"/>
  <c r="R28" i="30"/>
  <c r="E28" i="1"/>
  <c r="R23" i="30"/>
  <c r="E23" i="1"/>
  <c r="T30" i="30"/>
  <c r="R21" i="30"/>
  <c r="R19" i="30"/>
  <c r="T17" i="30"/>
  <c r="S29" i="30"/>
  <c r="H14" i="1"/>
  <c r="R14" i="30"/>
  <c r="S14" i="30"/>
  <c r="T8" i="30"/>
  <c r="T4" i="30"/>
  <c r="T14" i="30"/>
  <c r="T9" i="30"/>
  <c r="T13" i="30"/>
  <c r="G15" i="1"/>
  <c r="T15" i="30"/>
  <c r="T5" i="30"/>
  <c r="G5" i="1"/>
  <c r="S8" i="30"/>
  <c r="F8" i="1"/>
  <c r="G12" i="1"/>
  <c r="T12" i="30"/>
  <c r="R5" i="30"/>
  <c r="G9" i="1"/>
  <c r="S5" i="30"/>
  <c r="S12" i="30"/>
  <c r="I6" i="10"/>
  <c r="L6" i="10" s="1"/>
  <c r="G4" i="1" s="1"/>
  <c r="V4" i="1" s="1"/>
  <c r="F14" i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E8" i="1"/>
  <c r="R7" i="30"/>
  <c r="R6" i="30"/>
  <c r="D45" i="21"/>
  <c r="U8" i="1" l="1"/>
  <c r="U28" i="1"/>
  <c r="U30" i="1"/>
  <c r="U11" i="1"/>
  <c r="V26" i="1"/>
  <c r="U29" i="1"/>
  <c r="V30" i="1"/>
  <c r="V24" i="1"/>
  <c r="V25" i="1"/>
  <c r="U19" i="1"/>
  <c r="V16" i="1"/>
  <c r="U25" i="1"/>
  <c r="U6" i="1"/>
  <c r="V14" i="1"/>
  <c r="U13" i="1"/>
  <c r="U22" i="1"/>
  <c r="V23" i="1"/>
  <c r="T12" i="1"/>
  <c r="T11" i="1"/>
  <c r="T19" i="1"/>
  <c r="V28" i="1"/>
  <c r="T17" i="1"/>
  <c r="T9" i="1"/>
  <c r="U7" i="1"/>
  <c r="V17" i="1"/>
  <c r="V7" i="1"/>
  <c r="U16" i="1"/>
  <c r="U5" i="1"/>
  <c r="U12" i="1"/>
  <c r="T10" i="1"/>
  <c r="K30" i="4" s="1"/>
  <c r="U20" i="1"/>
  <c r="V11" i="1"/>
  <c r="U14" i="1"/>
  <c r="T28" i="1"/>
  <c r="T5" i="1"/>
  <c r="T7" i="1"/>
  <c r="V20" i="1"/>
  <c r="V5" i="1"/>
  <c r="T6" i="1"/>
  <c r="U15" i="1"/>
  <c r="T22" i="1"/>
  <c r="T26" i="1"/>
  <c r="U17" i="1"/>
  <c r="V15" i="1"/>
  <c r="V8" i="1"/>
  <c r="U9" i="1"/>
  <c r="V21" i="1"/>
  <c r="T8" i="1"/>
  <c r="T18" i="1"/>
  <c r="T25" i="1"/>
  <c r="T16" i="1"/>
  <c r="T15" i="1"/>
  <c r="T21" i="1"/>
  <c r="V6" i="1"/>
  <c r="U21" i="1"/>
  <c r="V13" i="1"/>
  <c r="T20" i="1"/>
  <c r="T30" i="1"/>
  <c r="U24" i="1"/>
  <c r="V10" i="1"/>
  <c r="T23" i="1"/>
  <c r="V12" i="1"/>
  <c r="U26" i="1"/>
  <c r="U23" i="1"/>
  <c r="V27" i="1"/>
  <c r="U10" i="1"/>
  <c r="J30" i="4" s="1"/>
  <c r="T24" i="1"/>
  <c r="T13" i="1"/>
  <c r="U18" i="1"/>
  <c r="V9" i="1"/>
  <c r="V18" i="1"/>
  <c r="U27" i="1"/>
  <c r="T27" i="1"/>
  <c r="V19" i="1"/>
  <c r="T14" i="1"/>
  <c r="V29" i="1"/>
  <c r="V22" i="1"/>
  <c r="T29" i="1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<sst xmlns="http://schemas.openxmlformats.org/spreadsheetml/2006/main" count="2290" uniqueCount="495">
  <si>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</si>
  <si>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</si>
  <si>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</si>
  <si>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</si>
  <si>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</si>
  <si>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</si>
  <si>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</si>
  <si>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</si>
  <si>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</si>
  <si>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</si>
  <si>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</si>
  <si>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</si>
  <si>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</si>
  <si>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</si>
  <si>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</si>
  <si>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</si>
  <si>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</si>
  <si>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</si>
  <si>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</si>
  <si>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</si>
  <si>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</si>
  <si>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</si>
  <si>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</si>
  <si>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</si>
  <si>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</si>
  <si>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</si>
  <si>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</si>
  <si>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</si>
  <si>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</si>
  <si>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</si>
  <si>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</si>
  <si>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</si>
  <si>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</si>
  <si>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</si>
  <si>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</si>
  <si>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</si>
  <si>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</si>
  <si>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</si>
  <si>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</si>
  <si>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</si>
  <si>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</si>
  <si>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</si>
  <si>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</si>
  <si>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</si>
  <si>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</si>
  <si>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</si>
  <si>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</si>
  <si>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</si>
  <si>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</si>
  <si>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</si>
  <si>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</si>
  <si>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</si>
  <si>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</si>
  <si>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</si>
  <si>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</si>
  <si>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</si>
  <si>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</si>
  <si>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</si>
  <si>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</si>
  <si>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</si>
  <si>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</si>
  <si>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</si>
  <si>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</si>
  <si>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</si>
  <si>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</si>
  <si>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</si>
  <si>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</si>
  <si>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</si>
  <si>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</si>
  <si>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</si>
  <si>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</si>
  <si>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</si>
  <si>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</si>
  <si>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</si>
  <si>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</si>
  <si>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</si>
  <si>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</si>
  <si>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</si>
  <si>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</si>
  <si>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</si>
  <si>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</si>
  <si>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</si>
  <si>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</si>
  <si>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</si>
  <si>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</si>
  <si>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</si>
  <si>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</si>
  <si>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</si>
  <si>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</si>
  <si>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</si>
  <si>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</si>
  <si>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</si>
  <si>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</si>
  <si>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</si>
  <si>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</si>
  <si>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</si>
  <si>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</si>
  <si>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</si>
  <si>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</si>
  <si>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</si>
  <si>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</si>
  <si>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</si>
  <si>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</si>
  <si>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</si>
  <si>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</si>
  <si>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</si>
  <si>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</si>
  <si>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</si>
  <si>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</si>
  <si>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</si>
  <si>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</si>
  <si>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</si>
  <si>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</si>
  <si>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</si>
  <si>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</si>
  <si>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</si>
  <si>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</si>
  <si>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</si>
  <si>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</si>
  <si>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</si>
  <si>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</si>
  <si>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</si>
  <si>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</si>
  <si>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</si>
  <si>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</si>
  <si>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</si>
  <si>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</si>
  <si>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</si>
  <si>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</si>
  <si>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</si>
  <si>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</si>
  <si>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</si>
  <si>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</si>
  <si>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</si>
  <si>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</si>
  <si>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</si>
  <si>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</si>
  <si>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</si>
  <si>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</si>
  <si>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</si>
  <si>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</si>
  <si>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</si>
  <si>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</si>
  <si>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</si>
  <si>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</si>
  <si>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</si>
  <si>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</si>
  <si>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</si>
  <si>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</si>
  <si>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</si>
  <si>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</si>
  <si>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</si>
  <si>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</si>
  <si>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</si>
  <si>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</si>
  <si>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</si>
  <si>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</si>
  <si>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</si>
  <si>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</si>
  <si>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</si>
  <si>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</si>
  <si>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</si>
  <si>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</si>
  <si>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</si>
  <si>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</si>
  <si>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</si>
  <si>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</si>
  <si>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</si>
  <si>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</si>
  <si>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</si>
  <si>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</si>
  <si>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</si>
  <si>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</si>
  <si>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</si>
  <si>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</si>
  <si>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</si>
  <si>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</si>
  <si>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</si>
  <si>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</si>
  <si>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</si>
  <si>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</si>
  <si>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</si>
  <si>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</si>
  <si>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</si>
  <si>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</si>
  <si>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</si>
  <si>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</si>
  <si>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</si>
  <si>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</si>
  <si>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</si>
  <si>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</si>
  <si>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</si>
  <si>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</si>
  <si>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</si>
  <si>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</si>
  <si>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</si>
  <si>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</si>
  <si>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</si>
  <si>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</si>
  <si>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</si>
  <si>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</si>
  <si>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</si>
  <si>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</si>
  <si>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</si>
  <si>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</si>
  <si>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</si>
  <si>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</si>
  <si>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</si>
  <si>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</si>
  <si>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</si>
  <si>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</si>
  <si>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</si>
  <si>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</si>
  <si>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</si>
  <si>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</si>
  <si>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</si>
  <si>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</si>
  <si>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</si>
  <si>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</si>
  <si>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</si>
  <si>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</si>
  <si>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</si>
  <si>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</si>
  <si>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</si>
  <si>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</si>
  <si>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</si>
  <si>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</si>
  <si>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</si>
  <si>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</si>
  <si>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</si>
  <si>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</si>
  <si>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</si>
  <si>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</si>
  <si>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</si>
  <si>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</si>
  <si>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</si>
  <si>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</si>
  <si>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</si>
  <si>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</si>
  <si>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</si>
  <si>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</si>
  <si>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</si>
  <si>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</si>
  <si>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</si>
  <si>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</si>
  <si>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</si>
  <si>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</si>
  <si>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</si>
  <si>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</si>
  <si>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</si>
  <si>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</si>
  <si>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</si>
  <si>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</si>
  <si>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</si>
  <si>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</si>
  <si>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</si>
  <si>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</si>
  <si>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</si>
  <si>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</si>
  <si>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</si>
  <si>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</si>
  <si>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</si>
  <si>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</si>
  <si>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</si>
  <si>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</si>
  <si>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</si>
  <si>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</si>
  <si>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</si>
  <si>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</si>
  <si>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</si>
  <si>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</si>
  <si>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</si>
  <si>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</si>
  <si>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</si>
  <si>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</si>
  <si>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</si>
  <si>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</si>
  <si>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</si>
  <si>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</si>
  <si>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</si>
  <si>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</si>
  <si>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</si>
  <si>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</si>
  <si>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</si>
  <si>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</si>
  <si>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</si>
  <si>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</si>
  <si>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</si>
  <si>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</si>
  <si>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</si>
  <si>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</si>
  <si>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</si>
  <si>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</si>
  <si>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</si>
  <si>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</si>
  <si>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</si>
  <si>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</si>
  <si>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</si>
  <si>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</si>
  <si>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</si>
  <si>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</si>
  <si>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</si>
  <si>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</si>
  <si>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</si>
  <si>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</si>
  <si>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</si>
  <si>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</si>
  <si>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</si>
  <si>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</si>
  <si>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</si>
  <si>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</si>
  <si>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</si>
  <si>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</si>
  <si>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</si>
  <si>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</si>
  <si>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</si>
  <si>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</si>
  <si>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</si>
  <si>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</si>
  <si>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</si>
  <si>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</si>
  <si>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</si>
  <si>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</si>
  <si>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</si>
  <si>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</si>
  <si>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</si>
  <si>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</si>
  <si>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</si>
  <si>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</si>
  <si>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</si>
  <si>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</si>
  <si>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</si>
  <si>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</si>
  <si>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</si>
  <si>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</si>
  <si>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</si>
  <si>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</si>
  <si>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</si>
  <si>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</si>
  <si>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</si>
  <si>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</si>
  <si>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</si>
  <si>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</si>
  <si>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</si>
  <si>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</si>
  <si>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</si>
  <si>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</si>
  <si>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</si>
  <si>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</si>
  <si>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</si>
  <si>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</si>
  <si>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</si>
  <si>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</si>
  <si>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</si>
  <si>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</si>
  <si>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</si>
  <si>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</si>
  <si>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</si>
  <si>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</si>
  <si>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</si>
  <si>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</si>
  <si>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</si>
  <si>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</si>
  <si>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</si>
  <si>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</si>
  <si>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</si>
  <si>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</si>
  <si>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</si>
  <si>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</si>
  <si>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</si>
  <si>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</si>
  <si>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</si>
  <si>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</si>
  <si>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</si>
  <si>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</si>
  <si>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</si>
  <si>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</si>
  <si>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</si>
  <si>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</si>
  <si>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</si>
  <si>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</si>
  <si>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</si>
  <si>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</si>
  <si>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</si>
  <si>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</si>
  <si>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</si>
  <si>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</si>
  <si>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</si>
  <si>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</si>
  <si>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</si>
  <si>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</si>
  <si>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</si>
  <si>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</si>
  <si>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</si>
  <si>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</si>
  <si>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</si>
  <si>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</si>
  <si>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</si>
  <si>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</si>
  <si>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</si>
  <si>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</si>
  <si>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</si>
  <si>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</si>
  <si>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</si>
  <si>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</si>
  <si>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</si>
  <si>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</si>
  <si>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</si>
  <si>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</si>
  <si>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</si>
  <si>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</si>
  <si>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</si>
  <si>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</si>
  <si>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</si>
  <si>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</si>
  <si>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</si>
  <si>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</si>
  <si>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</si>
  <si>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</si>
  <si>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</si>
  <si>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</si>
  <si>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</si>
  <si>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</si>
  <si>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</si>
  <si>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</si>
  <si>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</si>
  <si>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</si>
  <si>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</si>
  <si>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</si>
  <si>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</si>
  <si>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</si>
  <si>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KONSA Ezri</t>
  </si>
  <si>
    <t>Ipswitch Town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</si>
  <si>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</si>
  <si>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</si>
  <si>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</si>
  <si>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</si>
  <si>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</si>
  <si>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</si>
  <si>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</si>
  <si>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</si>
  <si>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</si>
  <si>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</si>
  <si>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</si>
  <si>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</si>
  <si>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</si>
  <si>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</si>
  <si>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</si>
  <si>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</si>
  <si>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Odegaard</t>
  </si>
  <si>
    <t>Sub</t>
  </si>
  <si>
    <t>Subbed</t>
  </si>
  <si>
    <t>Konsa</t>
  </si>
  <si>
    <t>Goal/Assist</t>
  </si>
  <si>
    <t>−3</t>
  </si>
  <si>
    <t>SSC Napoli</t>
  </si>
  <si>
    <t>Bruno</t>
  </si>
  <si>
    <t>Lille</t>
  </si>
  <si>
    <t>Bayern</t>
  </si>
  <si>
    <t>Slavia</t>
  </si>
  <si>
    <t>BVB</t>
  </si>
  <si>
    <t>Real</t>
  </si>
  <si>
    <t>Betis</t>
  </si>
  <si>
    <t>Sabah</t>
  </si>
  <si>
    <t>JULIENNE Theo</t>
  </si>
  <si>
    <t>Gyokeres</t>
  </si>
  <si>
    <t>−4</t>
  </si>
  <si>
    <t>Havertz</t>
  </si>
  <si>
    <t>G</t>
  </si>
  <si>
    <t>Eze</t>
  </si>
  <si>
    <t>Lewis-Skelly</t>
  </si>
  <si>
    <t>−8</t>
  </si>
  <si>
    <t>27.10.2026</t>
  </si>
  <si>
    <t>Fleetwood</t>
  </si>
  <si>
    <t>Highbury Stadium (A)</t>
  </si>
  <si>
    <t>−2</t>
  </si>
  <si>
    <t>−1</t>
  </si>
  <si>
    <t>−10</t>
  </si>
  <si>
    <t>−9</t>
  </si>
  <si>
    <t>White</t>
  </si>
  <si>
    <t>Zubimendi</t>
  </si>
  <si>
    <t>Dowman</t>
  </si>
  <si>
    <t>Fleedwood</t>
  </si>
  <si>
    <t>O'NEILL Ceadach</t>
  </si>
  <si>
    <t>NIR</t>
  </si>
  <si>
    <t>1-1 (5-3 pen)</t>
  </si>
  <si>
    <t>Anfield Raod (A)</t>
  </si>
  <si>
    <t>01.11.2026</t>
  </si>
  <si>
    <t>Meslier</t>
  </si>
  <si>
    <t>Hincapie</t>
  </si>
  <si>
    <t>Salmon</t>
  </si>
  <si>
    <t>Mosquera</t>
  </si>
  <si>
    <t>Timber</t>
  </si>
  <si>
    <t>O'Neill</t>
  </si>
  <si>
    <t>Red 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</si>
</sst>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9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1" xfId="0" applyBorder="1"/>
    <xf numFmtId="10" fontId="0" fillId="0" borderId="61" xfId="0" applyNumberFormat="1" applyBorder="1"/>
    <xf numFmtId="0" fontId="1" fillId="2" borderId="62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16" fontId="0" fillId="0" borderId="0" xfId="0" quotePrefix="1" applyNumberFormat="1"/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0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O'NEILL Ceadach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12</c:v>
                </c:pt>
                <c:pt idx="1">
                  <c:v>0</c:v>
                </c:pt>
                <c:pt idx="2">
                  <c:v>4</c:v>
                </c:pt>
                <c:pt idx="3">
                  <c:v>11</c:v>
                </c:pt>
                <c:pt idx="4">
                  <c:v>6</c:v>
                </c:pt>
                <c:pt idx="5">
                  <c:v>13</c:v>
                </c:pt>
                <c:pt idx="6">
                  <c:v>11</c:v>
                </c:pt>
                <c:pt idx="7">
                  <c:v>14</c:v>
                </c:pt>
                <c:pt idx="8">
                  <c:v>12</c:v>
                </c:pt>
                <c:pt idx="9">
                  <c:v>7</c:v>
                </c:pt>
                <c:pt idx="10">
                  <c:v>1</c:v>
                </c:pt>
                <c:pt idx="11">
                  <c:v>11</c:v>
                </c:pt>
                <c:pt idx="12">
                  <c:v>12</c:v>
                </c:pt>
                <c:pt idx="13">
                  <c:v>8</c:v>
                </c:pt>
                <c:pt idx="14">
                  <c:v>10</c:v>
                </c:pt>
                <c:pt idx="15">
                  <c:v>0</c:v>
                </c:pt>
                <c:pt idx="16">
                  <c:v>12</c:v>
                </c:pt>
                <c:pt idx="17">
                  <c:v>13</c:v>
                </c:pt>
                <c:pt idx="18">
                  <c:v>1</c:v>
                </c:pt>
                <c:pt idx="19">
                  <c:v>10</c:v>
                </c:pt>
                <c:pt idx="20">
                  <c:v>0</c:v>
                </c:pt>
                <c:pt idx="21">
                  <c:v>10</c:v>
                </c:pt>
                <c:pt idx="22">
                  <c:v>12</c:v>
                </c:pt>
                <c:pt idx="23">
                  <c:v>0</c:v>
                </c:pt>
                <c:pt idx="24">
                  <c:v>12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11</c:v>
                </c:pt>
                <c:pt idx="30">
                  <c:v>1</c:v>
                </c:pt>
                <c:pt idx="31">
                  <c:v>0</c:v>
                </c:pt>
                <c:pt idx="3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O'NEILL Ceadach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6B4F64B-B4B8-4B2D-80F5-580F5A4395A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B7C9AE1-2F4F-46C1-B2C5-1915B164D1B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E80DB3B-23D6-4F1C-A162-540BAAD28B9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523BC15-6D98-44FE-916A-B67EE61E82F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61CAA2E-8F6E-450A-BC26-E291FCA5FFE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293BE68-31B5-4438-8CA9-F53C86C8353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1BD7299-6D02-4BB5-9E3F-1A3FD285112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904B558-360E-4D7E-99A7-E3388C76B0B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481FDFDA-8AFD-416F-95FD-C8B9163A1DF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75A7D73-2F7D-45DD-95B7-20B11318755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636CA62-68AE-40BB-888A-7B15359E2FE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B7CDF04-B7A4-428A-9D9C-C49C8DED9D8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A50DE4-39CC-4553-BE5C-1E19D5DF9F28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F270A57E-52DB-4D61-8936-70D385F4CE0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7BDF74A-2E2E-46E4-BFC8-7B4C7C40A51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5B0F113-426B-415A-9DA8-DF35B8047CD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56AC4DE-4AAA-4B49-8784-70D594E7558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201</c:v>
                </c:pt>
                <c:pt idx="1">
                  <c:v>45</c:v>
                </c:pt>
                <c:pt idx="2">
                  <c:v>274</c:v>
                </c:pt>
                <c:pt idx="3">
                  <c:v>323</c:v>
                </c:pt>
                <c:pt idx="4">
                  <c:v>248</c:v>
                </c:pt>
                <c:pt idx="5">
                  <c:v>64</c:v>
                </c:pt>
                <c:pt idx="6">
                  <c:v>102</c:v>
                </c:pt>
                <c:pt idx="7">
                  <c:v>13</c:v>
                </c:pt>
                <c:pt idx="8">
                  <c:v>66</c:v>
                </c:pt>
                <c:pt idx="9">
                  <c:v>12</c:v>
                </c:pt>
                <c:pt idx="10">
                  <c:v>8</c:v>
                </c:pt>
                <c:pt idx="11">
                  <c:v>52</c:v>
                </c:pt>
                <c:pt idx="12">
                  <c:v>51</c:v>
                </c:pt>
                <c:pt idx="13">
                  <c:v>90</c:v>
                </c:pt>
                <c:pt idx="14">
                  <c:v>124</c:v>
                </c:pt>
                <c:pt idx="15">
                  <c:v>1</c:v>
                </c:pt>
                <c:pt idx="16">
                  <c:v>75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25</c:v>
                </c:pt>
                <c:pt idx="3">
                  <c:v>85</c:v>
                </c:pt>
                <c:pt idx="4">
                  <c:v>46</c:v>
                </c:pt>
                <c:pt idx="5">
                  <c:v>12</c:v>
                </c:pt>
                <c:pt idx="6">
                  <c:v>7</c:v>
                </c:pt>
                <c:pt idx="7">
                  <c:v>0</c:v>
                </c:pt>
                <c:pt idx="8">
                  <c:v>22</c:v>
                </c:pt>
                <c:pt idx="9">
                  <c:v>1</c:v>
                </c:pt>
                <c:pt idx="10">
                  <c:v>0</c:v>
                </c:pt>
                <c:pt idx="11">
                  <c:v>10</c:v>
                </c:pt>
                <c:pt idx="12">
                  <c:v>10</c:v>
                </c:pt>
                <c:pt idx="13">
                  <c:v>16</c:v>
                </c:pt>
                <c:pt idx="14">
                  <c:v>39</c:v>
                </c:pt>
                <c:pt idx="15">
                  <c:v>0</c:v>
                </c:pt>
                <c:pt idx="16">
                  <c:v>6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25</c:v>
                      </c:pt>
                      <c:pt idx="3">
                        <c:v>85</c:v>
                      </c:pt>
                      <c:pt idx="4">
                        <c:v>46</c:v>
                      </c:pt>
                      <c:pt idx="5">
                        <c:v>12</c:v>
                      </c:pt>
                      <c:pt idx="6">
                        <c:v>7</c:v>
                      </c:pt>
                      <c:pt idx="7">
                        <c:v>0</c:v>
                      </c:pt>
                      <c:pt idx="8">
                        <c:v>22</c:v>
                      </c:pt>
                      <c:pt idx="9">
                        <c:v>1</c:v>
                      </c:pt>
                      <c:pt idx="10">
                        <c:v>0</c:v>
                      </c:pt>
                      <c:pt idx="11">
                        <c:v>10</c:v>
                      </c:pt>
                      <c:pt idx="12">
                        <c:v>10</c:v>
                      </c:pt>
                      <c:pt idx="13">
                        <c:v>16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6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2.0571428571428569</c:v>
                </c:pt>
                <c:pt idx="5">
                  <c:v>1.8571428571428572</c:v>
                </c:pt>
                <c:pt idx="6">
                  <c:v>2.2857142857142856</c:v>
                </c:pt>
                <c:pt idx="7">
                  <c:v>2.1142857142857143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3" t="s">
        <v>4</v>
      </c>
      <c r="D1" s="213"/>
      <c r="E1" s="214" t="s">
        <v>120</v>
      </c>
      <c r="F1" s="214"/>
      <c r="G1" s="213" t="s">
        <v>108</v>
      </c>
      <c r="H1" s="213"/>
      <c r="I1" s="214" t="s">
        <v>110</v>
      </c>
      <c r="J1" s="214"/>
      <c r="K1" s="213" t="s">
        <v>39</v>
      </c>
      <c r="L1" s="213"/>
      <c r="M1" s="211" t="s">
        <v>7</v>
      </c>
      <c r="N1" s="212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1"/>
  <sheetViews>
    <sheetView zoomScale="70" zoomScaleNormal="70" zoomScalePageLayoutView="140" workbookViewId="0">
      <selection activeCell="BE47" sqref="BE47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1" t="s">
        <v>119</v>
      </c>
      <c r="AM3" s="191"/>
      <c r="AN3" s="191"/>
      <c r="AO3" s="191"/>
      <c r="AP3" s="191"/>
      <c r="AQ3" s="191"/>
      <c r="AR3" s="191"/>
      <c r="AS3" s="191"/>
      <c r="AT3" s="191"/>
      <c r="AU3" s="191"/>
      <c r="AV3" s="191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1"/>
      <c r="AM4" s="191"/>
      <c r="AN4" s="191"/>
      <c r="AO4" s="191"/>
      <c r="AP4" s="191"/>
      <c r="AQ4" s="191"/>
      <c r="AR4" s="191"/>
      <c r="AS4" s="191"/>
      <c r="AT4" s="191"/>
      <c r="AU4" s="191"/>
      <c r="AV4" s="191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8</v>
      </c>
      <c r="H6" s="21">
        <f>'Apps &amp; Goals 26-27'!D4</f>
        <v>0</v>
      </c>
      <c r="I6" s="21">
        <f>'Apps &amp; Goals 26-27'!E4</f>
        <v>0</v>
      </c>
      <c r="J6" s="25">
        <f>G6+C6</f>
        <v>115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3</v>
      </c>
      <c r="T6" s="20">
        <f>'Apps &amp; Goals 26-27'!G4</f>
        <v>0</v>
      </c>
      <c r="U6" s="20">
        <f>'Apps &amp; Goals 26-27'!H4</f>
        <v>0</v>
      </c>
      <c r="V6" s="26">
        <f>S6+O6</f>
        <v>39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1" si="0">G7+C7</f>
        <v>131</v>
      </c>
      <c r="K7" s="25">
        <f t="shared" ref="K7:K41" si="1">H7+D7</f>
        <v>7</v>
      </c>
      <c r="L7" s="25">
        <f t="shared" ref="L7:L41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1" si="3">S7+O7</f>
        <v>37</v>
      </c>
      <c r="W7" s="26">
        <f t="shared" ref="W7:W41" si="4">T7+P7</f>
        <v>1</v>
      </c>
      <c r="X7" s="26">
        <f t="shared" ref="X7:X41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1" si="6">AE7+AA7</f>
        <v>5</v>
      </c>
      <c r="AI7" s="24">
        <f t="shared" ref="AI7:AI41" si="7">AF7+AB7</f>
        <v>0</v>
      </c>
      <c r="AJ7" s="24">
        <f t="shared" ref="AJ7:AJ41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1" si="9">AQ7+AM7</f>
        <v>10</v>
      </c>
      <c r="AU7" s="18">
        <f t="shared" ref="AU7:AU41" si="10">AR7+AN7</f>
        <v>0</v>
      </c>
      <c r="AV7" s="18">
        <f t="shared" ref="AV7:AV41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1" si="12">BC7+AY7</f>
        <v>1</v>
      </c>
      <c r="BG7" s="33">
        <f t="shared" ref="BG7:BG41" si="13">BD7+AZ7</f>
        <v>0</v>
      </c>
      <c r="BH7" s="33">
        <f t="shared" ref="BH7:BH41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1</v>
      </c>
      <c r="AR8" s="63">
        <f>'Apps &amp; Goals 26-27'!M6</f>
        <v>0</v>
      </c>
      <c r="AS8" s="63">
        <f>'Apps &amp; Goals 26-27'!N6</f>
        <v>0</v>
      </c>
      <c r="AT8" s="18">
        <f t="shared" si="9"/>
        <v>3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7</v>
      </c>
      <c r="H9" s="21">
        <f>'Apps &amp; Goals 26-27'!D7</f>
        <v>0</v>
      </c>
      <c r="I9" s="21">
        <f>'Apps &amp; Goals 26-27'!E7</f>
        <v>3</v>
      </c>
      <c r="J9" s="25">
        <f t="shared" si="0"/>
        <v>143</v>
      </c>
      <c r="K9" s="25">
        <f t="shared" si="1"/>
        <v>6</v>
      </c>
      <c r="L9" s="25">
        <f t="shared" si="2"/>
        <v>15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2</v>
      </c>
      <c r="T9" s="20">
        <f>'Apps &amp; Goals 26-27'!G7</f>
        <v>0</v>
      </c>
      <c r="U9" s="20">
        <f>'Apps &amp; Goals 26-27'!H7</f>
        <v>0</v>
      </c>
      <c r="V9" s="26">
        <f t="shared" si="3"/>
        <v>39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1</v>
      </c>
      <c r="AR9" s="63">
        <f>'Apps &amp; Goals 26-27'!M7</f>
        <v>0</v>
      </c>
      <c r="AS9" s="63">
        <f>'Apps &amp; Goals 26-27'!N7</f>
        <v>0</v>
      </c>
      <c r="AT9" s="18">
        <f t="shared" si="9"/>
        <v>11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3</v>
      </c>
      <c r="H10" s="21">
        <f>'Apps &amp; Goals 26-27'!D8</f>
        <v>0</v>
      </c>
      <c r="I10" s="21">
        <f>'Apps &amp; Goals 26-27'!E8</f>
        <v>0</v>
      </c>
      <c r="J10" s="25">
        <f t="shared" si="0"/>
        <v>28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1</v>
      </c>
      <c r="AR10" s="63">
        <f>'Apps &amp; Goals 26-27'!M8</f>
        <v>0</v>
      </c>
      <c r="AS10" s="63">
        <f>'Apps &amp; Goals 26-27'!N8</f>
        <v>0</v>
      </c>
      <c r="AT10" s="18">
        <f t="shared" si="9"/>
        <v>4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8</v>
      </c>
      <c r="H11" s="21">
        <f>'Apps &amp; Goals 26-27'!D9</f>
        <v>1</v>
      </c>
      <c r="I11" s="21">
        <f>'Apps &amp; Goals 26-27'!E9</f>
        <v>0</v>
      </c>
      <c r="J11" s="25">
        <f t="shared" si="0"/>
        <v>200</v>
      </c>
      <c r="K11" s="25">
        <f t="shared" si="1"/>
        <v>21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3</v>
      </c>
      <c r="T11" s="20">
        <f>'Apps &amp; Goals 26-27'!G9</f>
        <v>0</v>
      </c>
      <c r="U11" s="20">
        <f>'Apps &amp; Goals 26-27'!H9</f>
        <v>0</v>
      </c>
      <c r="V11" s="26">
        <f t="shared" si="3"/>
        <v>47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1</v>
      </c>
      <c r="AR11" s="63">
        <f>'Apps &amp; Goals 26-27'!M9</f>
        <v>0</v>
      </c>
      <c r="AS11" s="63">
        <f>'Apps &amp; Goals 26-27'!N9</f>
        <v>0</v>
      </c>
      <c r="AT11" s="18">
        <f t="shared" si="9"/>
        <v>18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7</v>
      </c>
      <c r="H12" s="21">
        <f>'Apps &amp; Goals 26-27'!D10</f>
        <v>3</v>
      </c>
      <c r="I12" s="21">
        <f>'Apps &amp; Goals 26-27'!E10</f>
        <v>0</v>
      </c>
      <c r="J12" s="25">
        <f t="shared" si="0"/>
        <v>233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3</v>
      </c>
      <c r="T12" s="20">
        <f>'Apps &amp; Goals 26-27'!G10</f>
        <v>1</v>
      </c>
      <c r="U12" s="20">
        <f>'Apps &amp; Goals 26-27'!H10</f>
        <v>1</v>
      </c>
      <c r="V12" s="26">
        <f t="shared" si="3"/>
        <v>57</v>
      </c>
      <c r="W12" s="26">
        <f t="shared" si="4"/>
        <v>19</v>
      </c>
      <c r="X12" s="26">
        <f t="shared" si="5"/>
        <v>16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8</v>
      </c>
      <c r="H13" s="21">
        <f>'Apps &amp; Goals 26-27'!D11</f>
        <v>2</v>
      </c>
      <c r="I13" s="21">
        <f>'Apps &amp; Goals 26-27'!E11</f>
        <v>0</v>
      </c>
      <c r="J13" s="25">
        <f t="shared" si="0"/>
        <v>184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3</v>
      </c>
      <c r="T13" s="20">
        <f>'Apps &amp; Goals 26-27'!G11</f>
        <v>1</v>
      </c>
      <c r="U13" s="20">
        <f>'Apps &amp; Goals 26-27'!H11</f>
        <v>1</v>
      </c>
      <c r="V13" s="26">
        <f t="shared" si="3"/>
        <v>44</v>
      </c>
      <c r="W13" s="26">
        <f t="shared" si="4"/>
        <v>7</v>
      </c>
      <c r="X13" s="26">
        <f t="shared" si="5"/>
        <v>4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2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12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6</v>
      </c>
      <c r="H14" s="21">
        <f>'Apps &amp; Goals 26-27'!D12</f>
        <v>0</v>
      </c>
      <c r="I14" s="21">
        <f>'Apps &amp; Goals 26-27'!E12</f>
        <v>0</v>
      </c>
      <c r="J14" s="25">
        <f t="shared" si="0"/>
        <v>38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3</v>
      </c>
      <c r="T14" s="20">
        <f>'Apps &amp; Goals 26-27'!G12</f>
        <v>2</v>
      </c>
      <c r="U14" s="20">
        <f>'Apps &amp; Goals 26-27'!H12</f>
        <v>0</v>
      </c>
      <c r="V14" s="26">
        <f t="shared" si="3"/>
        <v>16</v>
      </c>
      <c r="W14" s="26">
        <f t="shared" si="4"/>
        <v>3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2</v>
      </c>
      <c r="AR14" s="63">
        <f>'Apps &amp; Goals 26-27'!M12</f>
        <v>0</v>
      </c>
      <c r="AS14" s="63">
        <f>'Apps &amp; Goals 26-27'!N12</f>
        <v>1</v>
      </c>
      <c r="AT14" s="18">
        <f t="shared" si="9"/>
        <v>6</v>
      </c>
      <c r="AU14" s="18">
        <f t="shared" si="10"/>
        <v>1</v>
      </c>
      <c r="AV14" s="18">
        <f t="shared" si="11"/>
        <v>1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4</v>
      </c>
      <c r="H15" s="21">
        <f>'Apps &amp; Goals 26-27'!D13</f>
        <v>0</v>
      </c>
      <c r="I15" s="21">
        <f>'Apps &amp; Goals 26-27'!E13</f>
        <v>0</v>
      </c>
      <c r="J15" s="25">
        <f t="shared" si="0"/>
        <v>66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2</v>
      </c>
      <c r="T15" s="20">
        <f>'Apps &amp; Goals 26-27'!G13</f>
        <v>1</v>
      </c>
      <c r="U15" s="20">
        <f>'Apps &amp; Goals 26-27'!H13</f>
        <v>0</v>
      </c>
      <c r="V15" s="26">
        <f t="shared" si="3"/>
        <v>23</v>
      </c>
      <c r="W15" s="26">
        <f t="shared" si="4"/>
        <v>3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1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9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1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7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5</v>
      </c>
      <c r="H17" s="21">
        <f>'Apps &amp; Goals 26-27'!D15</f>
        <v>0</v>
      </c>
      <c r="I17" s="21">
        <f>'Apps &amp; Goals 26-27'!E15</f>
        <v>1</v>
      </c>
      <c r="J17" s="25">
        <f t="shared" si="0"/>
        <v>41</v>
      </c>
      <c r="K17" s="25">
        <f t="shared" si="1"/>
        <v>14</v>
      </c>
      <c r="L17" s="25">
        <f t="shared" si="2"/>
        <v>2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3</v>
      </c>
      <c r="T17" s="20">
        <f>'Apps &amp; Goals 26-27'!G15</f>
        <v>0</v>
      </c>
      <c r="U17" s="20">
        <f>'Apps &amp; Goals 26-27'!H15</f>
        <v>1</v>
      </c>
      <c r="V17" s="26">
        <f t="shared" si="3"/>
        <v>16</v>
      </c>
      <c r="W17" s="26">
        <f t="shared" si="4"/>
        <v>5</v>
      </c>
      <c r="X17" s="26">
        <f t="shared" si="5"/>
        <v>2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2</v>
      </c>
      <c r="AR17" s="63">
        <f>'Apps &amp; Goals 26-27'!M15</f>
        <v>1</v>
      </c>
      <c r="AS17" s="63">
        <f>'Apps &amp; Goals 26-27'!N15</f>
        <v>0</v>
      </c>
      <c r="AT17" s="18">
        <f t="shared" si="9"/>
        <v>6</v>
      </c>
      <c r="AU17" s="18">
        <f t="shared" si="10"/>
        <v>2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431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7</v>
      </c>
      <c r="H18" s="21">
        <f>'Apps &amp; Goals 26-27'!D16</f>
        <v>1</v>
      </c>
      <c r="I18" s="21">
        <f>'Apps &amp; Goals 26-27'!E16</f>
        <v>0</v>
      </c>
      <c r="J18" s="25">
        <f t="shared" si="0"/>
        <v>7</v>
      </c>
      <c r="K18" s="25">
        <f t="shared" si="1"/>
        <v>1</v>
      </c>
      <c r="L18" s="25">
        <f t="shared" si="2"/>
        <v>0</v>
      </c>
      <c r="M18">
        <v>15</v>
      </c>
      <c r="N18" s="45" t="s">
        <v>431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3</v>
      </c>
      <c r="T18" s="20">
        <f>'Apps &amp; Goals 26-27'!G16</f>
        <v>0</v>
      </c>
      <c r="U18" s="20">
        <f>'Apps &amp; Goals 26-27'!H16</f>
        <v>0</v>
      </c>
      <c r="V18" s="26">
        <f t="shared" si="3"/>
        <v>3</v>
      </c>
      <c r="W18" s="26">
        <f t="shared" si="4"/>
        <v>0</v>
      </c>
      <c r="X18" s="26">
        <f t="shared" si="5"/>
        <v>0</v>
      </c>
      <c r="Z18" s="57" t="s">
        <v>431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0</v>
      </c>
      <c r="AI18" s="24">
        <f t="shared" si="7"/>
        <v>0</v>
      </c>
      <c r="AJ18" s="24">
        <f t="shared" si="8"/>
        <v>0</v>
      </c>
      <c r="AL18" s="63" t="s">
        <v>431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2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2</v>
      </c>
      <c r="AU18" s="18">
        <f t="shared" si="10"/>
        <v>0</v>
      </c>
      <c r="AV18" s="18">
        <f t="shared" si="11"/>
        <v>0</v>
      </c>
      <c r="AX18" s="32" t="s">
        <v>431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5</v>
      </c>
      <c r="H19" s="21">
        <f>'Apps &amp; Goals 26-27'!D17</f>
        <v>0</v>
      </c>
      <c r="I19" s="21">
        <f>'Apps &amp; Goals 26-27'!E17</f>
        <v>1</v>
      </c>
      <c r="J19" s="25">
        <f t="shared" si="0"/>
        <v>5</v>
      </c>
      <c r="K19" s="25">
        <f t="shared" si="1"/>
        <v>0</v>
      </c>
      <c r="L19" s="25">
        <f t="shared" si="2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3"/>
        <v>1</v>
      </c>
      <c r="W19" s="26">
        <f t="shared" si="4"/>
        <v>0</v>
      </c>
      <c r="X19" s="26">
        <f t="shared" si="5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0</v>
      </c>
      <c r="AI19" s="24">
        <f t="shared" si="7"/>
        <v>0</v>
      </c>
      <c r="AJ19" s="24">
        <f t="shared" si="8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1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1</v>
      </c>
      <c r="AU19" s="18">
        <f t="shared" si="10"/>
        <v>0</v>
      </c>
      <c r="AV19" s="18">
        <f t="shared" si="11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12"/>
        <v>1</v>
      </c>
      <c r="BG19" s="33">
        <f t="shared" si="13"/>
        <v>0</v>
      </c>
      <c r="BH19" s="33">
        <f t="shared" si="14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5</v>
      </c>
      <c r="H20" s="21">
        <f>'Apps &amp; Goals 26-27'!D18</f>
        <v>1</v>
      </c>
      <c r="I20" s="21">
        <f>'Apps &amp; Goals 26-27'!E18</f>
        <v>0</v>
      </c>
      <c r="J20" s="25">
        <f t="shared" si="0"/>
        <v>31</v>
      </c>
      <c r="K20" s="25">
        <f t="shared" si="1"/>
        <v>4</v>
      </c>
      <c r="L20" s="25">
        <f t="shared" si="2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3</v>
      </c>
      <c r="T20" s="20">
        <f>'Apps &amp; Goals 26-27'!G18</f>
        <v>0</v>
      </c>
      <c r="U20" s="20">
        <f>'Apps &amp; Goals 26-27'!H18</f>
        <v>1</v>
      </c>
      <c r="V20" s="26">
        <f t="shared" si="3"/>
        <v>12</v>
      </c>
      <c r="W20" s="26">
        <f t="shared" si="4"/>
        <v>3</v>
      </c>
      <c r="X20" s="26">
        <f t="shared" si="5"/>
        <v>1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4</v>
      </c>
      <c r="AI20" s="24">
        <f t="shared" si="7"/>
        <v>2</v>
      </c>
      <c r="AJ20" s="24">
        <f t="shared" si="8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1</v>
      </c>
      <c r="AR20" s="63">
        <f>'Apps &amp; Goals 26-27'!M18</f>
        <v>1</v>
      </c>
      <c r="AS20" s="63">
        <f>'Apps &amp; Goals 26-27'!N18</f>
        <v>0</v>
      </c>
      <c r="AT20" s="18">
        <f t="shared" si="9"/>
        <v>4</v>
      </c>
      <c r="AU20" s="18">
        <f t="shared" si="10"/>
        <v>1</v>
      </c>
      <c r="AV20" s="18">
        <f t="shared" si="11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12"/>
        <v>1</v>
      </c>
      <c r="BG20" s="33">
        <f t="shared" si="13"/>
        <v>0</v>
      </c>
      <c r="BH20" s="33">
        <f t="shared" si="14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34</v>
      </c>
      <c r="K21" s="25">
        <f t="shared" si="1"/>
        <v>4</v>
      </c>
      <c r="L21" s="25">
        <f t="shared" si="2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10</v>
      </c>
      <c r="W21" s="26">
        <f t="shared" si="4"/>
        <v>2</v>
      </c>
      <c r="X21" s="26">
        <f t="shared" si="5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1</v>
      </c>
      <c r="AI21" s="24">
        <f t="shared" si="7"/>
        <v>0</v>
      </c>
      <c r="AJ21" s="24">
        <f t="shared" si="8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6</v>
      </c>
      <c r="AU21" s="18">
        <f t="shared" si="10"/>
        <v>4</v>
      </c>
      <c r="AV21" s="18">
        <f t="shared" si="11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0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8</v>
      </c>
      <c r="H22" s="21">
        <f>'Apps &amp; Goals 26-27'!D20</f>
        <v>0</v>
      </c>
      <c r="I22" s="21">
        <f>'Apps &amp; Goals 26-27'!E20</f>
        <v>0</v>
      </c>
      <c r="J22" s="25">
        <f t="shared" si="0"/>
        <v>58</v>
      </c>
      <c r="K22" s="25">
        <f t="shared" si="1"/>
        <v>11</v>
      </c>
      <c r="L22" s="25">
        <f t="shared" si="2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3</v>
      </c>
      <c r="T22" s="20">
        <f>'Apps &amp; Goals 26-27'!G20</f>
        <v>0</v>
      </c>
      <c r="U22" s="20">
        <f>'Apps &amp; Goals 26-27'!H20</f>
        <v>0</v>
      </c>
      <c r="V22" s="26">
        <f t="shared" si="3"/>
        <v>22</v>
      </c>
      <c r="W22" s="26">
        <f t="shared" si="4"/>
        <v>4</v>
      </c>
      <c r="X22" s="26">
        <f t="shared" si="5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1</v>
      </c>
      <c r="AR22" s="63">
        <f>'Apps &amp; Goals 26-27'!M20</f>
        <v>1</v>
      </c>
      <c r="AS22" s="63">
        <f>'Apps &amp; Goals 26-27'!N20</f>
        <v>0</v>
      </c>
      <c r="AT22" s="18">
        <f t="shared" si="9"/>
        <v>8</v>
      </c>
      <c r="AU22" s="18">
        <f t="shared" si="10"/>
        <v>1</v>
      </c>
      <c r="AV22" s="18">
        <f t="shared" si="11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0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8</v>
      </c>
      <c r="H23" s="21">
        <f>'Apps &amp; Goals 26-27'!D21</f>
        <v>2</v>
      </c>
      <c r="I23" s="21">
        <f>'Apps &amp; Goals 26-27'!E21</f>
        <v>0</v>
      </c>
      <c r="J23" s="25">
        <f t="shared" si="0"/>
        <v>80</v>
      </c>
      <c r="K23" s="25">
        <f t="shared" si="1"/>
        <v>26</v>
      </c>
      <c r="L23" s="25">
        <f t="shared" si="2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3</v>
      </c>
      <c r="T23" s="20">
        <f>'Apps &amp; Goals 26-27'!G21</f>
        <v>0</v>
      </c>
      <c r="U23" s="20">
        <f>'Apps &amp; Goals 26-27'!H21</f>
        <v>1</v>
      </c>
      <c r="V23" s="26">
        <f t="shared" si="3"/>
        <v>27</v>
      </c>
      <c r="W23" s="26">
        <f t="shared" si="4"/>
        <v>9</v>
      </c>
      <c r="X23" s="26">
        <f t="shared" si="5"/>
        <v>3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5</v>
      </c>
      <c r="AI23" s="24">
        <f t="shared" si="7"/>
        <v>0</v>
      </c>
      <c r="AJ23" s="24">
        <f t="shared" si="8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1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10</v>
      </c>
      <c r="AU23" s="18">
        <f t="shared" si="10"/>
        <v>3</v>
      </c>
      <c r="AV23" s="18">
        <f t="shared" si="11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12"/>
        <v>2</v>
      </c>
      <c r="BG23" s="33">
        <f t="shared" si="13"/>
        <v>1</v>
      </c>
      <c r="BH23" s="33">
        <f t="shared" si="14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0</v>
      </c>
      <c r="K24" s="25">
        <f t="shared" si="1"/>
        <v>0</v>
      </c>
      <c r="L24" s="25">
        <f t="shared" si="2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0</v>
      </c>
      <c r="W24" s="26">
        <f t="shared" si="4"/>
        <v>0</v>
      </c>
      <c r="X24" s="26">
        <f t="shared" si="5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0</v>
      </c>
      <c r="AI24" s="24">
        <f t="shared" si="7"/>
        <v>0</v>
      </c>
      <c r="AJ24" s="24">
        <f t="shared" si="8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1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1</v>
      </c>
      <c r="AU24" s="18">
        <f t="shared" si="10"/>
        <v>0</v>
      </c>
      <c r="AV24" s="18">
        <f t="shared" si="11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8</v>
      </c>
      <c r="H25" s="21">
        <f>'Apps &amp; Goals 26-27'!D23</f>
        <v>1</v>
      </c>
      <c r="I25" s="21">
        <f>'Apps &amp; Goals 26-27'!E23</f>
        <v>2</v>
      </c>
      <c r="J25" s="25">
        <f t="shared" si="0"/>
        <v>53</v>
      </c>
      <c r="K25" s="25">
        <f t="shared" si="1"/>
        <v>4</v>
      </c>
      <c r="L25" s="25">
        <f t="shared" si="2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1</v>
      </c>
      <c r="T25" s="20">
        <f>'Apps &amp; Goals 26-27'!G23</f>
        <v>0</v>
      </c>
      <c r="U25" s="20">
        <f>'Apps &amp; Goals 26-27'!H23</f>
        <v>0</v>
      </c>
      <c r="V25" s="26">
        <f t="shared" si="3"/>
        <v>15</v>
      </c>
      <c r="W25" s="26">
        <f t="shared" si="4"/>
        <v>1</v>
      </c>
      <c r="X25" s="26">
        <f t="shared" si="5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2</v>
      </c>
      <c r="AI25" s="24">
        <f t="shared" si="7"/>
        <v>0</v>
      </c>
      <c r="AJ25" s="24">
        <f t="shared" si="8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4</v>
      </c>
      <c r="AU25" s="18">
        <f t="shared" si="10"/>
        <v>0</v>
      </c>
      <c r="AV25" s="18">
        <f t="shared" si="11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12"/>
        <v>1</v>
      </c>
      <c r="BG25" s="33">
        <f t="shared" si="13"/>
        <v>1</v>
      </c>
      <c r="BH25" s="33">
        <f t="shared" si="14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0</v>
      </c>
      <c r="K26" s="25">
        <f t="shared" si="1"/>
        <v>0</v>
      </c>
      <c r="L26" s="25">
        <f t="shared" si="2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0</v>
      </c>
      <c r="W26" s="26">
        <f t="shared" si="4"/>
        <v>0</v>
      </c>
      <c r="X26" s="26">
        <f t="shared" si="5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1</v>
      </c>
      <c r="AI26" s="24">
        <f t="shared" si="7"/>
        <v>0</v>
      </c>
      <c r="AJ26" s="24">
        <f t="shared" si="8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1</v>
      </c>
      <c r="AU26" s="18">
        <f t="shared" si="10"/>
        <v>0</v>
      </c>
      <c r="AV26" s="18">
        <f t="shared" si="11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12"/>
        <v>0</v>
      </c>
      <c r="BG26" s="33">
        <f t="shared" si="13"/>
        <v>0</v>
      </c>
      <c r="BH26" s="33">
        <f t="shared" si="14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6</v>
      </c>
      <c r="H27" s="21">
        <f>'Apps &amp; Goals 26-27'!D25</f>
        <v>0</v>
      </c>
      <c r="I27" s="21">
        <f>'Apps &amp; Goals 26-27'!E25</f>
        <v>0</v>
      </c>
      <c r="J27" s="25">
        <f t="shared" si="0"/>
        <v>44</v>
      </c>
      <c r="K27" s="25">
        <f t="shared" si="1"/>
        <v>5</v>
      </c>
      <c r="L27" s="25">
        <f t="shared" si="2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3"/>
        <v>14</v>
      </c>
      <c r="W27" s="26">
        <f t="shared" si="4"/>
        <v>0</v>
      </c>
      <c r="X27" s="26">
        <f t="shared" si="5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3</v>
      </c>
      <c r="AI27" s="24">
        <f t="shared" si="7"/>
        <v>0</v>
      </c>
      <c r="AJ27" s="24">
        <f t="shared" si="8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2</v>
      </c>
      <c r="AR27" s="63">
        <f>'Apps &amp; Goals 26-27'!M25</f>
        <v>0</v>
      </c>
      <c r="AS27" s="63">
        <f>'Apps &amp; Goals 26-27'!N25</f>
        <v>1</v>
      </c>
      <c r="AT27" s="18">
        <f t="shared" si="9"/>
        <v>5</v>
      </c>
      <c r="AU27" s="18">
        <f t="shared" si="10"/>
        <v>1</v>
      </c>
      <c r="AV27" s="18">
        <f t="shared" si="11"/>
        <v>1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1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6</v>
      </c>
      <c r="H28" s="21">
        <f>'Apps &amp; Goals 26-27'!D26</f>
        <v>2</v>
      </c>
      <c r="I28" s="21">
        <f>'Apps &amp; Goals 26-27'!E26</f>
        <v>0</v>
      </c>
      <c r="J28" s="25">
        <f t="shared" si="0"/>
        <v>6</v>
      </c>
      <c r="K28" s="25">
        <f t="shared" si="1"/>
        <v>2</v>
      </c>
      <c r="L28" s="25">
        <f t="shared" si="2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3</v>
      </c>
      <c r="T28" s="20">
        <f>'Apps &amp; Goals 26-27'!G26</f>
        <v>0</v>
      </c>
      <c r="U28" s="20">
        <f>'Apps &amp; Goals 26-27'!H26</f>
        <v>0</v>
      </c>
      <c r="V28" s="26">
        <f t="shared" si="3"/>
        <v>3</v>
      </c>
      <c r="W28" s="26">
        <f t="shared" si="4"/>
        <v>0</v>
      </c>
      <c r="X28" s="26">
        <f t="shared" si="5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0</v>
      </c>
      <c r="AI28" s="24">
        <f t="shared" si="7"/>
        <v>0</v>
      </c>
      <c r="AJ28" s="24">
        <f t="shared" si="8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2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2</v>
      </c>
      <c r="AU28" s="18">
        <f t="shared" si="10"/>
        <v>0</v>
      </c>
      <c r="AV28" s="18">
        <f t="shared" si="11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12"/>
        <v>1</v>
      </c>
      <c r="BG28" s="33">
        <f t="shared" si="13"/>
        <v>0</v>
      </c>
      <c r="BH28" s="33">
        <f t="shared" si="14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0</v>
      </c>
      <c r="AU29" s="18">
        <f t="shared" si="10"/>
        <v>0</v>
      </c>
      <c r="AV29" s="18">
        <f t="shared" si="11"/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8</v>
      </c>
      <c r="H30" s="21">
        <f>'Apps &amp; Goals 26-27'!D28</f>
        <v>0</v>
      </c>
      <c r="I30" s="21">
        <f>'Apps &amp; Goals 26-27'!E28</f>
        <v>4</v>
      </c>
      <c r="J30" s="25">
        <f t="shared" si="0"/>
        <v>117</v>
      </c>
      <c r="K30" s="25">
        <f t="shared" si="1"/>
        <v>15</v>
      </c>
      <c r="L30" s="25">
        <f t="shared" si="2"/>
        <v>24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3</v>
      </c>
      <c r="T30" s="20">
        <f>'Apps &amp; Goals 26-27'!G28</f>
        <v>1</v>
      </c>
      <c r="U30" s="20">
        <f>'Apps &amp; Goals 26-27'!H28</f>
        <v>0</v>
      </c>
      <c r="V30" s="26">
        <f t="shared" si="3"/>
        <v>39</v>
      </c>
      <c r="W30" s="26">
        <f t="shared" si="4"/>
        <v>6</v>
      </c>
      <c r="X30" s="26">
        <f t="shared" si="5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2</v>
      </c>
      <c r="AI30" s="24">
        <f t="shared" si="7"/>
        <v>0</v>
      </c>
      <c r="AJ30" s="24">
        <f t="shared" si="8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10</v>
      </c>
      <c r="AU30" s="18">
        <f t="shared" si="10"/>
        <v>1</v>
      </c>
      <c r="AV30" s="18">
        <f t="shared" si="11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2</v>
      </c>
      <c r="BG30" s="33">
        <f t="shared" si="13"/>
        <v>0</v>
      </c>
      <c r="BH30" s="33">
        <f t="shared" si="14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1</v>
      </c>
      <c r="W31" s="26">
        <f t="shared" si="4"/>
        <v>0</v>
      </c>
      <c r="X31" s="26">
        <f t="shared" si="5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1</v>
      </c>
      <c r="AU31" s="18">
        <f t="shared" si="10"/>
        <v>0</v>
      </c>
      <c r="AV31" s="18">
        <f t="shared" si="11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0</v>
      </c>
      <c r="BG31" s="33">
        <f t="shared" si="13"/>
        <v>0</v>
      </c>
      <c r="BH31" s="33">
        <f t="shared" si="1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0</v>
      </c>
      <c r="K32" s="25">
        <f t="shared" si="1"/>
        <v>0</v>
      </c>
      <c r="L32" s="25">
        <f t="shared" si="2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1</v>
      </c>
      <c r="W32" s="26">
        <f t="shared" si="4"/>
        <v>0</v>
      </c>
      <c r="X32" s="26">
        <f t="shared" si="5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0</v>
      </c>
      <c r="AI32" s="24">
        <f t="shared" si="7"/>
        <v>0</v>
      </c>
      <c r="AJ32" s="24">
        <f t="shared" si="8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1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</v>
      </c>
      <c r="AU32" s="18">
        <f t="shared" si="10"/>
        <v>0</v>
      </c>
      <c r="AV32" s="18">
        <f t="shared" si="11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0</v>
      </c>
      <c r="BG32" s="33">
        <f t="shared" si="13"/>
        <v>0</v>
      </c>
      <c r="BH32" s="33">
        <f t="shared" si="14"/>
        <v>0</v>
      </c>
    </row>
    <row r="33" spans="1:60" x14ac:dyDescent="0.25">
      <c r="A33" s="56">
        <v>45</v>
      </c>
      <c r="B33" s="22" t="s">
        <v>464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M33">
        <v>45</v>
      </c>
      <c r="N33" s="45" t="s">
        <v>464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23" t="s">
        <v>464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19" t="s">
        <v>464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1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464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0</v>
      </c>
      <c r="K34" s="25">
        <f t="shared" si="1"/>
        <v>0</v>
      </c>
      <c r="L34" s="25">
        <f t="shared" si="2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0</v>
      </c>
      <c r="W34" s="26">
        <f t="shared" si="4"/>
        <v>0</v>
      </c>
      <c r="X34" s="26">
        <f t="shared" si="5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0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1</v>
      </c>
      <c r="AU34" s="18">
        <f t="shared" si="10"/>
        <v>0</v>
      </c>
      <c r="AV34" s="18">
        <f t="shared" si="11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12"/>
        <v>0</v>
      </c>
      <c r="BG34" s="33">
        <f t="shared" si="13"/>
        <v>0</v>
      </c>
      <c r="BH34" s="33">
        <f t="shared" si="14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6</v>
      </c>
      <c r="H35" s="21">
        <f>'Apps &amp; Goals 26-27'!D33</f>
        <v>0</v>
      </c>
      <c r="I35" s="21">
        <f>'Apps &amp; Goals 26-27'!E33</f>
        <v>0</v>
      </c>
      <c r="J35" s="25">
        <f t="shared" si="0"/>
        <v>49</v>
      </c>
      <c r="K35" s="25">
        <f t="shared" si="1"/>
        <v>1</v>
      </c>
      <c r="L35" s="25">
        <f t="shared" si="2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2</v>
      </c>
      <c r="T35" s="20">
        <f>'Apps &amp; Goals 26-27'!G33</f>
        <v>0</v>
      </c>
      <c r="U35" s="20">
        <f>'Apps &amp; Goals 26-27'!H33</f>
        <v>0</v>
      </c>
      <c r="V35" s="26">
        <f t="shared" si="3"/>
        <v>22</v>
      </c>
      <c r="W35" s="26">
        <f t="shared" si="4"/>
        <v>0</v>
      </c>
      <c r="X35" s="26">
        <f t="shared" si="5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4</v>
      </c>
      <c r="AI35" s="24">
        <f t="shared" si="7"/>
        <v>0</v>
      </c>
      <c r="AJ35" s="24">
        <f t="shared" si="8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2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10</v>
      </c>
      <c r="AU35" s="18">
        <f t="shared" si="10"/>
        <v>0</v>
      </c>
      <c r="AV35" s="18">
        <f t="shared" si="11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12"/>
        <v>1</v>
      </c>
      <c r="BG35" s="33">
        <f t="shared" si="13"/>
        <v>0</v>
      </c>
      <c r="BH35" s="33">
        <f t="shared" si="14"/>
        <v>1</v>
      </c>
    </row>
    <row r="36" spans="1:60" x14ac:dyDescent="0.25">
      <c r="A36" s="4">
        <v>53</v>
      </c>
      <c r="B36" s="22" t="s">
        <v>483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ref="J36:J41" si="15">G36+C36</f>
        <v>0</v>
      </c>
      <c r="K36" s="25">
        <f t="shared" ref="K36:K41" si="16">H36+D36</f>
        <v>0</v>
      </c>
      <c r="L36" s="25">
        <f t="shared" ref="L36:L41" si="17">I36+E36</f>
        <v>0</v>
      </c>
      <c r="M36">
        <v>53</v>
      </c>
      <c r="N36" s="45" t="s">
        <v>483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ref="V36:V41" si="18">S36+O36</f>
        <v>0</v>
      </c>
      <c r="W36" s="26">
        <f t="shared" ref="W36:W41" si="19">T36+P36</f>
        <v>0</v>
      </c>
      <c r="X36" s="26">
        <f t="shared" ref="X36:X41" si="20">U36+Q36</f>
        <v>0</v>
      </c>
      <c r="Z36" s="57" t="s">
        <v>483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ref="AH36:AH41" si="21">AE36+AA36</f>
        <v>0</v>
      </c>
      <c r="AI36" s="24">
        <f t="shared" ref="AI36:AI41" si="22">AF36+AB36</f>
        <v>0</v>
      </c>
      <c r="AJ36" s="24">
        <f t="shared" ref="AJ36:AJ41" si="23">AG36+AC36</f>
        <v>0</v>
      </c>
      <c r="AL36" s="63" t="s">
        <v>483</v>
      </c>
      <c r="AM36" s="18">
        <v>0</v>
      </c>
      <c r="AN36" s="18">
        <v>0</v>
      </c>
      <c r="AO36" s="18">
        <v>0</v>
      </c>
      <c r="AP36" s="18"/>
      <c r="AQ36" s="63">
        <f>'Apps &amp; Goals 26-27'!L34</f>
        <v>1</v>
      </c>
      <c r="AR36" s="63">
        <f>'Apps &amp; Goals 26-27'!M34</f>
        <v>0</v>
      </c>
      <c r="AS36" s="63">
        <f>'Apps &amp; Goals 26-27'!N34</f>
        <v>0</v>
      </c>
      <c r="AT36" s="18">
        <f t="shared" ref="AT36:AT41" si="24">AQ36+AM36</f>
        <v>1</v>
      </c>
      <c r="AU36" s="18">
        <f t="shared" ref="AU36:AU41" si="25">AR36+AN36</f>
        <v>0</v>
      </c>
      <c r="AV36" s="18">
        <f t="shared" ref="AV36:AV41" si="26">AS36+AO36</f>
        <v>0</v>
      </c>
      <c r="AX36" s="32" t="s">
        <v>483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ref="BF36:BF41" si="27">BC36+AY36</f>
        <v>0</v>
      </c>
      <c r="BG36" s="33">
        <f t="shared" ref="BG36:BG41" si="28">BD36+AZ36</f>
        <v>0</v>
      </c>
      <c r="BH36" s="33">
        <f t="shared" ref="BH36:BH41" si="29">BE36+BA36</f>
        <v>0</v>
      </c>
    </row>
    <row r="37" spans="1:60" x14ac:dyDescent="0.25">
      <c r="A37" s="56">
        <v>55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15"/>
        <v>0</v>
      </c>
      <c r="K37" s="25">
        <f t="shared" si="16"/>
        <v>0</v>
      </c>
      <c r="L37" s="25">
        <f t="shared" si="17"/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18"/>
        <v>0</v>
      </c>
      <c r="W37" s="26">
        <f t="shared" si="19"/>
        <v>0</v>
      </c>
      <c r="X37" s="26">
        <f t="shared" si="20"/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21"/>
        <v>0</v>
      </c>
      <c r="AI37" s="24">
        <f t="shared" si="22"/>
        <v>0</v>
      </c>
      <c r="AJ37" s="24">
        <f t="shared" si="23"/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24"/>
        <v>1</v>
      </c>
      <c r="AU37" s="18">
        <f t="shared" si="25"/>
        <v>0</v>
      </c>
      <c r="AV37" s="18">
        <f t="shared" si="26"/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27"/>
        <v>0</v>
      </c>
      <c r="BG37" s="33">
        <f t="shared" si="28"/>
        <v>0</v>
      </c>
      <c r="BH37" s="33">
        <f t="shared" si="29"/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2</v>
      </c>
      <c r="H38" s="21">
        <f>'Apps &amp; Goals 26-27'!D36</f>
        <v>0</v>
      </c>
      <c r="I38" s="21">
        <f>'Apps &amp; Goals 26-27'!E36</f>
        <v>0</v>
      </c>
      <c r="J38" s="25">
        <f t="shared" si="15"/>
        <v>8</v>
      </c>
      <c r="K38" s="25">
        <f t="shared" si="16"/>
        <v>1</v>
      </c>
      <c r="L38" s="25">
        <f t="shared" si="17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1</v>
      </c>
      <c r="T38" s="20">
        <f>'Apps &amp; Goals 26-27'!G36</f>
        <v>0</v>
      </c>
      <c r="U38" s="20">
        <f>'Apps &amp; Goals 26-27'!H36</f>
        <v>0</v>
      </c>
      <c r="V38" s="26">
        <f t="shared" si="18"/>
        <v>4</v>
      </c>
      <c r="W38" s="26">
        <f t="shared" si="19"/>
        <v>0</v>
      </c>
      <c r="X38" s="26">
        <f t="shared" si="20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2</v>
      </c>
      <c r="AR38" s="63">
        <f>'Apps &amp; Goals 26-27'!M36</f>
        <v>2</v>
      </c>
      <c r="AS38" s="63">
        <f>'Apps &amp; Goals 26-27'!N36</f>
        <v>0</v>
      </c>
      <c r="AT38" s="18">
        <f t="shared" si="24"/>
        <v>4</v>
      </c>
      <c r="AU38" s="18">
        <f t="shared" si="25"/>
        <v>2</v>
      </c>
      <c r="AV38" s="18">
        <f t="shared" si="26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58</v>
      </c>
      <c r="B39" s="22" t="s">
        <v>292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53</v>
      </c>
      <c r="N39" s="45" t="s">
        <v>292</v>
      </c>
      <c r="O39" s="26">
        <v>0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0</v>
      </c>
      <c r="W39" s="26">
        <f t="shared" si="19"/>
        <v>0</v>
      </c>
      <c r="X39" s="26">
        <f t="shared" si="20"/>
        <v>0</v>
      </c>
      <c r="Z39" s="23" t="s">
        <v>292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292</v>
      </c>
      <c r="AM39" s="18">
        <v>1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1</v>
      </c>
      <c r="AU39" s="18">
        <f t="shared" si="25"/>
        <v>0</v>
      </c>
      <c r="AV39" s="18">
        <f t="shared" si="26"/>
        <v>0</v>
      </c>
      <c r="AX39" s="32" t="s">
        <v>292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71</v>
      </c>
      <c r="B40" s="22" t="s">
        <v>339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M40">
        <v>71</v>
      </c>
      <c r="N40" s="45" t="s">
        <v>339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339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0</v>
      </c>
      <c r="AI40" s="24">
        <f t="shared" si="22"/>
        <v>0</v>
      </c>
      <c r="AJ40" s="24">
        <f t="shared" si="23"/>
        <v>0</v>
      </c>
      <c r="AL40" s="19" t="s">
        <v>339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339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  <row r="41" spans="1:60" x14ac:dyDescent="0.25">
      <c r="A41" s="56">
        <v>89</v>
      </c>
      <c r="B41" s="22" t="s">
        <v>333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15"/>
        <v>0</v>
      </c>
      <c r="K41" s="25">
        <f t="shared" si="16"/>
        <v>0</v>
      </c>
      <c r="L41" s="25">
        <f t="shared" si="17"/>
        <v>0</v>
      </c>
      <c r="M41">
        <v>89</v>
      </c>
      <c r="N41" s="45" t="s">
        <v>333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18"/>
        <v>1</v>
      </c>
      <c r="W41" s="26">
        <f t="shared" si="19"/>
        <v>0</v>
      </c>
      <c r="X41" s="26">
        <f t="shared" si="20"/>
        <v>0</v>
      </c>
      <c r="Z41" s="23" t="s">
        <v>333</v>
      </c>
      <c r="AA41" s="24">
        <v>3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21"/>
        <v>3</v>
      </c>
      <c r="AI41" s="24">
        <f t="shared" si="22"/>
        <v>0</v>
      </c>
      <c r="AJ41" s="24">
        <f t="shared" si="23"/>
        <v>0</v>
      </c>
      <c r="AL41" s="19" t="s">
        <v>333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2</v>
      </c>
      <c r="AR41" s="63">
        <f>'Apps &amp; Goals 26-27'!M39</f>
        <v>0</v>
      </c>
      <c r="AS41" s="63">
        <f>'Apps &amp; Goals 26-27'!N39</f>
        <v>0</v>
      </c>
      <c r="AT41" s="18">
        <f t="shared" si="24"/>
        <v>2</v>
      </c>
      <c r="AU41" s="18">
        <f t="shared" si="25"/>
        <v>0</v>
      </c>
      <c r="AV41" s="18">
        <f t="shared" si="26"/>
        <v>0</v>
      </c>
      <c r="AX41" s="32" t="s">
        <v>333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27"/>
        <v>0</v>
      </c>
      <c r="BG41" s="33">
        <f t="shared" si="28"/>
        <v>0</v>
      </c>
      <c r="BH41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1"/>
  <sheetViews>
    <sheetView zoomScale="90" zoomScaleNormal="90" zoomScalePageLayoutView="110" workbookViewId="0">
      <selection activeCell="N34" sqref="N34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7"/>
      <c r="G1" s="207"/>
      <c r="H1" s="207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3" t="s">
        <v>4</v>
      </c>
      <c r="F2" s="204"/>
      <c r="G2" s="205"/>
      <c r="H2" s="208" t="s">
        <v>120</v>
      </c>
      <c r="I2" s="209"/>
      <c r="J2" s="210"/>
      <c r="K2" s="203" t="s">
        <v>108</v>
      </c>
      <c r="L2" s="204"/>
      <c r="M2" s="205"/>
      <c r="N2" s="208" t="s">
        <v>110</v>
      </c>
      <c r="O2" s="209"/>
      <c r="P2" s="210"/>
      <c r="Q2" s="203" t="s">
        <v>39</v>
      </c>
      <c r="R2" s="204"/>
      <c r="S2" s="205"/>
      <c r="T2" s="206" t="s">
        <v>7</v>
      </c>
      <c r="U2" s="206"/>
      <c r="V2" s="206"/>
      <c r="Z2" s="125">
        <v>46297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198" t="s">
        <v>437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115</v>
      </c>
      <c r="F4" s="6">
        <f>'#'!K6</f>
        <v>0</v>
      </c>
      <c r="G4" s="6">
        <f>'#'!L6</f>
        <v>0</v>
      </c>
      <c r="H4" s="4">
        <f>'#'!V6</f>
        <v>39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159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3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39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143</v>
      </c>
      <c r="F7" s="6">
        <f>'#'!K9</f>
        <v>6</v>
      </c>
      <c r="G7" s="6">
        <f>'#'!L9</f>
        <v>15</v>
      </c>
      <c r="H7" s="4">
        <f>'#'!V9</f>
        <v>39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11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201</v>
      </c>
      <c r="U7" s="2">
        <f t="shared" si="3"/>
        <v>7</v>
      </c>
      <c r="V7" s="2">
        <f t="shared" si="4"/>
        <v>17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28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4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45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200</v>
      </c>
      <c r="F9" s="6">
        <f>'#'!K11</f>
        <v>21</v>
      </c>
      <c r="G9" s="6">
        <f>'#'!L11</f>
        <v>5</v>
      </c>
      <c r="H9" s="4">
        <f>'#'!V11</f>
        <v>47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18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274</v>
      </c>
      <c r="U9" s="2">
        <f t="shared" si="3"/>
        <v>25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233</v>
      </c>
      <c r="F10" s="6">
        <f>'#'!K12</f>
        <v>63</v>
      </c>
      <c r="G10" s="6">
        <f>'#'!L12</f>
        <v>50</v>
      </c>
      <c r="H10" s="4">
        <f>'#'!V12</f>
        <v>57</v>
      </c>
      <c r="I10" s="4">
        <f>'#'!W12</f>
        <v>19</v>
      </c>
      <c r="J10" s="4">
        <f>'#'!X12</f>
        <v>16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323</v>
      </c>
      <c r="U10" s="2">
        <f t="shared" si="3"/>
        <v>85</v>
      </c>
      <c r="V10" s="2">
        <f t="shared" si="4"/>
        <v>71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184</v>
      </c>
      <c r="F11" s="6">
        <f>'#'!K13</f>
        <v>37</v>
      </c>
      <c r="G11" s="6">
        <f>'#'!L13</f>
        <v>37</v>
      </c>
      <c r="H11" s="4">
        <f>'#'!V13</f>
        <v>44</v>
      </c>
      <c r="I11" s="4">
        <f>'#'!W13</f>
        <v>7</v>
      </c>
      <c r="J11" s="4">
        <f>'#'!X13</f>
        <v>4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12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248</v>
      </c>
      <c r="U11" s="2">
        <f t="shared" si="3"/>
        <v>46</v>
      </c>
      <c r="V11" s="2">
        <f t="shared" si="4"/>
        <v>44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38</v>
      </c>
      <c r="F12" s="6">
        <f>'#'!K14</f>
        <v>7</v>
      </c>
      <c r="G12" s="6">
        <f>'#'!L14</f>
        <v>2</v>
      </c>
      <c r="H12" s="4">
        <f>'#'!V14</f>
        <v>16</v>
      </c>
      <c r="I12" s="4">
        <f>'#'!W14</f>
        <v>3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6</v>
      </c>
      <c r="O12" s="4">
        <f>'#'!AU14</f>
        <v>1</v>
      </c>
      <c r="P12" s="4">
        <f>'#'!AV14</f>
        <v>1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64</v>
      </c>
      <c r="U12" s="2">
        <f t="shared" si="3"/>
        <v>12</v>
      </c>
      <c r="V12" s="2">
        <f t="shared" si="4"/>
        <v>6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66</v>
      </c>
      <c r="F13" s="6">
        <f>'#'!K15</f>
        <v>4</v>
      </c>
      <c r="G13" s="6">
        <f>'#'!L15</f>
        <v>8</v>
      </c>
      <c r="H13" s="4">
        <f>'#'!V15</f>
        <v>23</v>
      </c>
      <c r="I13" s="4">
        <f>'#'!W15</f>
        <v>3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9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102</v>
      </c>
      <c r="U13" s="2">
        <f t="shared" si="3"/>
        <v>7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7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13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41</v>
      </c>
      <c r="F15" s="6">
        <f>'#'!K17</f>
        <v>14</v>
      </c>
      <c r="G15" s="6">
        <f>'#'!L17</f>
        <v>2</v>
      </c>
      <c r="H15" s="4">
        <f>'#'!V17</f>
        <v>16</v>
      </c>
      <c r="I15" s="4">
        <f>'#'!W17</f>
        <v>5</v>
      </c>
      <c r="J15" s="4">
        <f>'#'!X17</f>
        <v>2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6</v>
      </c>
      <c r="O15" s="4">
        <f>'#'!AU17</f>
        <v>2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66</v>
      </c>
      <c r="U15" s="2">
        <f t="shared" si="3"/>
        <v>22</v>
      </c>
      <c r="V15" s="2">
        <f t="shared" si="4"/>
        <v>5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431</v>
      </c>
      <c r="E16" s="6">
        <f>'#'!J18</f>
        <v>7</v>
      </c>
      <c r="F16" s="6">
        <f>'#'!K18</f>
        <v>1</v>
      </c>
      <c r="G16" s="6">
        <f>'#'!L18</f>
        <v>0</v>
      </c>
      <c r="H16" s="4">
        <f>'#'!V18</f>
        <v>3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2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28" si="5">SUM(E16,H16,K16,N16,Q16)</f>
        <v>12</v>
      </c>
      <c r="U16" s="2">
        <f t="shared" ref="U16:U28" si="6">SUM(F16,I16,L16,O16,R16)</f>
        <v>1</v>
      </c>
      <c r="V16" s="2">
        <f t="shared" ref="V16:V28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5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1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8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31</v>
      </c>
      <c r="F18" s="6">
        <f>'#'!K20</f>
        <v>4</v>
      </c>
      <c r="G18" s="6">
        <f>'#'!L20</f>
        <v>1</v>
      </c>
      <c r="H18" s="4">
        <f>'#'!V20</f>
        <v>12</v>
      </c>
      <c r="I18" s="4">
        <f>'#'!W20</f>
        <v>3</v>
      </c>
      <c r="J18" s="4">
        <f>'#'!X20</f>
        <v>1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4</v>
      </c>
      <c r="O18" s="4">
        <f>'#'!AU20</f>
        <v>1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52</v>
      </c>
      <c r="U18" s="2">
        <f t="shared" si="6"/>
        <v>10</v>
      </c>
      <c r="V18" s="2">
        <f t="shared" si="7"/>
        <v>4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438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58</v>
      </c>
      <c r="F20" s="6">
        <f>'#'!K22</f>
        <v>11</v>
      </c>
      <c r="G20" s="6">
        <f>'#'!L22</f>
        <v>5</v>
      </c>
      <c r="H20" s="4">
        <f>'#'!V22</f>
        <v>22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8</v>
      </c>
      <c r="O20" s="4">
        <f>'#'!AU22</f>
        <v>1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90</v>
      </c>
      <c r="U20" s="2">
        <f t="shared" si="6"/>
        <v>16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80</v>
      </c>
      <c r="F21" s="6">
        <f>'#'!K23</f>
        <v>26</v>
      </c>
      <c r="G21" s="6">
        <f>'#'!L23</f>
        <v>13</v>
      </c>
      <c r="H21" s="4">
        <f>'#'!V23</f>
        <v>27</v>
      </c>
      <c r="I21" s="4">
        <f>'#'!W23</f>
        <v>9</v>
      </c>
      <c r="J21" s="4">
        <f>'#'!X23</f>
        <v>3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10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124</v>
      </c>
      <c r="U21" s="2">
        <f t="shared" si="6"/>
        <v>39</v>
      </c>
      <c r="V21" s="2">
        <f t="shared" si="7"/>
        <v>17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1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1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53</v>
      </c>
      <c r="F23" s="6">
        <f>'#'!K25</f>
        <v>4</v>
      </c>
      <c r="G23" s="6">
        <f>'#'!L25</f>
        <v>5</v>
      </c>
      <c r="H23" s="4">
        <f>'#'!V25</f>
        <v>15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75</v>
      </c>
      <c r="U23" s="2">
        <f t="shared" si="6"/>
        <v>6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438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44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5</v>
      </c>
      <c r="O25" s="4">
        <f>'#'!AU27</f>
        <v>1</v>
      </c>
      <c r="P25" s="4">
        <f>'#'!AV27</f>
        <v>1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67</v>
      </c>
      <c r="U25" s="2">
        <f t="shared" si="6"/>
        <v>6</v>
      </c>
      <c r="V25" s="2">
        <f t="shared" si="7"/>
        <v>4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6</v>
      </c>
      <c r="F26" s="6">
        <f>'#'!K28</f>
        <v>2</v>
      </c>
      <c r="G26" s="6">
        <f>'#'!L28</f>
        <v>0</v>
      </c>
      <c r="H26" s="4">
        <f>'#'!V28</f>
        <v>3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2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12</v>
      </c>
      <c r="U26" s="2">
        <f t="shared" si="6"/>
        <v>2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117</v>
      </c>
      <c r="F28" s="6">
        <f>'#'!K30</f>
        <v>15</v>
      </c>
      <c r="G28" s="6">
        <f>'#'!L30</f>
        <v>24</v>
      </c>
      <c r="H28" s="4">
        <f>'#'!V30</f>
        <v>39</v>
      </c>
      <c r="I28" s="4">
        <f>'#'!W30</f>
        <v>6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170</v>
      </c>
      <c r="U28" s="2">
        <f t="shared" si="6"/>
        <v>22</v>
      </c>
      <c r="V28" s="2">
        <f t="shared" si="7"/>
        <v>32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45</v>
      </c>
      <c r="B31" s="56" t="s">
        <v>355</v>
      </c>
      <c r="C31" s="28" t="s">
        <v>353</v>
      </c>
      <c r="D31" s="148" t="s">
        <v>464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ref="T31:T39" si="9">SUM(E31,H31,K31,N31,Q31)</f>
        <v>1</v>
      </c>
      <c r="U31" s="2">
        <f t="shared" ref="U31:U39" si="10">SUM(F31,I31,L31,O31,R31)</f>
        <v>0</v>
      </c>
      <c r="V31" s="2">
        <f t="shared" ref="V31:V39" si="11">SUM(G31,J31,M31,P31,S31)</f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t="s">
        <v>438</v>
      </c>
    </row>
    <row r="33" spans="1:23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49</v>
      </c>
      <c r="F33" s="6">
        <f>'#'!K35</f>
        <v>1</v>
      </c>
      <c r="G33" s="6">
        <f>'#'!L35</f>
        <v>0</v>
      </c>
      <c r="H33" s="4">
        <f>'#'!V35</f>
        <v>22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10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9"/>
        <v>86</v>
      </c>
      <c r="U33" s="2">
        <f t="shared" si="10"/>
        <v>1</v>
      </c>
      <c r="V33" s="2">
        <f t="shared" si="11"/>
        <v>6</v>
      </c>
    </row>
    <row r="34" spans="1:23" x14ac:dyDescent="0.25">
      <c r="A34" s="56">
        <v>53</v>
      </c>
      <c r="B34" s="56" t="s">
        <v>484</v>
      </c>
      <c r="C34" s="4" t="s">
        <v>354</v>
      </c>
      <c r="D34" s="35" t="s">
        <v>483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ref="T34:T39" si="12">SUM(E34,H34,K34,N34,Q34)</f>
        <v>1</v>
      </c>
      <c r="U34" s="2">
        <f t="shared" ref="U34:U39" si="13">SUM(F34,I34,L34,O34,R34)</f>
        <v>0</v>
      </c>
      <c r="V34" s="2">
        <f t="shared" ref="V34:V39" si="14">SUM(G34,J34,M34,P34,S34)</f>
        <v>0</v>
      </c>
    </row>
    <row r="35" spans="1:23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12"/>
        <v>1</v>
      </c>
      <c r="U35" s="2">
        <f t="shared" si="13"/>
        <v>0</v>
      </c>
      <c r="V35" s="2">
        <f t="shared" si="14"/>
        <v>0</v>
      </c>
    </row>
    <row r="36" spans="1:23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8</v>
      </c>
      <c r="F36" s="6">
        <f>'#'!K38</f>
        <v>1</v>
      </c>
      <c r="G36" s="6">
        <f>'#'!L38</f>
        <v>0</v>
      </c>
      <c r="H36" s="4">
        <f>'#'!V38</f>
        <v>4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4</v>
      </c>
      <c r="O36" s="4">
        <f>'#'!AU38</f>
        <v>2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12"/>
        <v>18</v>
      </c>
      <c r="U36" s="2">
        <f t="shared" si="13"/>
        <v>3</v>
      </c>
      <c r="V36" s="2">
        <f t="shared" si="14"/>
        <v>0</v>
      </c>
    </row>
    <row r="37" spans="1:23" x14ac:dyDescent="0.25">
      <c r="A37" s="56">
        <v>58</v>
      </c>
      <c r="B37" s="56" t="s">
        <v>355</v>
      </c>
      <c r="C37" s="28" t="s">
        <v>354</v>
      </c>
      <c r="D37" s="148" t="s">
        <v>292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0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1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12"/>
        <v>1</v>
      </c>
      <c r="U37" s="2">
        <f t="shared" si="13"/>
        <v>0</v>
      </c>
      <c r="V37" s="2">
        <f t="shared" si="14"/>
        <v>0</v>
      </c>
      <c r="W37" t="s">
        <v>438</v>
      </c>
    </row>
    <row r="38" spans="1:23" x14ac:dyDescent="0.25">
      <c r="A38" s="28">
        <v>71</v>
      </c>
      <c r="B38" s="56" t="s">
        <v>355</v>
      </c>
      <c r="C38" s="28" t="s">
        <v>354</v>
      </c>
      <c r="D38" s="148" t="s">
        <v>339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12"/>
        <v>1</v>
      </c>
      <c r="U38" s="2">
        <f t="shared" si="13"/>
        <v>0</v>
      </c>
      <c r="V38" s="2">
        <f t="shared" si="14"/>
        <v>0</v>
      </c>
    </row>
    <row r="39" spans="1:23" x14ac:dyDescent="0.25">
      <c r="A39" s="28">
        <v>89</v>
      </c>
      <c r="B39" s="56" t="s">
        <v>355</v>
      </c>
      <c r="C39" s="28" t="s">
        <v>352</v>
      </c>
      <c r="D39" s="148" t="s">
        <v>333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3</v>
      </c>
      <c r="L39" s="6">
        <f>'#'!AI41</f>
        <v>0</v>
      </c>
      <c r="M39" s="6">
        <f>'#'!AJ41</f>
        <v>0</v>
      </c>
      <c r="N39" s="4">
        <f>'#'!AT41</f>
        <v>2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12"/>
        <v>6</v>
      </c>
      <c r="U39" s="2">
        <f t="shared" si="13"/>
        <v>0</v>
      </c>
      <c r="V39" s="2">
        <f t="shared" si="14"/>
        <v>0</v>
      </c>
    </row>
    <row r="41" spans="1:23" x14ac:dyDescent="0.25">
      <c r="F41" t="s">
        <v>308</v>
      </c>
    </row>
  </sheetData>
  <autoFilter ref="A3:U39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9 V4:V39">
    <cfRule type="cellIs" dxfId="37" priority="20" operator="greaterThan">
      <formula>396</formula>
    </cfRule>
  </conditionalFormatting>
  <conditionalFormatting sqref="U4:U39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T4:T39 V4:V39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6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06" t="s">
        <v>7</v>
      </c>
      <c r="O2" s="206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06" t="s">
        <v>7</v>
      </c>
      <c r="O2" s="206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06" t="s">
        <v>7</v>
      </c>
      <c r="O2" s="206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3" t="s">
        <v>4</v>
      </c>
      <c r="E2" s="213"/>
      <c r="F2" s="214" t="s">
        <v>113</v>
      </c>
      <c r="G2" s="214"/>
      <c r="H2" s="213" t="s">
        <v>108</v>
      </c>
      <c r="I2" s="213"/>
      <c r="J2" s="214" t="s">
        <v>110</v>
      </c>
      <c r="K2" s="214"/>
      <c r="L2" s="213" t="s">
        <v>39</v>
      </c>
      <c r="M2" s="213"/>
      <c r="N2" s="206" t="s">
        <v>7</v>
      </c>
      <c r="O2" s="206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113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3" t="s">
        <v>4</v>
      </c>
      <c r="D2" s="213"/>
      <c r="E2" s="214" t="s">
        <v>120</v>
      </c>
      <c r="F2" s="214"/>
      <c r="G2" s="213" t="s">
        <v>108</v>
      </c>
      <c r="H2" s="213"/>
      <c r="I2" s="214" t="s">
        <v>110</v>
      </c>
      <c r="J2" s="214"/>
      <c r="K2" s="213" t="s">
        <v>39</v>
      </c>
      <c r="L2" s="213"/>
      <c r="M2" s="206" t="s">
        <v>7</v>
      </c>
      <c r="N2" s="206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9"/>
  <sheetViews>
    <sheetView zoomScale="75" zoomScaleNormal="75" zoomScalePageLayoutView="110" workbookViewId="0">
      <selection activeCell="B34" sqref="B34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3" t="s">
        <v>4</v>
      </c>
      <c r="D2" s="204"/>
      <c r="E2" s="205"/>
      <c r="F2" s="208" t="s">
        <v>120</v>
      </c>
      <c r="G2" s="209"/>
      <c r="H2" s="210"/>
      <c r="I2" s="203" t="s">
        <v>108</v>
      </c>
      <c r="J2" s="204"/>
      <c r="K2" s="205"/>
      <c r="L2" s="208" t="s">
        <v>110</v>
      </c>
      <c r="M2" s="209"/>
      <c r="N2" s="210"/>
      <c r="O2" s="203" t="s">
        <v>39</v>
      </c>
      <c r="P2" s="204"/>
      <c r="Q2" s="205"/>
      <c r="R2" s="206" t="s">
        <v>7</v>
      </c>
      <c r="S2" s="206"/>
      <c r="T2" s="206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8</v>
      </c>
      <c r="D4" s="6">
        <f>'Premier League'!D4</f>
        <v>0</v>
      </c>
      <c r="E4" s="6">
        <f>'Premier League'!E4</f>
        <v>0</v>
      </c>
      <c r="F4" s="4">
        <f>Europe!C4</f>
        <v>3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12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1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4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7</v>
      </c>
      <c r="D7" s="6">
        <f>'Premier League'!D7</f>
        <v>0</v>
      </c>
      <c r="E7" s="6">
        <f>'Premier League'!E7</f>
        <v>3</v>
      </c>
      <c r="F7" s="4">
        <f>Europe!C7</f>
        <v>2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1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11</v>
      </c>
      <c r="S7" s="2">
        <f t="shared" si="2"/>
        <v>0</v>
      </c>
      <c r="T7" s="2">
        <f t="shared" si="3"/>
        <v>3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3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1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6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8</v>
      </c>
      <c r="D9" s="6">
        <f>'Premier League'!D9</f>
        <v>1</v>
      </c>
      <c r="E9" s="6">
        <f>'Premier League'!E9</f>
        <v>0</v>
      </c>
      <c r="F9" s="4">
        <f>Europe!C9</f>
        <v>3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1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13</v>
      </c>
      <c r="S9" s="2">
        <f t="shared" si="2"/>
        <v>1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7</v>
      </c>
      <c r="D10" s="6">
        <f>'Premier League'!D10</f>
        <v>3</v>
      </c>
      <c r="E10" s="6">
        <f>'Premier League'!E10</f>
        <v>0</v>
      </c>
      <c r="F10" s="4">
        <f>Europe!C10</f>
        <v>3</v>
      </c>
      <c r="G10" s="4">
        <f>Europe!D10</f>
        <v>1</v>
      </c>
      <c r="H10" s="4">
        <f>Europe!E10</f>
        <v>1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11</v>
      </c>
      <c r="S10" s="2">
        <f t="shared" si="2"/>
        <v>4</v>
      </c>
      <c r="T10" s="2">
        <f t="shared" si="3"/>
        <v>1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8</v>
      </c>
      <c r="D11" s="6">
        <f>'Premier League'!D11</f>
        <v>2</v>
      </c>
      <c r="E11" s="6">
        <f>'Premier League'!E11</f>
        <v>0</v>
      </c>
      <c r="F11" s="4">
        <f>Europe!C11</f>
        <v>3</v>
      </c>
      <c r="G11" s="4">
        <f>Europe!D11</f>
        <v>1</v>
      </c>
      <c r="H11" s="4">
        <f>Europe!E11</f>
        <v>1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2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14</v>
      </c>
      <c r="S11" s="2">
        <f t="shared" si="2"/>
        <v>4</v>
      </c>
      <c r="T11" s="2">
        <f t="shared" si="3"/>
        <v>1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6</v>
      </c>
      <c r="D12" s="6">
        <f>'Premier League'!D12</f>
        <v>0</v>
      </c>
      <c r="E12" s="6">
        <f>'Premier League'!E12</f>
        <v>0</v>
      </c>
      <c r="F12" s="4">
        <f>Europe!C12</f>
        <v>3</v>
      </c>
      <c r="G12" s="4">
        <f>Europe!D12</f>
        <v>2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2</v>
      </c>
      <c r="M12" s="4">
        <f>'League Cup'!D12</f>
        <v>0</v>
      </c>
      <c r="N12" s="4">
        <f>'League Cup'!E12</f>
        <v>1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12</v>
      </c>
      <c r="S12" s="2">
        <f t="shared" si="2"/>
        <v>2</v>
      </c>
      <c r="T12" s="2">
        <f t="shared" si="3"/>
        <v>1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4</v>
      </c>
      <c r="D13" s="6">
        <f>'Premier League'!D13</f>
        <v>0</v>
      </c>
      <c r="E13" s="6">
        <f>'Premier League'!E13</f>
        <v>0</v>
      </c>
      <c r="F13" s="4">
        <f>Europe!C13</f>
        <v>2</v>
      </c>
      <c r="G13" s="4">
        <f>Europe!D13</f>
        <v>1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1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7</v>
      </c>
      <c r="S13" s="2">
        <f t="shared" si="2"/>
        <v>1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1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5</v>
      </c>
      <c r="D15" s="6">
        <f>'Premier League'!D15</f>
        <v>0</v>
      </c>
      <c r="E15" s="6">
        <f>'Premier League'!E15</f>
        <v>1</v>
      </c>
      <c r="F15" s="4">
        <f>Europe!C15</f>
        <v>3</v>
      </c>
      <c r="G15" s="4">
        <f>Europe!D15</f>
        <v>0</v>
      </c>
      <c r="H15" s="4">
        <f>Europe!E15</f>
        <v>1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2</v>
      </c>
      <c r="M15" s="4">
        <f>'League Cup'!D15</f>
        <v>1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11</v>
      </c>
      <c r="S15" s="2">
        <f>SUM(D15,G15,J15,M15,P15)</f>
        <v>1</v>
      </c>
      <c r="T15" s="2">
        <f>SUM(E15,H15,K15,N15,Q15)</f>
        <v>2</v>
      </c>
      <c r="V15" s="55"/>
    </row>
    <row r="16" spans="1:22" x14ac:dyDescent="0.25">
      <c r="A16" s="27">
        <v>15</v>
      </c>
      <c r="B16" s="149" t="s">
        <v>431</v>
      </c>
      <c r="C16" s="6">
        <f>'Premier League'!C16</f>
        <v>7</v>
      </c>
      <c r="D16" s="6">
        <f>'Premier League'!D16</f>
        <v>1</v>
      </c>
      <c r="E16" s="6">
        <f>'Premier League'!E16</f>
        <v>0</v>
      </c>
      <c r="F16" s="4">
        <f>Europe!C16</f>
        <v>3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2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28" si="4">SUM(C16,F16,I16,L16,O16)</f>
        <v>12</v>
      </c>
      <c r="S16" s="2">
        <f t="shared" ref="S16:S28" si="5">SUM(D16,G16,J16,M16,P16)</f>
        <v>1</v>
      </c>
      <c r="T16" s="2">
        <f t="shared" ref="T16:T28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5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1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8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5</v>
      </c>
      <c r="D18" s="6">
        <f>'Premier League'!D18</f>
        <v>1</v>
      </c>
      <c r="E18" s="6">
        <f>'Premier League'!E18</f>
        <v>0</v>
      </c>
      <c r="F18" s="4">
        <f>Europe!C18</f>
        <v>3</v>
      </c>
      <c r="G18" s="4">
        <f>Europe!D18</f>
        <v>0</v>
      </c>
      <c r="H18" s="4">
        <f>Europe!E18</f>
        <v>1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1</v>
      </c>
      <c r="M18" s="4">
        <f>'League Cup'!D18</f>
        <v>1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10</v>
      </c>
      <c r="S18" s="2">
        <f t="shared" si="5"/>
        <v>2</v>
      </c>
      <c r="T18" s="2">
        <f t="shared" si="6"/>
        <v>1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8</v>
      </c>
      <c r="D20" s="6">
        <f>'Premier League'!D20</f>
        <v>0</v>
      </c>
      <c r="E20" s="6">
        <f>'Premier League'!E20</f>
        <v>0</v>
      </c>
      <c r="F20" s="4">
        <f>Europe!C20</f>
        <v>3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1</v>
      </c>
      <c r="M20" s="4">
        <f>'League Cup'!D20</f>
        <v>1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12</v>
      </c>
      <c r="S20" s="2">
        <f t="shared" si="5"/>
        <v>1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8</v>
      </c>
      <c r="D21" s="6">
        <f>'Premier League'!D21</f>
        <v>2</v>
      </c>
      <c r="E21" s="6">
        <f>'Premier League'!E21</f>
        <v>0</v>
      </c>
      <c r="F21" s="4">
        <f>Europe!C21</f>
        <v>3</v>
      </c>
      <c r="G21" s="4">
        <f>Europe!D21</f>
        <v>0</v>
      </c>
      <c r="H21" s="4">
        <f>Europe!E21</f>
        <v>1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1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13</v>
      </c>
      <c r="S21" s="2">
        <f t="shared" si="5"/>
        <v>3</v>
      </c>
      <c r="T21" s="2">
        <f t="shared" si="6"/>
        <v>1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1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1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8</v>
      </c>
      <c r="D23" s="6">
        <f>'Premier League'!D23</f>
        <v>1</v>
      </c>
      <c r="E23" s="6">
        <f>'Premier League'!E23</f>
        <v>2</v>
      </c>
      <c r="F23" s="4">
        <f>Europe!C23</f>
        <v>1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10</v>
      </c>
      <c r="S23" s="2">
        <f t="shared" si="5"/>
        <v>2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6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2</v>
      </c>
      <c r="M25" s="4">
        <f>'League Cup'!D25</f>
        <v>0</v>
      </c>
      <c r="N25" s="4">
        <f>'League Cup'!E25</f>
        <v>1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10</v>
      </c>
      <c r="S25" s="2">
        <f t="shared" si="5"/>
        <v>0</v>
      </c>
      <c r="T25" s="2">
        <f t="shared" si="6"/>
        <v>1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6</v>
      </c>
      <c r="D26" s="6">
        <f>'Premier League'!D26</f>
        <v>2</v>
      </c>
      <c r="E26" s="6">
        <f>'Premier League'!E26</f>
        <v>0</v>
      </c>
      <c r="F26" s="4">
        <f>Europe!C26</f>
        <v>3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2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12</v>
      </c>
      <c r="S26" s="2">
        <f t="shared" si="5"/>
        <v>2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8</v>
      </c>
      <c r="D28" s="6">
        <f>'Premier League'!D28</f>
        <v>0</v>
      </c>
      <c r="E28" s="6">
        <f>'Premier League'!E28</f>
        <v>4</v>
      </c>
      <c r="F28" s="4">
        <f>Europe!C28</f>
        <v>3</v>
      </c>
      <c r="G28" s="4">
        <f>Europe!D28</f>
        <v>1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12</v>
      </c>
      <c r="S28" s="2">
        <f t="shared" si="5"/>
        <v>1</v>
      </c>
      <c r="T28" s="2">
        <f t="shared" si="6"/>
        <v>4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1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1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45</v>
      </c>
      <c r="B31" s="148" t="s">
        <v>464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1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ref="R31:R33" si="8">SUM(C31,F31,I31,L31,O31)</f>
        <v>1</v>
      </c>
      <c r="S31" s="2">
        <f t="shared" ref="S31:S33" si="9">SUM(D31,G31,J31,M31,P31)</f>
        <v>0</v>
      </c>
      <c r="T31" s="2">
        <f t="shared" ref="T31:T33" si="10">SUM(E31,H31,K31,N31,Q31)</f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8"/>
        <v>0</v>
      </c>
      <c r="S32" s="2">
        <f t="shared" si="9"/>
        <v>0</v>
      </c>
      <c r="T32" s="2">
        <f t="shared" si="10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6</v>
      </c>
      <c r="D33" s="6">
        <f>'Premier League'!D33</f>
        <v>0</v>
      </c>
      <c r="E33" s="6">
        <f>'Premier League'!E33</f>
        <v>0</v>
      </c>
      <c r="F33" s="4">
        <f>Europe!C33</f>
        <v>2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2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8"/>
        <v>11</v>
      </c>
      <c r="S33" s="2">
        <f t="shared" si="9"/>
        <v>0</v>
      </c>
      <c r="T33" s="2">
        <f t="shared" si="10"/>
        <v>1</v>
      </c>
    </row>
    <row r="34" spans="1:20" x14ac:dyDescent="0.25">
      <c r="A34" s="28">
        <v>53</v>
      </c>
      <c r="B34" s="149" t="s">
        <v>483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1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ref="R34:R39" si="11">SUM(C34,F34,I34,L34,O34)</f>
        <v>1</v>
      </c>
      <c r="S34" s="2">
        <f t="shared" ref="S34:S39" si="12">SUM(D34,G34,J34,M34,P34)</f>
        <v>0</v>
      </c>
      <c r="T34" s="2">
        <f t="shared" ref="T34:T39" si="13">SUM(E34,H34,K34,N34,Q34)</f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11"/>
        <v>0</v>
      </c>
      <c r="S35" s="2">
        <f t="shared" si="12"/>
        <v>0</v>
      </c>
      <c r="T35" s="2">
        <f t="shared" si="13"/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2</v>
      </c>
      <c r="D36" s="6">
        <f>'Premier League'!D36</f>
        <v>0</v>
      </c>
      <c r="E36" s="6">
        <f>'Premier League'!E36</f>
        <v>0</v>
      </c>
      <c r="F36" s="4">
        <f>Europe!C36</f>
        <v>1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2</v>
      </c>
      <c r="M36" s="4">
        <f>'League Cup'!D36</f>
        <v>2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11"/>
        <v>5</v>
      </c>
      <c r="S36" s="2">
        <f t="shared" si="12"/>
        <v>2</v>
      </c>
      <c r="T36" s="2">
        <f t="shared" si="13"/>
        <v>0</v>
      </c>
    </row>
    <row r="37" spans="1:20" x14ac:dyDescent="0.25">
      <c r="A37" s="28">
        <v>58</v>
      </c>
      <c r="B37" s="148" t="s">
        <v>292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>SUM(C37,F37,I37,L37,O37)</f>
        <v>0</v>
      </c>
      <c r="S37" s="2">
        <f>SUM(D37,G37,J37,M37,P37)</f>
        <v>0</v>
      </c>
      <c r="T37" s="2">
        <f>SUM(E37,H37,K37,N37,Q37)</f>
        <v>0</v>
      </c>
    </row>
    <row r="38" spans="1:20" x14ac:dyDescent="0.25">
      <c r="A38" s="28">
        <v>71</v>
      </c>
      <c r="B38" s="148" t="s">
        <v>339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11"/>
        <v>0</v>
      </c>
      <c r="S38" s="2">
        <f t="shared" si="12"/>
        <v>0</v>
      </c>
      <c r="T38" s="2">
        <f t="shared" si="13"/>
        <v>0</v>
      </c>
    </row>
    <row r="39" spans="1:20" x14ac:dyDescent="0.25">
      <c r="A39" s="28">
        <v>89</v>
      </c>
      <c r="B39" s="148" t="s">
        <v>333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2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11"/>
        <v>2</v>
      </c>
      <c r="S39" s="2">
        <f t="shared" si="12"/>
        <v>0</v>
      </c>
      <c r="T39" s="2">
        <f t="shared" si="13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9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3" t="s">
        <v>4</v>
      </c>
      <c r="F1" s="204"/>
      <c r="G1" s="205"/>
      <c r="H1" s="208" t="s">
        <v>120</v>
      </c>
      <c r="I1" s="209"/>
      <c r="J1" s="210"/>
      <c r="K1" s="203" t="s">
        <v>108</v>
      </c>
      <c r="L1" s="204"/>
      <c r="M1" s="205"/>
      <c r="N1" s="208" t="s">
        <v>110</v>
      </c>
      <c r="O1" s="209"/>
      <c r="P1" s="210"/>
      <c r="Q1" s="203" t="s">
        <v>39</v>
      </c>
      <c r="R1" s="204"/>
      <c r="S1" s="205"/>
      <c r="T1" s="206" t="s">
        <v>7</v>
      </c>
      <c r="U1" s="206"/>
      <c r="V1" s="206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5"/>
      <c r="H6" s="31">
        <v>43</v>
      </c>
      <c r="I6" s="31">
        <v>4</v>
      </c>
      <c r="J6" s="31"/>
      <c r="K6" s="6">
        <v>16</v>
      </c>
      <c r="L6" s="6">
        <v>0</v>
      </c>
      <c r="M6" s="175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5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5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5"/>
      <c r="H8" s="31">
        <v>48</v>
      </c>
      <c r="I8" s="31">
        <v>9</v>
      </c>
      <c r="J8" s="31"/>
      <c r="K8" s="6">
        <v>17</v>
      </c>
      <c r="L8" s="6">
        <v>2</v>
      </c>
      <c r="M8" s="175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5"/>
      <c r="H9" s="30">
        <v>38</v>
      </c>
      <c r="I9" s="30">
        <v>16</v>
      </c>
      <c r="J9" s="30"/>
      <c r="K9" s="6">
        <v>23</v>
      </c>
      <c r="L9" s="6">
        <v>13</v>
      </c>
      <c r="M9" s="175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5"/>
      <c r="H10" s="30">
        <v>42</v>
      </c>
      <c r="I10" s="30">
        <v>1</v>
      </c>
      <c r="J10" s="30"/>
      <c r="K10" s="6">
        <v>13</v>
      </c>
      <c r="L10" s="6">
        <v>2</v>
      </c>
      <c r="M10" s="175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5"/>
      <c r="H11" s="29">
        <v>46</v>
      </c>
      <c r="I11" s="29">
        <v>4</v>
      </c>
      <c r="J11" s="29"/>
      <c r="K11" s="6">
        <v>21</v>
      </c>
      <c r="L11" s="6">
        <v>5</v>
      </c>
      <c r="M11" s="175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5"/>
      <c r="H12" s="30">
        <v>47</v>
      </c>
      <c r="I12" s="30">
        <v>1</v>
      </c>
      <c r="J12" s="30"/>
      <c r="K12" s="6">
        <v>29</v>
      </c>
      <c r="L12" s="6">
        <v>2</v>
      </c>
      <c r="M12" s="175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5"/>
      <c r="H13" s="31">
        <v>33</v>
      </c>
      <c r="I13" s="31">
        <v>1</v>
      </c>
      <c r="J13" s="31"/>
      <c r="K13" s="6">
        <v>12</v>
      </c>
      <c r="L13" s="6">
        <v>0</v>
      </c>
      <c r="M13" s="175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5"/>
      <c r="H14" s="29">
        <v>43</v>
      </c>
      <c r="I14" s="29">
        <v>2</v>
      </c>
      <c r="J14" s="29"/>
      <c r="K14" s="6">
        <v>30</v>
      </c>
      <c r="L14" s="6">
        <v>1</v>
      </c>
      <c r="M14" s="175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5"/>
      <c r="H15" s="30">
        <v>39</v>
      </c>
      <c r="I15" s="30">
        <v>0</v>
      </c>
      <c r="J15" s="30"/>
      <c r="K15" s="6">
        <v>19</v>
      </c>
      <c r="L15" s="6">
        <v>4</v>
      </c>
      <c r="M15" s="175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5"/>
      <c r="H16" s="31">
        <v>27</v>
      </c>
      <c r="I16" s="31">
        <v>13</v>
      </c>
      <c r="J16" s="31"/>
      <c r="K16" s="6">
        <v>9</v>
      </c>
      <c r="L16" s="6">
        <v>0</v>
      </c>
      <c r="M16" s="175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5"/>
      <c r="H17" s="29">
        <v>31</v>
      </c>
      <c r="I17" s="29">
        <v>4</v>
      </c>
      <c r="J17" s="29"/>
      <c r="K17" s="6">
        <v>21</v>
      </c>
      <c r="L17" s="6">
        <v>1</v>
      </c>
      <c r="M17" s="175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5"/>
      <c r="H18" s="30">
        <v>40</v>
      </c>
      <c r="I18" s="30">
        <v>5</v>
      </c>
      <c r="J18" s="30"/>
      <c r="K18" s="6">
        <v>13</v>
      </c>
      <c r="L18" s="6">
        <v>1</v>
      </c>
      <c r="M18" s="175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5"/>
      <c r="H19" s="31">
        <v>29</v>
      </c>
      <c r="I19" s="31">
        <v>0</v>
      </c>
      <c r="J19" s="31"/>
      <c r="K19" s="6">
        <v>12</v>
      </c>
      <c r="L19" s="6">
        <v>0</v>
      </c>
      <c r="M19" s="175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5"/>
      <c r="H20" s="30">
        <v>32</v>
      </c>
      <c r="I20" s="30">
        <v>0</v>
      </c>
      <c r="J20" s="30"/>
      <c r="K20" s="6">
        <v>14</v>
      </c>
      <c r="L20" s="6">
        <v>3</v>
      </c>
      <c r="M20" s="175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5"/>
      <c r="H21" s="30">
        <v>29</v>
      </c>
      <c r="I21" s="30">
        <v>4</v>
      </c>
      <c r="J21" s="30"/>
      <c r="K21" s="6">
        <v>19</v>
      </c>
      <c r="L21" s="6">
        <v>1</v>
      </c>
      <c r="M21" s="175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5"/>
      <c r="H22" s="31">
        <v>35</v>
      </c>
      <c r="I22" s="31">
        <v>7</v>
      </c>
      <c r="J22" s="31"/>
      <c r="K22" s="6">
        <v>5</v>
      </c>
      <c r="L22" s="6">
        <v>0</v>
      </c>
      <c r="M22" s="175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0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37" sqref="A37:XFD37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8">
        <v>1</v>
      </c>
      <c r="G1" s="219"/>
      <c r="H1" s="220"/>
      <c r="I1" s="218">
        <v>2</v>
      </c>
      <c r="J1" s="219"/>
      <c r="K1" s="220"/>
      <c r="L1" s="218">
        <v>3</v>
      </c>
      <c r="M1" s="219"/>
      <c r="N1" s="220"/>
      <c r="O1" s="218">
        <v>4</v>
      </c>
      <c r="P1" s="219"/>
      <c r="Q1" s="220"/>
      <c r="R1" s="218">
        <v>5</v>
      </c>
      <c r="S1" s="219"/>
      <c r="T1" s="220"/>
      <c r="U1" s="218">
        <v>6</v>
      </c>
      <c r="V1" s="219"/>
      <c r="W1" s="220"/>
      <c r="X1" s="218">
        <v>7</v>
      </c>
      <c r="Y1" s="219"/>
      <c r="Z1" s="220"/>
      <c r="AA1" s="218">
        <v>8</v>
      </c>
      <c r="AB1" s="219"/>
      <c r="AC1" s="220"/>
      <c r="AD1" s="218">
        <v>9</v>
      </c>
      <c r="AE1" s="219"/>
      <c r="AF1" s="220"/>
      <c r="AG1" s="218">
        <v>10</v>
      </c>
      <c r="AH1" s="219"/>
      <c r="AI1" s="220"/>
      <c r="AJ1" s="218">
        <v>11</v>
      </c>
      <c r="AK1" s="219"/>
      <c r="AL1" s="220"/>
      <c r="AM1" s="218">
        <v>12</v>
      </c>
      <c r="AN1" s="219"/>
      <c r="AO1" s="220"/>
      <c r="AP1" s="218">
        <v>13</v>
      </c>
      <c r="AQ1" s="219"/>
      <c r="AR1" s="220"/>
      <c r="AS1" s="218">
        <v>14</v>
      </c>
      <c r="AT1" s="219"/>
      <c r="AU1" s="220"/>
      <c r="AV1" s="218">
        <v>15</v>
      </c>
      <c r="AW1" s="219"/>
      <c r="AX1" s="220"/>
      <c r="AY1" s="218">
        <v>16</v>
      </c>
      <c r="AZ1" s="219"/>
      <c r="BA1" s="220"/>
      <c r="BB1" s="218">
        <v>17</v>
      </c>
      <c r="BC1" s="219"/>
      <c r="BD1" s="220"/>
      <c r="BE1" s="218">
        <v>18</v>
      </c>
      <c r="BF1" s="219"/>
      <c r="BG1" s="220"/>
      <c r="BH1" s="218">
        <v>19</v>
      </c>
      <c r="BI1" s="219"/>
      <c r="BJ1" s="220"/>
      <c r="BK1" s="218">
        <v>20</v>
      </c>
      <c r="BL1" s="219"/>
      <c r="BM1" s="220"/>
      <c r="BN1" s="218">
        <v>21</v>
      </c>
      <c r="BO1" s="219"/>
      <c r="BP1" s="220"/>
      <c r="BQ1" s="218">
        <v>22</v>
      </c>
      <c r="BR1" s="219"/>
      <c r="BS1" s="220"/>
      <c r="BT1" s="218">
        <v>23</v>
      </c>
      <c r="BU1" s="219"/>
      <c r="BV1" s="220"/>
      <c r="BW1" s="218">
        <v>24</v>
      </c>
      <c r="BX1" s="219"/>
      <c r="BY1" s="220"/>
      <c r="BZ1" s="218">
        <v>25</v>
      </c>
      <c r="CA1" s="219"/>
      <c r="CB1" s="220"/>
      <c r="CC1" s="218">
        <v>26</v>
      </c>
      <c r="CD1" s="219"/>
      <c r="CE1" s="220"/>
      <c r="CF1" s="218">
        <v>27</v>
      </c>
      <c r="CG1" s="219"/>
      <c r="CH1" s="220"/>
      <c r="CI1" s="218">
        <v>28</v>
      </c>
      <c r="CJ1" s="219"/>
      <c r="CK1" s="220"/>
      <c r="CL1" s="218">
        <v>29</v>
      </c>
      <c r="CM1" s="219"/>
      <c r="CN1" s="220"/>
      <c r="CO1" s="218">
        <v>30</v>
      </c>
      <c r="CP1" s="219"/>
      <c r="CQ1" s="220"/>
      <c r="CR1" s="218">
        <v>31</v>
      </c>
      <c r="CS1" s="219"/>
      <c r="CT1" s="220"/>
      <c r="CU1" s="218">
        <v>32</v>
      </c>
      <c r="CV1" s="219"/>
      <c r="CW1" s="220"/>
      <c r="CX1" s="218">
        <v>33</v>
      </c>
      <c r="CY1" s="219"/>
      <c r="CZ1" s="220"/>
      <c r="DA1" s="218">
        <v>34</v>
      </c>
      <c r="DB1" s="219"/>
      <c r="DC1" s="220"/>
      <c r="DD1" s="218">
        <v>35</v>
      </c>
      <c r="DE1" s="219"/>
      <c r="DF1" s="220"/>
      <c r="DG1" s="218">
        <v>36</v>
      </c>
      <c r="DH1" s="219"/>
      <c r="DI1" s="220"/>
      <c r="DJ1" s="218">
        <v>37</v>
      </c>
      <c r="DK1" s="219"/>
      <c r="DL1" s="220"/>
      <c r="DM1" s="218">
        <v>38</v>
      </c>
      <c r="DN1" s="219"/>
      <c r="DO1" s="220"/>
    </row>
    <row r="2" spans="1:119" ht="15.75" thickBot="1" x14ac:dyDescent="0.3">
      <c r="A2" s="3"/>
      <c r="B2" s="17"/>
      <c r="C2" s="221" t="s">
        <v>396</v>
      </c>
      <c r="D2" s="221" t="s">
        <v>397</v>
      </c>
      <c r="E2" s="221" t="s">
        <v>398</v>
      </c>
      <c r="F2" s="215" t="s">
        <v>346</v>
      </c>
      <c r="G2" s="216"/>
      <c r="H2" s="217"/>
      <c r="I2" s="215" t="s">
        <v>331</v>
      </c>
      <c r="J2" s="216"/>
      <c r="K2" s="217"/>
      <c r="L2" s="215" t="s">
        <v>330</v>
      </c>
      <c r="M2" s="216"/>
      <c r="N2" s="217"/>
      <c r="O2" s="215" t="s">
        <v>328</v>
      </c>
      <c r="P2" s="216"/>
      <c r="Q2" s="217"/>
      <c r="R2" s="215" t="s">
        <v>335</v>
      </c>
      <c r="S2" s="216"/>
      <c r="T2" s="217"/>
      <c r="U2" s="215" t="s">
        <v>320</v>
      </c>
      <c r="V2" s="216"/>
      <c r="W2" s="217"/>
      <c r="X2" s="215" t="s">
        <v>337</v>
      </c>
      <c r="Y2" s="216"/>
      <c r="Z2" s="217"/>
      <c r="AA2" s="215" t="s">
        <v>334</v>
      </c>
      <c r="AB2" s="216"/>
      <c r="AC2" s="217"/>
      <c r="AD2" s="215" t="s">
        <v>321</v>
      </c>
      <c r="AE2" s="216"/>
      <c r="AF2" s="217"/>
      <c r="AG2" s="215" t="s">
        <v>347</v>
      </c>
      <c r="AH2" s="216"/>
      <c r="AI2" s="217"/>
      <c r="AJ2" s="215" t="s">
        <v>324</v>
      </c>
      <c r="AK2" s="216"/>
      <c r="AL2" s="217"/>
      <c r="AM2" s="215" t="s">
        <v>323</v>
      </c>
      <c r="AN2" s="216"/>
      <c r="AO2" s="217"/>
      <c r="AP2" s="215" t="s">
        <v>332</v>
      </c>
      <c r="AQ2" s="216"/>
      <c r="AR2" s="217"/>
      <c r="AS2" s="215" t="s">
        <v>329</v>
      </c>
      <c r="AT2" s="216"/>
      <c r="AU2" s="217"/>
      <c r="AV2" s="215" t="s">
        <v>336</v>
      </c>
      <c r="AW2" s="216"/>
      <c r="AX2" s="217"/>
      <c r="AY2" s="215" t="s">
        <v>305</v>
      </c>
      <c r="AZ2" s="216"/>
      <c r="BA2" s="217"/>
      <c r="BB2" s="215" t="s">
        <v>326</v>
      </c>
      <c r="BC2" s="216"/>
      <c r="BD2" s="217"/>
      <c r="BE2" s="215" t="s">
        <v>325</v>
      </c>
      <c r="BF2" s="216"/>
      <c r="BG2" s="217"/>
      <c r="BH2" s="215" t="s">
        <v>348</v>
      </c>
      <c r="BI2" s="216"/>
      <c r="BJ2" s="217"/>
      <c r="BK2" s="215" t="s">
        <v>332</v>
      </c>
      <c r="BL2" s="216"/>
      <c r="BM2" s="217"/>
      <c r="BN2" s="215" t="s">
        <v>347</v>
      </c>
      <c r="BO2" s="216"/>
      <c r="BP2" s="217"/>
      <c r="BQ2" s="215" t="s">
        <v>324</v>
      </c>
      <c r="BR2" s="216"/>
      <c r="BS2" s="217"/>
      <c r="BT2" s="215" t="s">
        <v>323</v>
      </c>
      <c r="BU2" s="216"/>
      <c r="BV2" s="217"/>
      <c r="BW2" s="215" t="s">
        <v>321</v>
      </c>
      <c r="BX2" s="216"/>
      <c r="BY2" s="217"/>
      <c r="BZ2" s="215" t="s">
        <v>348</v>
      </c>
      <c r="CA2" s="216"/>
      <c r="CB2" s="217"/>
      <c r="CC2" s="215" t="s">
        <v>325</v>
      </c>
      <c r="CD2" s="216"/>
      <c r="CE2" s="217"/>
      <c r="CF2" s="215" t="s">
        <v>305</v>
      </c>
      <c r="CG2" s="216"/>
      <c r="CH2" s="217"/>
      <c r="CI2" s="215" t="s">
        <v>326</v>
      </c>
      <c r="CJ2" s="216"/>
      <c r="CK2" s="217"/>
      <c r="CL2" s="215" t="s">
        <v>330</v>
      </c>
      <c r="CM2" s="216"/>
      <c r="CN2" s="217"/>
      <c r="CO2" s="215" t="s">
        <v>328</v>
      </c>
      <c r="CP2" s="216"/>
      <c r="CQ2" s="217"/>
      <c r="CR2" s="215" t="s">
        <v>346</v>
      </c>
      <c r="CS2" s="216"/>
      <c r="CT2" s="217"/>
      <c r="CU2" s="215" t="s">
        <v>331</v>
      </c>
      <c r="CV2" s="216"/>
      <c r="CW2" s="217"/>
      <c r="CX2" s="215" t="s">
        <v>336</v>
      </c>
      <c r="CY2" s="216"/>
      <c r="CZ2" s="217"/>
      <c r="DA2" s="215" t="s">
        <v>329</v>
      </c>
      <c r="DB2" s="216"/>
      <c r="DC2" s="217"/>
      <c r="DD2" s="215" t="s">
        <v>320</v>
      </c>
      <c r="DE2" s="216"/>
      <c r="DF2" s="217"/>
      <c r="DG2" s="215" t="s">
        <v>337</v>
      </c>
      <c r="DH2" s="216"/>
      <c r="DI2" s="217"/>
      <c r="DJ2" s="215" t="s">
        <v>334</v>
      </c>
      <c r="DK2" s="216"/>
      <c r="DL2" s="217"/>
      <c r="DM2" s="215" t="s">
        <v>335</v>
      </c>
      <c r="DN2" s="216"/>
      <c r="DO2" s="217"/>
    </row>
    <row r="3" spans="1:119" x14ac:dyDescent="0.25">
      <c r="A3" s="3" t="s">
        <v>48</v>
      </c>
      <c r="B3" s="17" t="s">
        <v>1</v>
      </c>
      <c r="C3" s="222"/>
      <c r="D3" s="222"/>
      <c r="E3" s="223"/>
      <c r="F3" s="160" t="s">
        <v>393</v>
      </c>
      <c r="G3" s="161" t="s">
        <v>394</v>
      </c>
      <c r="H3" s="200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0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8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7"/>
      <c r="I4" s="52">
        <v>1</v>
      </c>
      <c r="J4" s="36"/>
      <c r="K4" s="53"/>
      <c r="L4" s="52">
        <v>1</v>
      </c>
      <c r="M4" s="36"/>
      <c r="N4" s="167"/>
      <c r="O4" s="52">
        <v>1</v>
      </c>
      <c r="P4" s="36"/>
      <c r="Q4" s="53"/>
      <c r="R4" s="52">
        <v>1</v>
      </c>
      <c r="S4" s="36"/>
      <c r="T4" s="53"/>
      <c r="U4" s="52">
        <v>1</v>
      </c>
      <c r="V4" s="36"/>
      <c r="W4" s="53"/>
      <c r="X4" s="52">
        <v>1</v>
      </c>
      <c r="Y4" s="36"/>
      <c r="Z4" s="53"/>
      <c r="AA4" s="52">
        <v>1</v>
      </c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7"/>
      <c r="I5" s="52"/>
      <c r="J5" s="36"/>
      <c r="K5" s="53"/>
      <c r="L5" s="52"/>
      <c r="M5" s="36"/>
      <c r="N5" s="167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7"/>
      <c r="I6" s="52">
        <v>1</v>
      </c>
      <c r="J6" s="36"/>
      <c r="K6" s="53"/>
      <c r="L6" s="52"/>
      <c r="M6" s="36"/>
      <c r="N6" s="167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7</v>
      </c>
      <c r="D7" s="58">
        <f t="shared" si="2"/>
        <v>0</v>
      </c>
      <c r="E7" s="51">
        <f t="shared" si="3"/>
        <v>3</v>
      </c>
      <c r="F7" s="52">
        <v>1</v>
      </c>
      <c r="G7" s="36"/>
      <c r="H7" s="167">
        <v>1</v>
      </c>
      <c r="I7" s="52">
        <v>1</v>
      </c>
      <c r="J7" s="36"/>
      <c r="K7" s="53"/>
      <c r="L7" s="52">
        <v>1</v>
      </c>
      <c r="M7" s="36"/>
      <c r="N7" s="167"/>
      <c r="O7" s="52">
        <v>1</v>
      </c>
      <c r="P7" s="36"/>
      <c r="Q7" s="53"/>
      <c r="R7" s="52"/>
      <c r="S7" s="36"/>
      <c r="T7" s="53"/>
      <c r="U7" s="52">
        <v>1</v>
      </c>
      <c r="V7" s="36"/>
      <c r="W7" s="53">
        <v>1</v>
      </c>
      <c r="X7" s="52">
        <v>1</v>
      </c>
      <c r="Y7" s="36"/>
      <c r="Z7" s="53"/>
      <c r="AA7" s="52">
        <v>1</v>
      </c>
      <c r="AB7" s="36"/>
      <c r="AC7" s="53">
        <v>1</v>
      </c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3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7"/>
      <c r="I8" s="52"/>
      <c r="J8" s="36"/>
      <c r="K8" s="53"/>
      <c r="L8" s="52">
        <v>1</v>
      </c>
      <c r="M8" s="36"/>
      <c r="N8" s="167"/>
      <c r="O8" s="52"/>
      <c r="P8" s="36"/>
      <c r="Q8" s="53"/>
      <c r="R8" s="52"/>
      <c r="S8" s="36"/>
      <c r="T8" s="53"/>
      <c r="U8" s="52">
        <v>1</v>
      </c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8</v>
      </c>
      <c r="D9" s="58">
        <f t="shared" si="2"/>
        <v>1</v>
      </c>
      <c r="E9" s="51">
        <f t="shared" si="3"/>
        <v>0</v>
      </c>
      <c r="F9" s="52">
        <v>1</v>
      </c>
      <c r="G9" s="36"/>
      <c r="H9" s="167"/>
      <c r="I9" s="52">
        <v>1</v>
      </c>
      <c r="J9" s="36"/>
      <c r="K9" s="53"/>
      <c r="L9" s="52">
        <v>1</v>
      </c>
      <c r="M9" s="36"/>
      <c r="N9" s="167"/>
      <c r="O9" s="52">
        <v>1</v>
      </c>
      <c r="P9" s="36"/>
      <c r="Q9" s="53"/>
      <c r="R9" s="52">
        <v>1</v>
      </c>
      <c r="S9" s="36"/>
      <c r="T9" s="53"/>
      <c r="U9" s="52">
        <v>1</v>
      </c>
      <c r="V9" s="36"/>
      <c r="W9" s="53"/>
      <c r="X9" s="52">
        <v>1</v>
      </c>
      <c r="Y9" s="36"/>
      <c r="Z9" s="53"/>
      <c r="AA9" s="52">
        <v>1</v>
      </c>
      <c r="AB9" s="36">
        <v>1</v>
      </c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7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7"/>
      <c r="I10" s="52">
        <v>1</v>
      </c>
      <c r="J10" s="36">
        <v>1</v>
      </c>
      <c r="K10" s="53"/>
      <c r="L10" s="52">
        <v>1</v>
      </c>
      <c r="M10" s="36"/>
      <c r="N10" s="167"/>
      <c r="O10" s="52">
        <v>1</v>
      </c>
      <c r="P10" s="36">
        <v>1</v>
      </c>
      <c r="Q10" s="53"/>
      <c r="R10" s="52">
        <v>1</v>
      </c>
      <c r="S10" s="36"/>
      <c r="T10" s="53"/>
      <c r="U10" s="52">
        <v>1</v>
      </c>
      <c r="V10" s="36"/>
      <c r="W10" s="53"/>
      <c r="X10" s="52">
        <v>1</v>
      </c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8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7"/>
      <c r="I11" s="52">
        <v>1</v>
      </c>
      <c r="J11" s="36"/>
      <c r="K11" s="53"/>
      <c r="L11" s="52">
        <v>1</v>
      </c>
      <c r="M11" s="36">
        <v>1</v>
      </c>
      <c r="N11" s="167"/>
      <c r="O11" s="52">
        <v>1</v>
      </c>
      <c r="P11" s="36"/>
      <c r="Q11" s="53"/>
      <c r="R11" s="52">
        <v>1</v>
      </c>
      <c r="S11" s="36"/>
      <c r="T11" s="53"/>
      <c r="U11" s="52">
        <v>1</v>
      </c>
      <c r="V11" s="36"/>
      <c r="W11" s="53"/>
      <c r="X11" s="52">
        <v>1</v>
      </c>
      <c r="Y11" s="36"/>
      <c r="Z11" s="53"/>
      <c r="AA11" s="52">
        <v>1</v>
      </c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6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7"/>
      <c r="I12" s="52">
        <v>1</v>
      </c>
      <c r="J12" s="36"/>
      <c r="K12" s="53"/>
      <c r="L12" s="52"/>
      <c r="M12" s="36"/>
      <c r="N12" s="167"/>
      <c r="O12" s="52">
        <v>1</v>
      </c>
      <c r="P12" s="36"/>
      <c r="Q12" s="53"/>
      <c r="R12" s="52">
        <v>1</v>
      </c>
      <c r="S12" s="36"/>
      <c r="T12" s="53"/>
      <c r="U12" s="52"/>
      <c r="V12" s="36"/>
      <c r="W12" s="53"/>
      <c r="X12" s="52">
        <v>1</v>
      </c>
      <c r="Y12" s="36"/>
      <c r="Z12" s="53"/>
      <c r="AA12" s="52">
        <v>1</v>
      </c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4</v>
      </c>
      <c r="D13" s="58">
        <f t="shared" si="2"/>
        <v>0</v>
      </c>
      <c r="E13" s="51">
        <f t="shared" si="3"/>
        <v>0</v>
      </c>
      <c r="F13" s="52"/>
      <c r="G13" s="36"/>
      <c r="H13" s="167"/>
      <c r="I13" s="52"/>
      <c r="J13" s="36"/>
      <c r="K13" s="53"/>
      <c r="L13" s="52"/>
      <c r="M13" s="36"/>
      <c r="N13" s="167"/>
      <c r="O13" s="52">
        <v>1</v>
      </c>
      <c r="P13" s="36"/>
      <c r="Q13" s="53"/>
      <c r="R13" s="52">
        <v>1</v>
      </c>
      <c r="S13" s="36"/>
      <c r="T13" s="53"/>
      <c r="U13" s="52">
        <v>1</v>
      </c>
      <c r="V13" s="36"/>
      <c r="W13" s="53"/>
      <c r="X13" s="52">
        <v>1</v>
      </c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7"/>
      <c r="I14" s="52"/>
      <c r="J14" s="36"/>
      <c r="K14" s="53"/>
      <c r="L14" s="52"/>
      <c r="M14" s="36"/>
      <c r="N14" s="167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5</v>
      </c>
      <c r="D15" s="58">
        <f t="shared" si="2"/>
        <v>0</v>
      </c>
      <c r="E15" s="51">
        <f t="shared" si="3"/>
        <v>1</v>
      </c>
      <c r="F15" s="52"/>
      <c r="G15" s="36"/>
      <c r="H15" s="167"/>
      <c r="I15" s="52"/>
      <c r="J15" s="36"/>
      <c r="K15" s="53"/>
      <c r="L15" s="52">
        <v>1</v>
      </c>
      <c r="M15" s="36"/>
      <c r="N15" s="167"/>
      <c r="O15" s="52"/>
      <c r="P15" s="36"/>
      <c r="Q15" s="53"/>
      <c r="R15" s="52">
        <v>1</v>
      </c>
      <c r="S15" s="36"/>
      <c r="T15" s="53"/>
      <c r="U15" s="52">
        <v>1</v>
      </c>
      <c r="V15" s="36"/>
      <c r="W15" s="53"/>
      <c r="X15" s="52">
        <v>1</v>
      </c>
      <c r="Y15" s="36"/>
      <c r="Z15" s="53"/>
      <c r="AA15" s="52">
        <v>1</v>
      </c>
      <c r="AB15" s="36"/>
      <c r="AC15" s="53">
        <v>1</v>
      </c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431</v>
      </c>
      <c r="C16" s="58">
        <f t="shared" ref="C16:C28" si="4">SUM(F16,I16,L16,O16,R16,U16,X16,AA16,AD16,AG16,AJ16,AM16,AP16,AS16,AV16,AY16,BB16,BE16,BH16,BK16,BN16,BQ16,BT16,BW16,BZ16,CC16,CF16,CI16,CL16,CO16,CR16,CU16,CX16,DA16,DD16,DG16,DJ16,DM16)</f>
        <v>7</v>
      </c>
      <c r="D16" s="58">
        <f t="shared" ref="D16:D28" si="5">SUM(G16,J16,M16,P16,S16,V16,Y16,AB16,AE16,AH16,AK16,AN16,AQ16,AT16,AW16,AZ16,BC16,BF16,BI16,BL16,BO16,BR16,BU16,BX16,CA16,CD16,CG16,CJ16,CM16,CP16,CS16,CV16,CY16,DB16,DE16,DH16,DK16,DN16)</f>
        <v>1</v>
      </c>
      <c r="E16" s="51">
        <f t="shared" ref="E16:E28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7"/>
      <c r="I16" s="52">
        <v>1</v>
      </c>
      <c r="J16" s="36"/>
      <c r="K16" s="53"/>
      <c r="L16" s="52">
        <v>1</v>
      </c>
      <c r="M16" s="36"/>
      <c r="N16" s="167"/>
      <c r="O16" s="52">
        <v>1</v>
      </c>
      <c r="P16" s="36"/>
      <c r="Q16" s="53"/>
      <c r="R16" s="52">
        <v>1</v>
      </c>
      <c r="S16" s="36"/>
      <c r="T16" s="53"/>
      <c r="U16" s="52">
        <v>1</v>
      </c>
      <c r="V16" s="36"/>
      <c r="W16" s="53"/>
      <c r="X16" s="52">
        <v>1</v>
      </c>
      <c r="Y16" s="36"/>
      <c r="Z16" s="53"/>
      <c r="AA16" s="52">
        <v>1</v>
      </c>
      <c r="AB16" s="36">
        <v>1</v>
      </c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5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7"/>
      <c r="I17" s="52">
        <v>1</v>
      </c>
      <c r="J17" s="36"/>
      <c r="K17" s="53"/>
      <c r="L17" s="52">
        <v>1</v>
      </c>
      <c r="M17" s="36"/>
      <c r="N17" s="167">
        <v>1</v>
      </c>
      <c r="O17" s="52">
        <v>1</v>
      </c>
      <c r="P17" s="36"/>
      <c r="Q17" s="53"/>
      <c r="R17" s="52">
        <v>1</v>
      </c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5</v>
      </c>
      <c r="D18" s="58">
        <f t="shared" si="5"/>
        <v>1</v>
      </c>
      <c r="E18" s="51">
        <f t="shared" si="6"/>
        <v>0</v>
      </c>
      <c r="F18" s="52">
        <v>1</v>
      </c>
      <c r="G18" s="36"/>
      <c r="H18" s="167"/>
      <c r="I18" s="52"/>
      <c r="J18" s="36"/>
      <c r="K18" s="53"/>
      <c r="L18" s="52">
        <v>1</v>
      </c>
      <c r="M18" s="36"/>
      <c r="N18" s="167"/>
      <c r="O18" s="52"/>
      <c r="P18" s="36"/>
      <c r="Q18" s="53"/>
      <c r="R18" s="52"/>
      <c r="S18" s="36"/>
      <c r="T18" s="53"/>
      <c r="U18" s="52">
        <v>1</v>
      </c>
      <c r="V18" s="36"/>
      <c r="W18" s="53"/>
      <c r="X18" s="52">
        <v>1</v>
      </c>
      <c r="Y18" s="36">
        <v>1</v>
      </c>
      <c r="Z18" s="53"/>
      <c r="AA18" s="52">
        <v>1</v>
      </c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7"/>
      <c r="I19" s="52"/>
      <c r="J19" s="36"/>
      <c r="K19" s="53"/>
      <c r="L19" s="52"/>
      <c r="M19" s="36"/>
      <c r="N19" s="167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8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7"/>
      <c r="I20" s="52">
        <v>1</v>
      </c>
      <c r="J20" s="36"/>
      <c r="K20" s="53"/>
      <c r="L20" s="52">
        <v>1</v>
      </c>
      <c r="M20" s="36"/>
      <c r="N20" s="167"/>
      <c r="O20" s="52">
        <v>1</v>
      </c>
      <c r="P20" s="36"/>
      <c r="Q20" s="53"/>
      <c r="R20" s="52">
        <v>1</v>
      </c>
      <c r="S20" s="36"/>
      <c r="T20" s="53"/>
      <c r="U20" s="52">
        <v>1</v>
      </c>
      <c r="V20" s="36"/>
      <c r="W20" s="53"/>
      <c r="X20" s="52">
        <v>1</v>
      </c>
      <c r="Y20" s="36"/>
      <c r="Z20" s="53"/>
      <c r="AA20" s="52">
        <v>1</v>
      </c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8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7"/>
      <c r="I21" s="52">
        <v>1</v>
      </c>
      <c r="J21" s="36"/>
      <c r="K21" s="53"/>
      <c r="L21" s="52">
        <v>1</v>
      </c>
      <c r="M21" s="36">
        <v>1</v>
      </c>
      <c r="N21" s="167"/>
      <c r="O21" s="52">
        <v>1</v>
      </c>
      <c r="P21" s="36"/>
      <c r="Q21" s="53"/>
      <c r="R21" s="52">
        <v>1</v>
      </c>
      <c r="S21" s="36"/>
      <c r="T21" s="53"/>
      <c r="U21" s="52">
        <v>1</v>
      </c>
      <c r="V21" s="36"/>
      <c r="W21" s="53"/>
      <c r="X21" s="52">
        <v>1</v>
      </c>
      <c r="Y21" s="36"/>
      <c r="Z21" s="53"/>
      <c r="AA21" s="52">
        <v>1</v>
      </c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7"/>
      <c r="I22" s="52"/>
      <c r="J22" s="36"/>
      <c r="K22" s="53"/>
      <c r="L22" s="52"/>
      <c r="M22" s="36"/>
      <c r="N22" s="167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8</v>
      </c>
      <c r="D23" s="58">
        <f t="shared" si="5"/>
        <v>1</v>
      </c>
      <c r="E23" s="51">
        <f t="shared" si="6"/>
        <v>2</v>
      </c>
      <c r="F23" s="52">
        <v>1</v>
      </c>
      <c r="G23" s="36"/>
      <c r="H23" s="167">
        <v>1</v>
      </c>
      <c r="I23" s="52">
        <v>1</v>
      </c>
      <c r="J23" s="36"/>
      <c r="K23" s="53">
        <v>1</v>
      </c>
      <c r="L23" s="52">
        <v>1</v>
      </c>
      <c r="M23" s="36"/>
      <c r="N23" s="167"/>
      <c r="O23" s="52">
        <v>1</v>
      </c>
      <c r="P23" s="36"/>
      <c r="Q23" s="53"/>
      <c r="R23" s="52">
        <v>1</v>
      </c>
      <c r="S23" s="36"/>
      <c r="T23" s="53"/>
      <c r="U23" s="52">
        <v>1</v>
      </c>
      <c r="V23" s="36">
        <v>1</v>
      </c>
      <c r="W23" s="53"/>
      <c r="X23" s="52">
        <v>1</v>
      </c>
      <c r="Y23" s="36"/>
      <c r="Z23" s="53"/>
      <c r="AA23" s="52">
        <v>1</v>
      </c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7"/>
      <c r="I24" s="52"/>
      <c r="J24" s="36"/>
      <c r="K24" s="53"/>
      <c r="L24" s="52"/>
      <c r="M24" s="36"/>
      <c r="N24" s="167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6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7"/>
      <c r="I25" s="52">
        <v>1</v>
      </c>
      <c r="J25" s="36"/>
      <c r="K25" s="53"/>
      <c r="L25" s="52">
        <v>1</v>
      </c>
      <c r="M25" s="36"/>
      <c r="N25" s="167"/>
      <c r="O25" s="52">
        <v>1</v>
      </c>
      <c r="P25" s="36"/>
      <c r="Q25" s="53"/>
      <c r="R25" s="52">
        <v>1</v>
      </c>
      <c r="S25" s="36"/>
      <c r="T25" s="53"/>
      <c r="U25" s="52"/>
      <c r="V25" s="36"/>
      <c r="W25" s="53"/>
      <c r="X25" s="52"/>
      <c r="Y25" s="36"/>
      <c r="Z25" s="53"/>
      <c r="AA25" s="52">
        <v>1</v>
      </c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6</v>
      </c>
      <c r="D26" s="58">
        <f t="shared" si="5"/>
        <v>2</v>
      </c>
      <c r="E26" s="51">
        <f t="shared" si="6"/>
        <v>0</v>
      </c>
      <c r="F26" s="52"/>
      <c r="G26" s="36"/>
      <c r="H26" s="167"/>
      <c r="I26" s="52">
        <v>1</v>
      </c>
      <c r="J26" s="36"/>
      <c r="K26" s="53"/>
      <c r="L26" s="52"/>
      <c r="M26" s="36"/>
      <c r="N26" s="167"/>
      <c r="O26" s="52">
        <v>1</v>
      </c>
      <c r="P26" s="36">
        <v>1</v>
      </c>
      <c r="Q26" s="53"/>
      <c r="R26" s="52">
        <v>1</v>
      </c>
      <c r="S26" s="36"/>
      <c r="T26" s="53"/>
      <c r="U26" s="52">
        <v>1</v>
      </c>
      <c r="V26" s="36">
        <v>1</v>
      </c>
      <c r="W26" s="53"/>
      <c r="X26" s="52">
        <v>1</v>
      </c>
      <c r="Y26" s="36"/>
      <c r="Z26" s="53"/>
      <c r="AA26" s="52">
        <v>1</v>
      </c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7"/>
      <c r="I27" s="52"/>
      <c r="J27" s="36"/>
      <c r="K27" s="53"/>
      <c r="L27" s="52"/>
      <c r="M27" s="36"/>
      <c r="N27" s="167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8</v>
      </c>
      <c r="D28" s="58">
        <f t="shared" si="5"/>
        <v>0</v>
      </c>
      <c r="E28" s="51">
        <f t="shared" si="6"/>
        <v>4</v>
      </c>
      <c r="F28" s="52">
        <v>1</v>
      </c>
      <c r="G28" s="36"/>
      <c r="H28" s="167"/>
      <c r="I28" s="52">
        <v>1</v>
      </c>
      <c r="J28" s="36"/>
      <c r="K28" s="53"/>
      <c r="L28" s="52">
        <v>1</v>
      </c>
      <c r="M28" s="36"/>
      <c r="N28" s="167">
        <v>1</v>
      </c>
      <c r="O28" s="52">
        <v>1</v>
      </c>
      <c r="P28" s="36"/>
      <c r="Q28" s="53">
        <v>1</v>
      </c>
      <c r="R28" s="52">
        <v>1</v>
      </c>
      <c r="S28" s="36"/>
      <c r="T28" s="53"/>
      <c r="U28" s="52">
        <v>1</v>
      </c>
      <c r="V28" s="36"/>
      <c r="W28" s="53">
        <v>1</v>
      </c>
      <c r="X28" s="52">
        <v>1</v>
      </c>
      <c r="Y28" s="36"/>
      <c r="Z28" s="53">
        <v>1</v>
      </c>
      <c r="AA28" s="52">
        <v>1</v>
      </c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7"/>
      <c r="I29" s="52"/>
      <c r="J29" s="36"/>
      <c r="K29" s="53"/>
      <c r="L29" s="52"/>
      <c r="M29" s="36"/>
      <c r="N29" s="167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7"/>
      <c r="I30" s="52"/>
      <c r="J30" s="36"/>
      <c r="K30" s="53"/>
      <c r="L30" s="52"/>
      <c r="M30" s="36"/>
      <c r="N30" s="167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45</v>
      </c>
      <c r="B31" s="148" t="s">
        <v>464</v>
      </c>
      <c r="C31" s="58">
        <f t="shared" ref="C31:C33" si="8">SUM(F31,I31,L31,O31,R31,U31,X31,AA31,AD31,AG31,AJ31,AM31,AP31,AS31,AV31,AY31,BB31,BE31,BH31,BK31,BN31,BQ31,BT31,BW31,BZ31,CC31,CF31,CI31,CL31,CO31,CR31,CU31,CX31,DA31,DD31,DG31,DJ31,DM31)</f>
        <v>0</v>
      </c>
      <c r="D31" s="58">
        <f t="shared" ref="D31:D33" si="9">SUM(G31,J31,M31,P31,S31,V31,Y31,AB31,AE31,AH31,AK31,AN31,AQ31,AT31,AW31,AZ31,BC31,BF31,BI31,BL31,BO31,BR31,BU31,BX31,CA31,CD31,CG31,CJ31,CM31,CP31,CS31,CV31,CY31,DB31,DE31,DH31,DK31,DN31)</f>
        <v>0</v>
      </c>
      <c r="E31" s="51">
        <f t="shared" ref="E31:E33" si="10"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167"/>
      <c r="I31" s="52"/>
      <c r="J31" s="36"/>
      <c r="K31" s="53"/>
      <c r="L31" s="52"/>
      <c r="M31" s="36"/>
      <c r="N31" s="167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1">
        <f t="shared" si="10"/>
        <v>0</v>
      </c>
      <c r="F32" s="52"/>
      <c r="G32" s="36"/>
      <c r="H32" s="167"/>
      <c r="I32" s="52"/>
      <c r="J32" s="36"/>
      <c r="K32" s="53"/>
      <c r="L32" s="52"/>
      <c r="M32" s="36"/>
      <c r="N32" s="167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8"/>
        <v>6</v>
      </c>
      <c r="D33" s="58">
        <f t="shared" si="9"/>
        <v>0</v>
      </c>
      <c r="E33" s="51">
        <f t="shared" si="10"/>
        <v>0</v>
      </c>
      <c r="F33" s="52">
        <v>1</v>
      </c>
      <c r="G33" s="36"/>
      <c r="H33" s="167"/>
      <c r="I33" s="52">
        <v>1</v>
      </c>
      <c r="J33" s="36"/>
      <c r="K33" s="53"/>
      <c r="L33" s="52">
        <v>1</v>
      </c>
      <c r="M33" s="36"/>
      <c r="N33" s="167"/>
      <c r="O33" s="52">
        <v>1</v>
      </c>
      <c r="P33" s="36"/>
      <c r="Q33" s="53"/>
      <c r="R33" s="52"/>
      <c r="S33" s="36"/>
      <c r="T33" s="53"/>
      <c r="U33" s="52">
        <v>1</v>
      </c>
      <c r="V33" s="36"/>
      <c r="W33" s="53"/>
      <c r="X33" s="52"/>
      <c r="Y33" s="36"/>
      <c r="Z33" s="53"/>
      <c r="AA33" s="52">
        <v>1</v>
      </c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7">
        <v>53</v>
      </c>
      <c r="B34" s="149" t="s">
        <v>483</v>
      </c>
      <c r="C34" s="58">
        <f t="shared" ref="C34:C39" si="11">SUM(F34,I34,L34,O34,R34,U34,X34,AA34,AD34,AG34,AJ34,AM34,AP34,AS34,AV34,AY34,BB34,BE34,BH34,BK34,BN34,BQ34,BT34,BW34,BZ34,CC34,CF34,CI34,CL34,CO34,CR34,CU34,CX34,DA34,DD34,DG34,DJ34,DM34)</f>
        <v>0</v>
      </c>
      <c r="D34" s="58">
        <f t="shared" ref="D34:D39" si="12">SUM(G34,J34,M34,P34,S34,V34,Y34,AB34,AE34,AH34,AK34,AN34,AQ34,AT34,AW34,AZ34,BC34,BF34,BI34,BL34,BO34,BR34,BU34,BX34,CA34,CD34,CG34,CJ34,CM34,CP34,CS34,CV34,CY34,DB34,DE34,DH34,DK34,DN34)</f>
        <v>0</v>
      </c>
      <c r="E34" s="51">
        <f t="shared" ref="E34:E39" si="13">SUM(H34,K34,N34,Q34,T34,W34,Z34,AC34,AF34,AI34,AL34,AO34,AR34,AU34,AX34,BA34,BD34,BG34,BJ34,BM34,BP34,BS34,BV34,BY34,CB34,CE34,CH34,CK34,CN34,CQ34,CT34,CW34,CZ34,DC34,DF34,DI34,DL34,DO34)</f>
        <v>0</v>
      </c>
      <c r="F34" s="52"/>
      <c r="G34" s="36"/>
      <c r="H34" s="167"/>
      <c r="I34" s="52"/>
      <c r="J34" s="36"/>
      <c r="K34" s="53"/>
      <c r="L34" s="52"/>
      <c r="M34" s="36"/>
      <c r="N34" s="167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55</v>
      </c>
      <c r="B35" s="37" t="s">
        <v>301</v>
      </c>
      <c r="C35" s="58">
        <f t="shared" si="11"/>
        <v>0</v>
      </c>
      <c r="D35" s="58">
        <f t="shared" si="12"/>
        <v>0</v>
      </c>
      <c r="E35" s="51">
        <f t="shared" si="13"/>
        <v>0</v>
      </c>
      <c r="F35" s="52"/>
      <c r="G35" s="36"/>
      <c r="H35" s="167"/>
      <c r="I35" s="52"/>
      <c r="J35" s="36"/>
      <c r="K35" s="53"/>
      <c r="L35" s="52"/>
      <c r="M35" s="36"/>
      <c r="N35" s="167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322</v>
      </c>
      <c r="C36" s="58">
        <f t="shared" si="11"/>
        <v>2</v>
      </c>
      <c r="D36" s="58">
        <f t="shared" si="12"/>
        <v>0</v>
      </c>
      <c r="E36" s="51">
        <f t="shared" si="13"/>
        <v>0</v>
      </c>
      <c r="F36" s="52"/>
      <c r="G36" s="36"/>
      <c r="H36" s="167"/>
      <c r="I36" s="52"/>
      <c r="J36" s="36"/>
      <c r="K36" s="53"/>
      <c r="L36" s="52"/>
      <c r="M36" s="36"/>
      <c r="N36" s="167"/>
      <c r="O36" s="52"/>
      <c r="P36" s="36"/>
      <c r="Q36" s="53"/>
      <c r="R36" s="52">
        <v>1</v>
      </c>
      <c r="S36" s="36"/>
      <c r="T36" s="53"/>
      <c r="U36" s="52"/>
      <c r="V36" s="36"/>
      <c r="W36" s="53"/>
      <c r="X36" s="52"/>
      <c r="Y36" s="36"/>
      <c r="Z36" s="53"/>
      <c r="AA36" s="52">
        <v>1</v>
      </c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58</v>
      </c>
      <c r="B37" s="148" t="s">
        <v>292</v>
      </c>
      <c r="C37" s="58">
        <f>SUM(F37,I37,L37,O37,R37,U37,X37,AA37,AD37,AG37,AJ37,AM37,AP37,AS37,AV37,AY37,BB37,BE37,BH37,BK37,BN37,BQ37,BT37,BW37,BZ37,CC37,CF37,CI37,CL37,CO37,CR37,CU37,CX37,DA37,DD37,DG37,DJ37,DM37)</f>
        <v>0</v>
      </c>
      <c r="D37" s="58">
        <f>SUM(G37,J37,M37,P37,S37,V37,Y37,AB37,AE37,AH37,AK37,AN37,AQ37,AT37,AW37,AZ37,BC37,BF37,BI37,BL37,BO37,BR37,BU37,BX37,CA37,CD37,CG37,CJ37,CM37,CP37,CS37,CV37,CY37,DB37,DE37,DH37,DK37,DN37)</f>
        <v>0</v>
      </c>
      <c r="E37" s="51">
        <f>SUM(H37,K37,N37,Q37,T37,W37,Z37,AC37,AF37,AI37,AL37,AO37,AR37,AU37,AX37,BA37,BD37,BG37,BJ37,BM37,BP37,BS37,BV37,BY37,CB37,CE37,CH37,CK37,CN37,CQ37,CT37,CW37,CZ37,DC37,DF37,DI37,DL37,DO37)</f>
        <v>0</v>
      </c>
      <c r="F37" s="52"/>
      <c r="G37" s="36"/>
      <c r="H37" s="167"/>
      <c r="I37" s="52"/>
      <c r="J37" s="36"/>
      <c r="K37" s="53"/>
      <c r="L37" s="52"/>
      <c r="M37" s="36"/>
      <c r="N37" s="167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71</v>
      </c>
      <c r="B38" s="148" t="s">
        <v>339</v>
      </c>
      <c r="C38" s="58">
        <f t="shared" si="11"/>
        <v>0</v>
      </c>
      <c r="D38" s="58">
        <f t="shared" si="12"/>
        <v>0</v>
      </c>
      <c r="E38" s="51">
        <f t="shared" si="13"/>
        <v>0</v>
      </c>
      <c r="F38" s="52"/>
      <c r="G38" s="36"/>
      <c r="H38" s="167"/>
      <c r="I38" s="52"/>
      <c r="J38" s="36"/>
      <c r="K38" s="53"/>
      <c r="L38" s="52"/>
      <c r="M38" s="36"/>
      <c r="N38" s="167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ht="15.75" thickBot="1" x14ac:dyDescent="0.3">
      <c r="A39" s="28">
        <v>89</v>
      </c>
      <c r="B39" s="148" t="s">
        <v>333</v>
      </c>
      <c r="C39" s="58">
        <f t="shared" si="11"/>
        <v>0</v>
      </c>
      <c r="D39" s="58">
        <f t="shared" si="12"/>
        <v>0</v>
      </c>
      <c r="E39" s="51">
        <f t="shared" si="13"/>
        <v>0</v>
      </c>
      <c r="F39" s="146"/>
      <c r="G39" s="163"/>
      <c r="H39" s="201"/>
      <c r="I39" s="146"/>
      <c r="J39" s="163"/>
      <c r="K39" s="147"/>
      <c r="L39" s="146"/>
      <c r="M39" s="163"/>
      <c r="N39" s="201"/>
      <c r="O39" s="146"/>
      <c r="P39" s="163"/>
      <c r="Q39" s="147"/>
      <c r="R39" s="146"/>
      <c r="S39" s="163"/>
      <c r="T39" s="147"/>
      <c r="U39" s="146"/>
      <c r="V39" s="163"/>
      <c r="W39" s="147"/>
      <c r="X39" s="146"/>
      <c r="Y39" s="163"/>
      <c r="Z39" s="147"/>
      <c r="AA39" s="146"/>
      <c r="AB39" s="163"/>
      <c r="AC39" s="147"/>
      <c r="AD39" s="146"/>
      <c r="AE39" s="163"/>
      <c r="AF39" s="147"/>
      <c r="AG39" s="146"/>
      <c r="AH39" s="163"/>
      <c r="AI39" s="147"/>
      <c r="AJ39" s="146"/>
      <c r="AK39" s="163"/>
      <c r="AL39" s="147"/>
      <c r="AM39" s="146"/>
      <c r="AN39" s="163"/>
      <c r="AO39" s="147"/>
      <c r="AP39" s="146"/>
      <c r="AQ39" s="163"/>
      <c r="AR39" s="147"/>
      <c r="AS39" s="146"/>
      <c r="AT39" s="163"/>
      <c r="AU39" s="147"/>
      <c r="AV39" s="146"/>
      <c r="AW39" s="163"/>
      <c r="AX39" s="147"/>
      <c r="AY39" s="146"/>
      <c r="AZ39" s="163"/>
      <c r="BA39" s="147"/>
      <c r="BB39" s="146"/>
      <c r="BC39" s="163"/>
      <c r="BD39" s="147"/>
      <c r="BE39" s="146"/>
      <c r="BF39" s="163"/>
      <c r="BG39" s="147"/>
      <c r="BH39" s="146"/>
      <c r="BI39" s="163"/>
      <c r="BJ39" s="147"/>
      <c r="BK39" s="146"/>
      <c r="BL39" s="163"/>
      <c r="BM39" s="147"/>
      <c r="BN39" s="146"/>
      <c r="BO39" s="163"/>
      <c r="BP39" s="147"/>
      <c r="BQ39" s="146"/>
      <c r="BR39" s="163"/>
      <c r="BS39" s="147"/>
      <c r="BT39" s="146"/>
      <c r="BU39" s="163"/>
      <c r="BV39" s="147"/>
      <c r="BW39" s="146"/>
      <c r="BX39" s="163"/>
      <c r="BY39" s="147"/>
      <c r="BZ39" s="146"/>
      <c r="CA39" s="163"/>
      <c r="CB39" s="147"/>
      <c r="CC39" s="146"/>
      <c r="CD39" s="163"/>
      <c r="CE39" s="147"/>
      <c r="CF39" s="146"/>
      <c r="CG39" s="163"/>
      <c r="CH39" s="147"/>
      <c r="CI39" s="146"/>
      <c r="CJ39" s="163"/>
      <c r="CK39" s="147"/>
      <c r="CL39" s="146"/>
      <c r="CM39" s="163"/>
      <c r="CN39" s="147"/>
      <c r="CO39" s="146"/>
      <c r="CP39" s="163"/>
      <c r="CQ39" s="147"/>
      <c r="CR39" s="146"/>
      <c r="CS39" s="163"/>
      <c r="CT39" s="147"/>
      <c r="CU39" s="146"/>
      <c r="CV39" s="163"/>
      <c r="CW39" s="147"/>
      <c r="CX39" s="146"/>
      <c r="CY39" s="163"/>
      <c r="CZ39" s="147"/>
      <c r="DA39" s="146"/>
      <c r="DB39" s="163"/>
      <c r="DC39" s="147"/>
      <c r="DD39" s="146"/>
      <c r="DE39" s="163"/>
      <c r="DF39" s="147"/>
      <c r="DG39" s="146"/>
      <c r="DH39" s="163"/>
      <c r="DI39" s="147"/>
      <c r="DJ39" s="146"/>
      <c r="DK39" s="163"/>
      <c r="DL39" s="147"/>
      <c r="DM39" s="146"/>
      <c r="DN39" s="163"/>
      <c r="DO39" s="147"/>
    </row>
    <row r="40" spans="1:119" s="54" customFormat="1" x14ac:dyDescent="0.25">
      <c r="A40"/>
      <c r="B40"/>
      <c r="C40"/>
      <c r="D40"/>
      <c r="E40"/>
      <c r="F40" s="73">
        <f>SUM(F4:F39)</f>
        <v>16</v>
      </c>
      <c r="G40" s="73">
        <f>SUM(G4:G39)</f>
        <v>3</v>
      </c>
      <c r="H40" s="73">
        <f>SUM(H4:H39)</f>
        <v>2</v>
      </c>
      <c r="I40" s="73">
        <f>SUM(I4:I39)</f>
        <v>16</v>
      </c>
      <c r="J40" s="73">
        <f>SUM(J4:J39)</f>
        <v>1</v>
      </c>
      <c r="K40" s="73">
        <f>SUM(K4:K39)</f>
        <v>1</v>
      </c>
      <c r="L40" s="73">
        <f>SUM(L4:L39)</f>
        <v>16</v>
      </c>
      <c r="M40" s="73">
        <f>SUM(M4:M39)</f>
        <v>2</v>
      </c>
      <c r="N40" s="73">
        <f>SUM(N4:N39)</f>
        <v>2</v>
      </c>
      <c r="O40" s="73">
        <f>SUM(O4:O39)</f>
        <v>16</v>
      </c>
      <c r="P40" s="73">
        <f>SUM(P4:P39)</f>
        <v>2</v>
      </c>
      <c r="Q40" s="73">
        <f>SUM(Q4:Q39)</f>
        <v>1</v>
      </c>
      <c r="R40" s="73">
        <f>SUM(R4:R39)</f>
        <v>16</v>
      </c>
      <c r="S40" s="73">
        <f>SUM(S4:S39)</f>
        <v>0</v>
      </c>
      <c r="T40" s="73">
        <f>SUM(T4:T39)</f>
        <v>0</v>
      </c>
      <c r="U40" s="73">
        <f>SUM(U4:U39)</f>
        <v>16</v>
      </c>
      <c r="V40" s="73">
        <f>SUM(V4:V39)</f>
        <v>2</v>
      </c>
      <c r="W40" s="73">
        <f>SUM(W4:W39)</f>
        <v>2</v>
      </c>
      <c r="X40" s="73">
        <f>SUM(X4:X39)</f>
        <v>15</v>
      </c>
      <c r="Y40" s="73">
        <f>SUM(Y4:Y39)</f>
        <v>1</v>
      </c>
      <c r="Z40" s="73">
        <f>SUM(Z4:Z39)</f>
        <v>1</v>
      </c>
      <c r="AA40" s="73">
        <f>SUM(AA4:AA39)</f>
        <v>16</v>
      </c>
      <c r="AB40" s="73">
        <f>SUM(AB4:AB39)</f>
        <v>2</v>
      </c>
      <c r="AC40" s="73">
        <f>SUM(AC4:AC39)</f>
        <v>2</v>
      </c>
      <c r="AD40" s="73">
        <f>SUM(AD4:AD39)</f>
        <v>0</v>
      </c>
      <c r="AE40" s="73">
        <f>SUM(AE4:AE39)</f>
        <v>0</v>
      </c>
      <c r="AF40" s="73">
        <f>SUM(AF4:AF39)</f>
        <v>0</v>
      </c>
      <c r="AG40" s="73">
        <f>SUM(AG4:AG39)</f>
        <v>0</v>
      </c>
      <c r="AH40" s="73">
        <f>SUM(AH4:AH39)</f>
        <v>0</v>
      </c>
      <c r="AI40" s="73">
        <f>SUM(AI4:AI39)</f>
        <v>0</v>
      </c>
      <c r="AJ40" s="73">
        <f>SUM(AJ4:AJ39)</f>
        <v>0</v>
      </c>
      <c r="AK40" s="73">
        <f>SUM(AK4:AK39)</f>
        <v>0</v>
      </c>
      <c r="AL40" s="73">
        <f>SUM(AL4:AL39)</f>
        <v>0</v>
      </c>
      <c r="AM40" s="73">
        <f>SUM(AM4:AM39)</f>
        <v>0</v>
      </c>
      <c r="AN40" s="73">
        <f>SUM(AN4:AN39)</f>
        <v>0</v>
      </c>
      <c r="AO40" s="73">
        <f>SUM(AO4:AO39)</f>
        <v>0</v>
      </c>
      <c r="AP40" s="73">
        <f>SUM(AP4:AP39)</f>
        <v>0</v>
      </c>
      <c r="AQ40" s="73">
        <f>SUM(AQ4:AQ39)</f>
        <v>0</v>
      </c>
      <c r="AR40" s="73">
        <f>SUM(AR4:AR39)</f>
        <v>0</v>
      </c>
      <c r="AS40" s="73">
        <f>SUM(AS4:AS39)</f>
        <v>0</v>
      </c>
      <c r="AT40" s="73">
        <f>SUM(AT4:AT39)</f>
        <v>0</v>
      </c>
      <c r="AU40" s="73">
        <f>SUM(AU4:AU39)</f>
        <v>0</v>
      </c>
      <c r="AV40" s="73">
        <f>SUM(AV4:AV39)</f>
        <v>0</v>
      </c>
      <c r="AW40" s="73">
        <f>SUM(AW4:AW39)</f>
        <v>0</v>
      </c>
      <c r="AX40" s="73">
        <f>SUM(AX4:AX39)</f>
        <v>0</v>
      </c>
      <c r="AY40" s="73">
        <f>SUM(AY4:AY39)</f>
        <v>0</v>
      </c>
      <c r="AZ40" s="73">
        <f>SUM(AZ4:AZ39)</f>
        <v>0</v>
      </c>
      <c r="BA40" s="73">
        <f>SUM(BA4:BA39)</f>
        <v>0</v>
      </c>
      <c r="BB40" s="73">
        <f>SUM(BB4:BB39)</f>
        <v>0</v>
      </c>
      <c r="BC40" s="73">
        <f>SUM(BC4:BC39)</f>
        <v>0</v>
      </c>
      <c r="BD40" s="73">
        <f>SUM(BD4:BD39)</f>
        <v>0</v>
      </c>
      <c r="BE40" s="73">
        <f>SUM(BE4:BE39)</f>
        <v>0</v>
      </c>
      <c r="BF40" s="73">
        <f>SUM(BF4:BF39)</f>
        <v>0</v>
      </c>
      <c r="BG40" s="73">
        <f>SUM(BG4:BG39)</f>
        <v>0</v>
      </c>
      <c r="BH40" s="73">
        <f>SUM(BH4:BH39)</f>
        <v>0</v>
      </c>
      <c r="BI40" s="73">
        <f>SUM(BI4:BI39)</f>
        <v>0</v>
      </c>
      <c r="BJ40" s="73">
        <f>SUM(BJ4:BJ39)</f>
        <v>0</v>
      </c>
      <c r="BK40" s="73">
        <f>SUM(BK4:BK39)</f>
        <v>0</v>
      </c>
      <c r="BL40" s="73">
        <f>SUM(BL4:BL39)</f>
        <v>0</v>
      </c>
      <c r="BM40" s="73">
        <f>SUM(BM4:BM39)</f>
        <v>0</v>
      </c>
      <c r="BN40" s="73">
        <f>SUM(BN4:BN39)</f>
        <v>0</v>
      </c>
      <c r="BO40" s="73">
        <f>SUM(BO4:BO39)</f>
        <v>0</v>
      </c>
      <c r="BP40" s="73">
        <f>SUM(BP4:BP39)</f>
        <v>0</v>
      </c>
      <c r="BQ40" s="73">
        <f>SUM(BQ4:BQ39)</f>
        <v>0</v>
      </c>
      <c r="BR40" s="73">
        <f>SUM(BR4:BR39)</f>
        <v>0</v>
      </c>
      <c r="BS40" s="73">
        <f>SUM(BS4:BS39)</f>
        <v>0</v>
      </c>
      <c r="BT40" s="73">
        <f>SUM(BT4:BT39)</f>
        <v>0</v>
      </c>
      <c r="BU40" s="73">
        <f>SUM(BU4:BU39)</f>
        <v>0</v>
      </c>
      <c r="BV40" s="73">
        <f>SUM(BV4:BV39)</f>
        <v>0</v>
      </c>
      <c r="BW40" s="73">
        <f>SUM(BW4:BW39)</f>
        <v>0</v>
      </c>
      <c r="BX40" s="73">
        <f>SUM(BX4:BX39)</f>
        <v>0</v>
      </c>
      <c r="BY40" s="73">
        <f>SUM(BY4:BY39)</f>
        <v>0</v>
      </c>
      <c r="BZ40" s="73">
        <f>SUM(BZ4:BZ39)</f>
        <v>0</v>
      </c>
      <c r="CA40" s="73">
        <f>SUM(CA4:CA39)</f>
        <v>0</v>
      </c>
      <c r="CB40" s="73">
        <f>SUM(CB4:CB39)</f>
        <v>0</v>
      </c>
      <c r="CC40" s="73">
        <f>SUM(CC4:CC39)</f>
        <v>0</v>
      </c>
      <c r="CD40" s="73">
        <f>SUM(CD4:CD39)</f>
        <v>0</v>
      </c>
      <c r="CE40" s="73">
        <f>SUM(CE4:CE39)</f>
        <v>0</v>
      </c>
      <c r="CF40" s="73">
        <f>SUM(CF4:CF39)</f>
        <v>0</v>
      </c>
      <c r="CG40" s="73">
        <f>SUM(CG4:CG39)</f>
        <v>0</v>
      </c>
      <c r="CH40" s="73">
        <f>SUM(CH4:CH39)</f>
        <v>0</v>
      </c>
      <c r="CI40" s="73">
        <f>SUM(CI4:CI39)</f>
        <v>0</v>
      </c>
      <c r="CJ40" s="73">
        <f>SUM(CJ4:CJ39)</f>
        <v>0</v>
      </c>
      <c r="CK40" s="73">
        <f>SUM(CK4:CK39)</f>
        <v>0</v>
      </c>
      <c r="CL40" s="73">
        <f>SUM(CL4:CL39)</f>
        <v>0</v>
      </c>
      <c r="CM40" s="73">
        <f>SUM(CM4:CM39)</f>
        <v>0</v>
      </c>
      <c r="CN40" s="73">
        <f>SUM(CN4:CN39)</f>
        <v>0</v>
      </c>
      <c r="CO40" s="73">
        <f>SUM(CO4:CO39)</f>
        <v>0</v>
      </c>
      <c r="CP40" s="73">
        <f>SUM(CP4:CP39)</f>
        <v>0</v>
      </c>
      <c r="CQ40" s="73">
        <f>SUM(CQ4:CQ39)</f>
        <v>0</v>
      </c>
      <c r="CR40" s="73">
        <f>SUM(CR4:CR39)</f>
        <v>0</v>
      </c>
      <c r="CS40" s="73">
        <f>SUM(CS4:CS39)</f>
        <v>0</v>
      </c>
      <c r="CT40" s="73">
        <f>SUM(CT4:CT39)</f>
        <v>0</v>
      </c>
      <c r="CU40" s="73">
        <f>SUM(CU4:CU39)</f>
        <v>0</v>
      </c>
      <c r="CV40" s="73">
        <f>SUM(CV4:CV39)</f>
        <v>0</v>
      </c>
      <c r="CW40" s="73">
        <f>SUM(CW4:CW39)</f>
        <v>0</v>
      </c>
      <c r="CX40" s="73">
        <f t="shared" ref="CX40:DO40" si="14">SUM(CX4:CX39)</f>
        <v>0</v>
      </c>
      <c r="CY40" s="73">
        <f t="shared" si="14"/>
        <v>0</v>
      </c>
      <c r="CZ40" s="73">
        <f t="shared" si="14"/>
        <v>0</v>
      </c>
      <c r="DA40" s="73">
        <f t="shared" si="14"/>
        <v>0</v>
      </c>
      <c r="DB40" s="73">
        <f t="shared" si="14"/>
        <v>0</v>
      </c>
      <c r="DC40" s="73">
        <f t="shared" si="14"/>
        <v>0</v>
      </c>
      <c r="DD40" s="73">
        <f t="shared" si="14"/>
        <v>0</v>
      </c>
      <c r="DE40" s="73">
        <f t="shared" si="14"/>
        <v>0</v>
      </c>
      <c r="DF40" s="73">
        <f t="shared" si="14"/>
        <v>0</v>
      </c>
      <c r="DG40" s="73">
        <f t="shared" si="14"/>
        <v>0</v>
      </c>
      <c r="DH40" s="73">
        <f t="shared" si="14"/>
        <v>0</v>
      </c>
      <c r="DI40" s="73">
        <f t="shared" si="14"/>
        <v>0</v>
      </c>
      <c r="DJ40" s="73">
        <f t="shared" si="14"/>
        <v>0</v>
      </c>
      <c r="DK40" s="73">
        <f t="shared" si="14"/>
        <v>0</v>
      </c>
      <c r="DL40" s="73">
        <f t="shared" si="14"/>
        <v>0</v>
      </c>
      <c r="DM40" s="73">
        <f t="shared" si="14"/>
        <v>0</v>
      </c>
      <c r="DN40" s="73">
        <f t="shared" si="14"/>
        <v>0</v>
      </c>
      <c r="DO40" s="73">
        <f t="shared" si="14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39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0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0"/>
  <sheetViews>
    <sheetView zoomScale="85" zoomScaleNormal="85" workbookViewId="0">
      <selection activeCell="P43" sqref="P4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6" t="s">
        <v>396</v>
      </c>
      <c r="D1" s="236" t="s">
        <v>397</v>
      </c>
      <c r="E1" s="236" t="s">
        <v>398</v>
      </c>
      <c r="F1" s="227" t="s">
        <v>302</v>
      </c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9"/>
      <c r="AD1" s="239" t="s">
        <v>281</v>
      </c>
      <c r="AE1" s="240"/>
      <c r="AF1" s="240"/>
      <c r="AG1" s="240"/>
      <c r="AH1" s="240"/>
      <c r="AI1" s="241"/>
      <c r="AJ1" s="227" t="s">
        <v>282</v>
      </c>
      <c r="AK1" s="228"/>
      <c r="AL1" s="228"/>
      <c r="AM1" s="228"/>
      <c r="AN1" s="228"/>
      <c r="AO1" s="229"/>
      <c r="AP1" s="230" t="s">
        <v>283</v>
      </c>
      <c r="AQ1" s="231"/>
      <c r="AR1" s="231"/>
      <c r="AS1" s="231"/>
      <c r="AT1" s="231"/>
      <c r="AU1" s="232"/>
      <c r="AV1" s="233" t="s">
        <v>86</v>
      </c>
      <c r="AW1" s="234"/>
      <c r="AX1" s="235"/>
    </row>
    <row r="2" spans="1:50" x14ac:dyDescent="0.25">
      <c r="A2" s="3"/>
      <c r="B2" s="5"/>
      <c r="C2" s="237"/>
      <c r="D2" s="237"/>
      <c r="E2" s="237"/>
      <c r="F2" s="224" t="s">
        <v>455</v>
      </c>
      <c r="G2" s="225"/>
      <c r="H2" s="226"/>
      <c r="I2" s="224" t="s">
        <v>457</v>
      </c>
      <c r="J2" s="225"/>
      <c r="K2" s="226"/>
      <c r="L2" s="224" t="s">
        <v>458</v>
      </c>
      <c r="M2" s="225"/>
      <c r="N2" s="226"/>
      <c r="O2" s="224" t="s">
        <v>459</v>
      </c>
      <c r="P2" s="225"/>
      <c r="Q2" s="226"/>
      <c r="R2" s="224" t="s">
        <v>460</v>
      </c>
      <c r="S2" s="225"/>
      <c r="T2" s="226"/>
      <c r="U2" s="224" t="s">
        <v>461</v>
      </c>
      <c r="V2" s="225"/>
      <c r="W2" s="226"/>
      <c r="X2" s="224" t="s">
        <v>462</v>
      </c>
      <c r="Y2" s="225"/>
      <c r="Z2" s="226"/>
      <c r="AA2" s="224" t="s">
        <v>463</v>
      </c>
      <c r="AB2" s="225"/>
      <c r="AC2" s="225"/>
      <c r="AD2" s="224"/>
      <c r="AE2" s="225"/>
      <c r="AF2" s="226"/>
      <c r="AG2" s="224"/>
      <c r="AH2" s="225"/>
      <c r="AI2" s="226"/>
      <c r="AJ2" s="224"/>
      <c r="AK2" s="225"/>
      <c r="AL2" s="226"/>
      <c r="AM2" s="224"/>
      <c r="AN2" s="225"/>
      <c r="AO2" s="226"/>
      <c r="AP2" s="224"/>
      <c r="AQ2" s="225"/>
      <c r="AR2" s="226"/>
      <c r="AS2" s="224"/>
      <c r="AT2" s="225"/>
      <c r="AU2" s="226"/>
      <c r="AV2" s="224"/>
      <c r="AW2" s="225"/>
      <c r="AX2" s="226"/>
    </row>
    <row r="3" spans="1:50" x14ac:dyDescent="0.25">
      <c r="A3" s="3" t="s">
        <v>48</v>
      </c>
      <c r="B3" s="5" t="s">
        <v>1</v>
      </c>
      <c r="C3" s="238"/>
      <c r="D3" s="238"/>
      <c r="E3" s="238"/>
      <c r="F3" s="169" t="s">
        <v>393</v>
      </c>
      <c r="G3" s="164" t="s">
        <v>394</v>
      </c>
      <c r="H3" s="170" t="s">
        <v>395</v>
      </c>
      <c r="I3" s="169" t="s">
        <v>393</v>
      </c>
      <c r="J3" s="164" t="s">
        <v>394</v>
      </c>
      <c r="K3" s="170" t="s">
        <v>395</v>
      </c>
      <c r="L3" s="169" t="s">
        <v>393</v>
      </c>
      <c r="M3" s="164" t="s">
        <v>394</v>
      </c>
      <c r="N3" s="170" t="s">
        <v>395</v>
      </c>
      <c r="O3" s="169" t="s">
        <v>393</v>
      </c>
      <c r="P3" s="164" t="s">
        <v>394</v>
      </c>
      <c r="Q3" s="170" t="s">
        <v>395</v>
      </c>
      <c r="R3" s="169" t="s">
        <v>393</v>
      </c>
      <c r="S3" s="164" t="s">
        <v>394</v>
      </c>
      <c r="T3" s="170" t="s">
        <v>395</v>
      </c>
      <c r="U3" s="169" t="s">
        <v>393</v>
      </c>
      <c r="V3" s="164" t="s">
        <v>394</v>
      </c>
      <c r="W3" s="170" t="s">
        <v>395</v>
      </c>
      <c r="X3" s="169" t="s">
        <v>393</v>
      </c>
      <c r="Y3" s="164" t="s">
        <v>394</v>
      </c>
      <c r="Z3" s="170" t="s">
        <v>395</v>
      </c>
      <c r="AA3" s="169" t="s">
        <v>393</v>
      </c>
      <c r="AB3" s="164" t="s">
        <v>394</v>
      </c>
      <c r="AC3" s="166" t="s">
        <v>395</v>
      </c>
      <c r="AD3" s="169" t="s">
        <v>393</v>
      </c>
      <c r="AE3" s="164" t="s">
        <v>394</v>
      </c>
      <c r="AF3" s="170" t="s">
        <v>395</v>
      </c>
      <c r="AG3" s="169" t="s">
        <v>393</v>
      </c>
      <c r="AH3" s="164" t="s">
        <v>394</v>
      </c>
      <c r="AI3" s="170" t="s">
        <v>395</v>
      </c>
      <c r="AJ3" s="169" t="s">
        <v>393</v>
      </c>
      <c r="AK3" s="164" t="s">
        <v>394</v>
      </c>
      <c r="AL3" s="170" t="s">
        <v>395</v>
      </c>
      <c r="AM3" s="169" t="s">
        <v>393</v>
      </c>
      <c r="AN3" s="164" t="s">
        <v>394</v>
      </c>
      <c r="AO3" s="170" t="s">
        <v>395</v>
      </c>
      <c r="AP3" s="169" t="s">
        <v>393</v>
      </c>
      <c r="AQ3" s="164" t="s">
        <v>394</v>
      </c>
      <c r="AR3" s="170" t="s">
        <v>395</v>
      </c>
      <c r="AS3" s="169" t="s">
        <v>393</v>
      </c>
      <c r="AT3" s="164" t="s">
        <v>394</v>
      </c>
      <c r="AU3" s="170" t="s">
        <v>395</v>
      </c>
      <c r="AV3" s="169" t="s">
        <v>393</v>
      </c>
      <c r="AW3" s="164" t="s">
        <v>394</v>
      </c>
      <c r="AX3" s="170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3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>
        <v>1</v>
      </c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7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7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7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7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7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3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>
        <v>1</v>
      </c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7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3</v>
      </c>
      <c r="D10" s="58">
        <f t="shared" si="2"/>
        <v>1</v>
      </c>
      <c r="E10" s="58">
        <f t="shared" si="3"/>
        <v>1</v>
      </c>
      <c r="F10" s="52">
        <v>1</v>
      </c>
      <c r="G10" s="36"/>
      <c r="H10" s="53"/>
      <c r="I10" s="52">
        <v>1</v>
      </c>
      <c r="J10" s="36">
        <v>1</v>
      </c>
      <c r="K10" s="53">
        <v>1</v>
      </c>
      <c r="L10" s="52">
        <v>1</v>
      </c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7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3</v>
      </c>
      <c r="D11" s="58">
        <f t="shared" si="2"/>
        <v>1</v>
      </c>
      <c r="E11" s="58">
        <f t="shared" si="3"/>
        <v>1</v>
      </c>
      <c r="F11" s="52">
        <v>1</v>
      </c>
      <c r="G11" s="36">
        <v>1</v>
      </c>
      <c r="H11" s="53"/>
      <c r="I11" s="52">
        <v>1</v>
      </c>
      <c r="J11" s="36"/>
      <c r="K11" s="53"/>
      <c r="L11" s="52">
        <v>1</v>
      </c>
      <c r="M11" s="36"/>
      <c r="N11" s="53">
        <v>1</v>
      </c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7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3</v>
      </c>
      <c r="D12" s="58">
        <f t="shared" si="2"/>
        <v>2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>
        <v>1</v>
      </c>
      <c r="K12" s="53"/>
      <c r="L12" s="52">
        <v>1</v>
      </c>
      <c r="M12" s="36">
        <v>1</v>
      </c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7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2</v>
      </c>
      <c r="D13" s="58">
        <f t="shared" si="2"/>
        <v>1</v>
      </c>
      <c r="E13" s="58">
        <f t="shared" si="3"/>
        <v>0</v>
      </c>
      <c r="F13" s="52"/>
      <c r="G13" s="36"/>
      <c r="H13" s="53"/>
      <c r="I13" s="52">
        <v>1</v>
      </c>
      <c r="J13" s="36">
        <v>1</v>
      </c>
      <c r="K13" s="53"/>
      <c r="L13" s="52">
        <v>1</v>
      </c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7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7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3</v>
      </c>
      <c r="D15" s="58">
        <f t="shared" si="2"/>
        <v>0</v>
      </c>
      <c r="E15" s="58">
        <f t="shared" si="3"/>
        <v>1</v>
      </c>
      <c r="F15" s="52">
        <v>1</v>
      </c>
      <c r="G15" s="36"/>
      <c r="H15" s="53"/>
      <c r="I15" s="52">
        <v>1</v>
      </c>
      <c r="J15" s="36"/>
      <c r="K15" s="53"/>
      <c r="L15" s="52">
        <v>1</v>
      </c>
      <c r="M15" s="36"/>
      <c r="N15" s="53">
        <v>1</v>
      </c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7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431</v>
      </c>
      <c r="C16" s="58">
        <f t="shared" ref="C16:C28" si="4">SUM(F16,I16,L16,O16,R16,X16,AA16,AD16,U16,AG16,AJ16,AM16,AP16,AS16,AV16)</f>
        <v>3</v>
      </c>
      <c r="D16" s="58">
        <f t="shared" ref="D16:D28" si="5">SUM(G16,J16,M16,P16,S16,Y16,AB16,AE16,V16,AH16,AK16,AN16,AQ16,AT16,AW16)</f>
        <v>0</v>
      </c>
      <c r="E16" s="58">
        <f t="shared" ref="E16:E28" si="6">SUM(H16,K16,N16,Q16,T16,Z16,AC16,AF16,W16,AI16,AL16,AO16,AR16,AU16,AX16)</f>
        <v>0</v>
      </c>
      <c r="F16" s="52">
        <v>1</v>
      </c>
      <c r="G16" s="36"/>
      <c r="H16" s="53"/>
      <c r="I16" s="52">
        <v>1</v>
      </c>
      <c r="J16" s="36"/>
      <c r="K16" s="53"/>
      <c r="L16" s="52">
        <v>1</v>
      </c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7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7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3</v>
      </c>
      <c r="D18" s="58">
        <f t="shared" si="5"/>
        <v>0</v>
      </c>
      <c r="E18" s="58">
        <f t="shared" si="6"/>
        <v>1</v>
      </c>
      <c r="F18" s="52">
        <v>1</v>
      </c>
      <c r="G18" s="36"/>
      <c r="H18" s="53"/>
      <c r="I18" s="52">
        <v>1</v>
      </c>
      <c r="J18" s="36"/>
      <c r="K18" s="53">
        <v>1</v>
      </c>
      <c r="L18" s="52">
        <v>1</v>
      </c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7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7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3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>
        <v>1</v>
      </c>
      <c r="J20" s="36"/>
      <c r="K20" s="53"/>
      <c r="L20" s="52">
        <v>1</v>
      </c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7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3</v>
      </c>
      <c r="D21" s="58">
        <f t="shared" si="5"/>
        <v>0</v>
      </c>
      <c r="E21" s="58">
        <f t="shared" si="6"/>
        <v>1</v>
      </c>
      <c r="F21" s="52">
        <v>1</v>
      </c>
      <c r="G21" s="36"/>
      <c r="H21" s="53"/>
      <c r="I21" s="52">
        <v>1</v>
      </c>
      <c r="J21" s="36"/>
      <c r="K21" s="53">
        <v>1</v>
      </c>
      <c r="L21" s="52">
        <v>1</v>
      </c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7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7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1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>
        <v>1</v>
      </c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7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7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7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3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>
        <v>1</v>
      </c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7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5"/>
      <c r="H27" s="50"/>
      <c r="I27" s="49"/>
      <c r="J27" s="165"/>
      <c r="K27" s="50"/>
      <c r="L27" s="49"/>
      <c r="M27" s="165"/>
      <c r="N27" s="50"/>
      <c r="O27" s="49"/>
      <c r="P27" s="165"/>
      <c r="Q27" s="50"/>
      <c r="R27" s="49"/>
      <c r="S27" s="165"/>
      <c r="T27" s="50"/>
      <c r="U27" s="49"/>
      <c r="V27" s="165"/>
      <c r="W27" s="50"/>
      <c r="X27" s="49"/>
      <c r="Y27" s="165"/>
      <c r="Z27" s="50"/>
      <c r="AA27" s="49"/>
      <c r="AB27" s="165"/>
      <c r="AC27" s="168"/>
      <c r="AD27" s="49"/>
      <c r="AE27" s="165"/>
      <c r="AF27" s="50"/>
      <c r="AG27" s="49"/>
      <c r="AH27" s="165"/>
      <c r="AI27" s="50"/>
      <c r="AJ27" s="49"/>
      <c r="AK27" s="165"/>
      <c r="AL27" s="50"/>
      <c r="AM27" s="49"/>
      <c r="AN27" s="165"/>
      <c r="AO27" s="50"/>
      <c r="AP27" s="49"/>
      <c r="AQ27" s="165"/>
      <c r="AR27" s="50"/>
      <c r="AS27" s="49"/>
      <c r="AT27" s="165"/>
      <c r="AU27" s="50"/>
      <c r="AV27" s="49"/>
      <c r="AW27" s="165"/>
      <c r="AX27" s="75"/>
    </row>
    <row r="28" spans="1:50" x14ac:dyDescent="0.25">
      <c r="A28" s="27">
        <v>41</v>
      </c>
      <c r="B28" s="35" t="s">
        <v>277</v>
      </c>
      <c r="C28" s="58">
        <f t="shared" si="4"/>
        <v>3</v>
      </c>
      <c r="D28" s="58">
        <f t="shared" si="5"/>
        <v>1</v>
      </c>
      <c r="E28" s="58">
        <f t="shared" si="6"/>
        <v>0</v>
      </c>
      <c r="F28" s="52">
        <v>1</v>
      </c>
      <c r="G28" s="36"/>
      <c r="H28" s="53"/>
      <c r="I28" s="52">
        <v>1</v>
      </c>
      <c r="J28" s="36"/>
      <c r="K28" s="53"/>
      <c r="L28" s="52">
        <v>1</v>
      </c>
      <c r="M28" s="36">
        <v>1</v>
      </c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7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5"/>
      <c r="H29" s="50"/>
      <c r="I29" s="49"/>
      <c r="J29" s="165"/>
      <c r="K29" s="50"/>
      <c r="L29" s="49"/>
      <c r="M29" s="165"/>
      <c r="N29" s="50"/>
      <c r="O29" s="49"/>
      <c r="P29" s="165"/>
      <c r="Q29" s="50"/>
      <c r="R29" s="49"/>
      <c r="S29" s="165"/>
      <c r="T29" s="50"/>
      <c r="U29" s="49"/>
      <c r="V29" s="165"/>
      <c r="W29" s="50"/>
      <c r="X29" s="49"/>
      <c r="Y29" s="165"/>
      <c r="Z29" s="50"/>
      <c r="AA29" s="49"/>
      <c r="AB29" s="165"/>
      <c r="AC29" s="168"/>
      <c r="AD29" s="49"/>
      <c r="AE29" s="165"/>
      <c r="AF29" s="50"/>
      <c r="AG29" s="49"/>
      <c r="AH29" s="165"/>
      <c r="AI29" s="50"/>
      <c r="AJ29" s="49"/>
      <c r="AK29" s="165"/>
      <c r="AL29" s="50"/>
      <c r="AM29" s="49"/>
      <c r="AN29" s="165"/>
      <c r="AO29" s="50"/>
      <c r="AP29" s="49"/>
      <c r="AQ29" s="165"/>
      <c r="AR29" s="50"/>
      <c r="AS29" s="49"/>
      <c r="AT29" s="165"/>
      <c r="AU29" s="50"/>
      <c r="AV29" s="49"/>
      <c r="AW29" s="165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5"/>
      <c r="H30" s="50"/>
      <c r="I30" s="49"/>
      <c r="J30" s="165"/>
      <c r="K30" s="50"/>
      <c r="L30" s="49"/>
      <c r="M30" s="165"/>
      <c r="N30" s="50"/>
      <c r="O30" s="49"/>
      <c r="P30" s="165"/>
      <c r="Q30" s="50"/>
      <c r="R30" s="49"/>
      <c r="S30" s="165"/>
      <c r="T30" s="50"/>
      <c r="U30" s="49"/>
      <c r="V30" s="165"/>
      <c r="W30" s="50"/>
      <c r="X30" s="49"/>
      <c r="Y30" s="165"/>
      <c r="Z30" s="50"/>
      <c r="AA30" s="49"/>
      <c r="AB30" s="165"/>
      <c r="AC30" s="168"/>
      <c r="AD30" s="49"/>
      <c r="AE30" s="165"/>
      <c r="AF30" s="50"/>
      <c r="AG30" s="49"/>
      <c r="AH30" s="165"/>
      <c r="AI30" s="50"/>
      <c r="AJ30" s="49"/>
      <c r="AK30" s="165"/>
      <c r="AL30" s="50"/>
      <c r="AM30" s="49"/>
      <c r="AN30" s="165"/>
      <c r="AO30" s="50"/>
      <c r="AP30" s="49"/>
      <c r="AQ30" s="165"/>
      <c r="AR30" s="50"/>
      <c r="AS30" s="49"/>
      <c r="AT30" s="165"/>
      <c r="AU30" s="50"/>
      <c r="AV30" s="49"/>
      <c r="AW30" s="165"/>
      <c r="AX30" s="75"/>
    </row>
    <row r="31" spans="1:50" x14ac:dyDescent="0.25">
      <c r="A31" s="28">
        <v>45</v>
      </c>
      <c r="B31" s="148" t="s">
        <v>464</v>
      </c>
      <c r="C31" s="58">
        <f t="shared" ref="C31:C39" si="8">SUM(F31,I31,L31,O31,R31,X31,AA31,AD31,U31,AG31,AJ31,AM31,AP31,AS31,AV31)</f>
        <v>0</v>
      </c>
      <c r="D31" s="58">
        <f t="shared" ref="D31:D39" si="9">SUM(G31,J31,M31,P31,S31,Y31,AB31,AE31,V31,AH31,AK31,AN31,AQ31,AT31,AW31)</f>
        <v>0</v>
      </c>
      <c r="E31" s="58">
        <f t="shared" ref="E31:E39" si="10">SUM(H31,K31,N31,Q31,T31,Z31,AC31,AF31,W31,AI31,AL31,AO31,AR31,AU31,AX31)</f>
        <v>0</v>
      </c>
      <c r="F31" s="49"/>
      <c r="G31" s="165"/>
      <c r="H31" s="50"/>
      <c r="I31" s="49"/>
      <c r="J31" s="165"/>
      <c r="K31" s="50"/>
      <c r="L31" s="49"/>
      <c r="M31" s="165"/>
      <c r="N31" s="50"/>
      <c r="O31" s="49"/>
      <c r="P31" s="165"/>
      <c r="Q31" s="50"/>
      <c r="R31" s="49"/>
      <c r="S31" s="165"/>
      <c r="T31" s="50"/>
      <c r="U31" s="49"/>
      <c r="V31" s="165"/>
      <c r="W31" s="50"/>
      <c r="X31" s="49"/>
      <c r="Y31" s="165"/>
      <c r="Z31" s="50"/>
      <c r="AA31" s="49"/>
      <c r="AB31" s="165"/>
      <c r="AC31" s="168"/>
      <c r="AD31" s="49"/>
      <c r="AE31" s="165"/>
      <c r="AF31" s="50"/>
      <c r="AG31" s="49"/>
      <c r="AH31" s="165"/>
      <c r="AI31" s="50"/>
      <c r="AJ31" s="49"/>
      <c r="AK31" s="165"/>
      <c r="AL31" s="50"/>
      <c r="AM31" s="49"/>
      <c r="AN31" s="165"/>
      <c r="AO31" s="50"/>
      <c r="AP31" s="49"/>
      <c r="AQ31" s="165"/>
      <c r="AR31" s="50"/>
      <c r="AS31" s="49"/>
      <c r="AT31" s="165"/>
      <c r="AU31" s="50"/>
      <c r="AV31" s="49"/>
      <c r="AW31" s="165"/>
      <c r="AX31" s="75"/>
    </row>
    <row r="32" spans="1:50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8">
        <f t="shared" si="10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7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8"/>
        <v>2</v>
      </c>
      <c r="D33" s="58">
        <f t="shared" si="9"/>
        <v>0</v>
      </c>
      <c r="E33" s="58">
        <f t="shared" si="10"/>
        <v>0</v>
      </c>
      <c r="F33" s="49"/>
      <c r="G33" s="165"/>
      <c r="H33" s="50"/>
      <c r="I33" s="49">
        <v>1</v>
      </c>
      <c r="J33" s="165"/>
      <c r="K33" s="50"/>
      <c r="L33" s="49">
        <v>1</v>
      </c>
      <c r="M33" s="165"/>
      <c r="N33" s="50"/>
      <c r="O33" s="49"/>
      <c r="P33" s="165"/>
      <c r="Q33" s="50"/>
      <c r="R33" s="49"/>
      <c r="S33" s="165"/>
      <c r="T33" s="50"/>
      <c r="U33" s="49"/>
      <c r="V33" s="165"/>
      <c r="W33" s="50"/>
      <c r="X33" s="49"/>
      <c r="Y33" s="165"/>
      <c r="Z33" s="50"/>
      <c r="AA33" s="49"/>
      <c r="AB33" s="165"/>
      <c r="AC33" s="168"/>
      <c r="AD33" s="49"/>
      <c r="AE33" s="165"/>
      <c r="AF33" s="50"/>
      <c r="AG33" s="49"/>
      <c r="AH33" s="165"/>
      <c r="AI33" s="50"/>
      <c r="AJ33" s="49"/>
      <c r="AK33" s="165"/>
      <c r="AL33" s="50"/>
      <c r="AM33" s="49"/>
      <c r="AN33" s="165"/>
      <c r="AO33" s="50"/>
      <c r="AP33" s="49"/>
      <c r="AQ33" s="165"/>
      <c r="AR33" s="50"/>
      <c r="AS33" s="49"/>
      <c r="AT33" s="165"/>
      <c r="AU33" s="50"/>
      <c r="AV33" s="49"/>
      <c r="AW33" s="165"/>
      <c r="AX33" s="75"/>
    </row>
    <row r="34" spans="1:50" x14ac:dyDescent="0.25">
      <c r="A34" s="27">
        <v>53</v>
      </c>
      <c r="B34" s="149" t="s">
        <v>483</v>
      </c>
      <c r="C34" s="58">
        <f t="shared" ref="C34:C39" si="11">SUM(F34,I34,L34,O34,R34,X34,AA34,AD34,U34,AG34,AJ34,AM34,AP34,AS34,AV34)</f>
        <v>0</v>
      </c>
      <c r="D34" s="58">
        <f t="shared" ref="D34:D39" si="12">SUM(G34,J34,M34,P34,S34,Y34,AB34,AE34,V34,AH34,AK34,AN34,AQ34,AT34,AW34)</f>
        <v>0</v>
      </c>
      <c r="E34" s="58">
        <f t="shared" ref="E34:E39" si="13">SUM(H34,K34,N34,Q34,T34,Z34,AC34,AF34,W34,AI34,AL34,AO34,AR34,AU34,AX34)</f>
        <v>0</v>
      </c>
      <c r="F34" s="49"/>
      <c r="G34" s="165"/>
      <c r="H34" s="50"/>
      <c r="I34" s="49"/>
      <c r="J34" s="165"/>
      <c r="K34" s="50"/>
      <c r="L34" s="49"/>
      <c r="M34" s="165"/>
      <c r="N34" s="50"/>
      <c r="O34" s="49"/>
      <c r="P34" s="165"/>
      <c r="Q34" s="50"/>
      <c r="R34" s="49"/>
      <c r="S34" s="165"/>
      <c r="T34" s="50"/>
      <c r="U34" s="49"/>
      <c r="V34" s="165"/>
      <c r="W34" s="50"/>
      <c r="X34" s="49"/>
      <c r="Y34" s="165"/>
      <c r="Z34" s="50"/>
      <c r="AA34" s="49"/>
      <c r="AB34" s="165"/>
      <c r="AC34" s="168"/>
      <c r="AD34" s="49"/>
      <c r="AE34" s="165"/>
      <c r="AF34" s="50"/>
      <c r="AG34" s="49"/>
      <c r="AH34" s="165"/>
      <c r="AI34" s="50"/>
      <c r="AJ34" s="49"/>
      <c r="AK34" s="165"/>
      <c r="AL34" s="50"/>
      <c r="AM34" s="49"/>
      <c r="AN34" s="165"/>
      <c r="AO34" s="50"/>
      <c r="AP34" s="49"/>
      <c r="AQ34" s="165"/>
      <c r="AR34" s="50"/>
      <c r="AS34" s="49"/>
      <c r="AT34" s="165"/>
      <c r="AU34" s="50"/>
      <c r="AV34" s="49"/>
      <c r="AW34" s="165"/>
      <c r="AX34" s="75"/>
    </row>
    <row r="35" spans="1:50" x14ac:dyDescent="0.25">
      <c r="A35" s="28">
        <v>55</v>
      </c>
      <c r="B35" s="37" t="s">
        <v>301</v>
      </c>
      <c r="C35" s="58">
        <f t="shared" si="11"/>
        <v>0</v>
      </c>
      <c r="D35" s="58">
        <f t="shared" si="12"/>
        <v>0</v>
      </c>
      <c r="E35" s="58">
        <f t="shared" si="13"/>
        <v>0</v>
      </c>
      <c r="F35" s="49"/>
      <c r="G35" s="165"/>
      <c r="H35" s="50"/>
      <c r="I35" s="49"/>
      <c r="J35" s="165"/>
      <c r="K35" s="50"/>
      <c r="L35" s="49"/>
      <c r="M35" s="165"/>
      <c r="N35" s="50"/>
      <c r="O35" s="49"/>
      <c r="P35" s="165"/>
      <c r="Q35" s="50"/>
      <c r="R35" s="49"/>
      <c r="S35" s="165"/>
      <c r="T35" s="50"/>
      <c r="U35" s="49"/>
      <c r="V35" s="165"/>
      <c r="W35" s="50"/>
      <c r="X35" s="49"/>
      <c r="Y35" s="165"/>
      <c r="Z35" s="50"/>
      <c r="AA35" s="49"/>
      <c r="AB35" s="165"/>
      <c r="AC35" s="168"/>
      <c r="AD35" s="49"/>
      <c r="AE35" s="165"/>
      <c r="AF35" s="50"/>
      <c r="AG35" s="49"/>
      <c r="AH35" s="165"/>
      <c r="AI35" s="50"/>
      <c r="AJ35" s="49"/>
      <c r="AK35" s="165"/>
      <c r="AL35" s="50"/>
      <c r="AM35" s="49"/>
      <c r="AN35" s="165"/>
      <c r="AO35" s="50"/>
      <c r="AP35" s="49"/>
      <c r="AQ35" s="165"/>
      <c r="AR35" s="50"/>
      <c r="AS35" s="49"/>
      <c r="AT35" s="165"/>
      <c r="AU35" s="50"/>
      <c r="AV35" s="49"/>
      <c r="AW35" s="165"/>
      <c r="AX35" s="75"/>
    </row>
    <row r="36" spans="1:50" x14ac:dyDescent="0.25">
      <c r="A36" s="27">
        <v>56</v>
      </c>
      <c r="B36" s="149" t="s">
        <v>322</v>
      </c>
      <c r="C36" s="58">
        <f t="shared" si="11"/>
        <v>1</v>
      </c>
      <c r="D36" s="58">
        <f t="shared" si="12"/>
        <v>0</v>
      </c>
      <c r="E36" s="58">
        <f t="shared" si="13"/>
        <v>0</v>
      </c>
      <c r="F36" s="49"/>
      <c r="G36" s="165"/>
      <c r="H36" s="50"/>
      <c r="I36" s="49">
        <v>1</v>
      </c>
      <c r="J36" s="165"/>
      <c r="K36" s="50"/>
      <c r="L36" s="49"/>
      <c r="M36" s="165"/>
      <c r="N36" s="50"/>
      <c r="O36" s="49"/>
      <c r="P36" s="165"/>
      <c r="Q36" s="50"/>
      <c r="R36" s="49"/>
      <c r="S36" s="165"/>
      <c r="T36" s="50"/>
      <c r="U36" s="49"/>
      <c r="V36" s="165"/>
      <c r="W36" s="50"/>
      <c r="X36" s="49"/>
      <c r="Y36" s="165"/>
      <c r="Z36" s="50"/>
      <c r="AA36" s="49"/>
      <c r="AB36" s="165"/>
      <c r="AC36" s="168"/>
      <c r="AD36" s="49"/>
      <c r="AE36" s="165"/>
      <c r="AF36" s="50"/>
      <c r="AG36" s="49"/>
      <c r="AH36" s="165"/>
      <c r="AI36" s="50"/>
      <c r="AJ36" s="49"/>
      <c r="AK36" s="165"/>
      <c r="AL36" s="50"/>
      <c r="AM36" s="49"/>
      <c r="AN36" s="165"/>
      <c r="AO36" s="50"/>
      <c r="AP36" s="49"/>
      <c r="AQ36" s="165"/>
      <c r="AR36" s="50"/>
      <c r="AS36" s="49"/>
      <c r="AT36" s="165"/>
      <c r="AU36" s="50"/>
      <c r="AV36" s="49"/>
      <c r="AW36" s="165"/>
      <c r="AX36" s="75"/>
    </row>
    <row r="37" spans="1:50" x14ac:dyDescent="0.25">
      <c r="A37" s="28">
        <v>58</v>
      </c>
      <c r="B37" s="148" t="s">
        <v>292</v>
      </c>
      <c r="C37" s="58">
        <f t="shared" si="11"/>
        <v>0</v>
      </c>
      <c r="D37" s="58">
        <f t="shared" si="12"/>
        <v>0</v>
      </c>
      <c r="E37" s="58">
        <f t="shared" si="13"/>
        <v>0</v>
      </c>
      <c r="F37" s="49"/>
      <c r="G37" s="165"/>
      <c r="H37" s="50"/>
      <c r="I37" s="49"/>
      <c r="J37" s="165"/>
      <c r="K37" s="50"/>
      <c r="L37" s="49"/>
      <c r="M37" s="165"/>
      <c r="N37" s="50"/>
      <c r="O37" s="49"/>
      <c r="P37" s="165"/>
      <c r="Q37" s="50"/>
      <c r="R37" s="49"/>
      <c r="S37" s="165"/>
      <c r="T37" s="50"/>
      <c r="U37" s="49"/>
      <c r="V37" s="165"/>
      <c r="W37" s="50"/>
      <c r="X37" s="49"/>
      <c r="Y37" s="165"/>
      <c r="Z37" s="50"/>
      <c r="AA37" s="49"/>
      <c r="AB37" s="165"/>
      <c r="AC37" s="168"/>
      <c r="AD37" s="49"/>
      <c r="AE37" s="165"/>
      <c r="AF37" s="50"/>
      <c r="AG37" s="49"/>
      <c r="AH37" s="165"/>
      <c r="AI37" s="50"/>
      <c r="AJ37" s="49"/>
      <c r="AK37" s="165"/>
      <c r="AL37" s="50"/>
      <c r="AM37" s="49"/>
      <c r="AN37" s="165"/>
      <c r="AO37" s="50"/>
      <c r="AP37" s="49"/>
      <c r="AQ37" s="165"/>
      <c r="AR37" s="50"/>
      <c r="AS37" s="49"/>
      <c r="AT37" s="165"/>
      <c r="AU37" s="50"/>
      <c r="AV37" s="49"/>
      <c r="AW37" s="165"/>
      <c r="AX37" s="75"/>
    </row>
    <row r="38" spans="1:50" x14ac:dyDescent="0.25">
      <c r="A38" s="28">
        <v>71</v>
      </c>
      <c r="B38" s="148" t="s">
        <v>339</v>
      </c>
      <c r="C38" s="58">
        <f t="shared" si="11"/>
        <v>0</v>
      </c>
      <c r="D38" s="58">
        <f t="shared" si="12"/>
        <v>0</v>
      </c>
      <c r="E38" s="58">
        <f t="shared" si="13"/>
        <v>0</v>
      </c>
      <c r="F38" s="49"/>
      <c r="G38" s="165"/>
      <c r="H38" s="50"/>
      <c r="I38" s="49"/>
      <c r="J38" s="165"/>
      <c r="K38" s="50"/>
      <c r="L38" s="49"/>
      <c r="M38" s="165"/>
      <c r="N38" s="50"/>
      <c r="O38" s="49"/>
      <c r="P38" s="165"/>
      <c r="Q38" s="50"/>
      <c r="R38" s="49"/>
      <c r="S38" s="165"/>
      <c r="T38" s="50"/>
      <c r="U38" s="49"/>
      <c r="V38" s="165"/>
      <c r="W38" s="50"/>
      <c r="X38" s="49"/>
      <c r="Y38" s="165"/>
      <c r="Z38" s="50"/>
      <c r="AA38" s="49"/>
      <c r="AB38" s="165"/>
      <c r="AC38" s="168"/>
      <c r="AD38" s="49"/>
      <c r="AE38" s="165"/>
      <c r="AF38" s="50"/>
      <c r="AG38" s="49"/>
      <c r="AH38" s="165"/>
      <c r="AI38" s="50"/>
      <c r="AJ38" s="49"/>
      <c r="AK38" s="165"/>
      <c r="AL38" s="50"/>
      <c r="AM38" s="49"/>
      <c r="AN38" s="165"/>
      <c r="AO38" s="50"/>
      <c r="AP38" s="49"/>
      <c r="AQ38" s="165"/>
      <c r="AR38" s="50"/>
      <c r="AS38" s="49"/>
      <c r="AT38" s="165"/>
      <c r="AU38" s="50"/>
      <c r="AV38" s="49"/>
      <c r="AW38" s="165"/>
      <c r="AX38" s="75"/>
    </row>
    <row r="39" spans="1:50" x14ac:dyDescent="0.25">
      <c r="A39" s="28">
        <v>89</v>
      </c>
      <c r="B39" s="148" t="s">
        <v>333</v>
      </c>
      <c r="C39" s="58">
        <f t="shared" si="11"/>
        <v>0</v>
      </c>
      <c r="D39" s="58">
        <f t="shared" si="12"/>
        <v>0</v>
      </c>
      <c r="E39" s="58">
        <f t="shared" si="13"/>
        <v>0</v>
      </c>
      <c r="F39" s="49"/>
      <c r="G39" s="165"/>
      <c r="H39" s="50"/>
      <c r="I39" s="49"/>
      <c r="J39" s="165"/>
      <c r="K39" s="50"/>
      <c r="L39" s="49"/>
      <c r="M39" s="165"/>
      <c r="N39" s="50"/>
      <c r="O39" s="49"/>
      <c r="P39" s="165"/>
      <c r="Q39" s="50"/>
      <c r="R39" s="49"/>
      <c r="S39" s="165"/>
      <c r="T39" s="50"/>
      <c r="U39" s="49"/>
      <c r="V39" s="165"/>
      <c r="W39" s="50"/>
      <c r="X39" s="49"/>
      <c r="Y39" s="165"/>
      <c r="Z39" s="50"/>
      <c r="AA39" s="49"/>
      <c r="AB39" s="165"/>
      <c r="AC39" s="168"/>
      <c r="AD39" s="49"/>
      <c r="AE39" s="165"/>
      <c r="AF39" s="50"/>
      <c r="AG39" s="49"/>
      <c r="AH39" s="165"/>
      <c r="AI39" s="50"/>
      <c r="AJ39" s="49"/>
      <c r="AK39" s="165"/>
      <c r="AL39" s="50"/>
      <c r="AM39" s="49"/>
      <c r="AN39" s="165"/>
      <c r="AO39" s="50"/>
      <c r="AP39" s="49"/>
      <c r="AQ39" s="165"/>
      <c r="AR39" s="50"/>
      <c r="AS39" s="49"/>
      <c r="AT39" s="165"/>
      <c r="AU39" s="50"/>
      <c r="AV39" s="49"/>
      <c r="AW39" s="165"/>
      <c r="AX39" s="75"/>
    </row>
    <row r="40" spans="1:50" ht="15.75" thickBot="1" x14ac:dyDescent="0.3">
      <c r="F40" s="171">
        <f t="shared" ref="F40:AX40" si="14">SUM(F4:F39)</f>
        <v>16</v>
      </c>
      <c r="G40" s="172">
        <f t="shared" si="14"/>
        <v>1</v>
      </c>
      <c r="H40" s="173">
        <f t="shared" si="14"/>
        <v>1</v>
      </c>
      <c r="I40" s="171">
        <f t="shared" si="14"/>
        <v>16</v>
      </c>
      <c r="J40" s="172">
        <f t="shared" si="14"/>
        <v>3</v>
      </c>
      <c r="K40" s="173">
        <f t="shared" si="14"/>
        <v>3</v>
      </c>
      <c r="L40" s="171">
        <f t="shared" si="14"/>
        <v>15</v>
      </c>
      <c r="M40" s="172">
        <f t="shared" si="14"/>
        <v>2</v>
      </c>
      <c r="N40" s="173">
        <f t="shared" si="14"/>
        <v>2</v>
      </c>
      <c r="O40" s="171">
        <f t="shared" si="14"/>
        <v>0</v>
      </c>
      <c r="P40" s="172">
        <f t="shared" si="14"/>
        <v>0</v>
      </c>
      <c r="Q40" s="173">
        <f t="shared" si="14"/>
        <v>0</v>
      </c>
      <c r="R40" s="171">
        <f t="shared" si="14"/>
        <v>0</v>
      </c>
      <c r="S40" s="172">
        <f t="shared" si="14"/>
        <v>0</v>
      </c>
      <c r="T40" s="173">
        <f t="shared" si="14"/>
        <v>0</v>
      </c>
      <c r="U40" s="171">
        <f t="shared" si="14"/>
        <v>0</v>
      </c>
      <c r="V40" s="172">
        <f t="shared" si="14"/>
        <v>0</v>
      </c>
      <c r="W40" s="173">
        <f t="shared" si="14"/>
        <v>0</v>
      </c>
      <c r="X40" s="171">
        <f t="shared" si="14"/>
        <v>0</v>
      </c>
      <c r="Y40" s="172">
        <f t="shared" si="14"/>
        <v>0</v>
      </c>
      <c r="Z40" s="173">
        <f t="shared" si="14"/>
        <v>0</v>
      </c>
      <c r="AA40" s="171">
        <f t="shared" si="14"/>
        <v>0</v>
      </c>
      <c r="AB40" s="172">
        <f t="shared" si="14"/>
        <v>0</v>
      </c>
      <c r="AC40" s="174">
        <f t="shared" si="14"/>
        <v>0</v>
      </c>
      <c r="AD40" s="171">
        <f t="shared" si="14"/>
        <v>0</v>
      </c>
      <c r="AE40" s="172">
        <f t="shared" si="14"/>
        <v>0</v>
      </c>
      <c r="AF40" s="173">
        <f t="shared" si="14"/>
        <v>0</v>
      </c>
      <c r="AG40" s="171">
        <f t="shared" si="14"/>
        <v>0</v>
      </c>
      <c r="AH40" s="172">
        <f t="shared" si="14"/>
        <v>0</v>
      </c>
      <c r="AI40" s="173">
        <f t="shared" si="14"/>
        <v>0</v>
      </c>
      <c r="AJ40" s="171">
        <f t="shared" si="14"/>
        <v>0</v>
      </c>
      <c r="AK40" s="172">
        <f t="shared" si="14"/>
        <v>0</v>
      </c>
      <c r="AL40" s="173">
        <f t="shared" si="14"/>
        <v>0</v>
      </c>
      <c r="AM40" s="171">
        <f t="shared" si="14"/>
        <v>0</v>
      </c>
      <c r="AN40" s="172">
        <f t="shared" si="14"/>
        <v>0</v>
      </c>
      <c r="AO40" s="173">
        <f t="shared" si="14"/>
        <v>0</v>
      </c>
      <c r="AP40" s="171">
        <f t="shared" si="14"/>
        <v>0</v>
      </c>
      <c r="AQ40" s="172">
        <f t="shared" si="14"/>
        <v>0</v>
      </c>
      <c r="AR40" s="173">
        <f t="shared" si="14"/>
        <v>0</v>
      </c>
      <c r="AS40" s="171">
        <f t="shared" si="14"/>
        <v>0</v>
      </c>
      <c r="AT40" s="172">
        <f t="shared" si="14"/>
        <v>0</v>
      </c>
      <c r="AU40" s="173">
        <f t="shared" si="14"/>
        <v>0</v>
      </c>
      <c r="AV40" s="171">
        <f t="shared" si="14"/>
        <v>0</v>
      </c>
      <c r="AW40" s="172">
        <f t="shared" si="14"/>
        <v>0</v>
      </c>
      <c r="AX40" s="173">
        <f t="shared" si="14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2">
    <cfRule type="cellIs" dxfId="15" priority="1" operator="equal">
      <formula>1</formula>
    </cfRule>
  </conditionalFormatting>
  <conditionalFormatting sqref="F4:AW39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0"/>
  <sheetViews>
    <sheetView zoomScale="85" zoomScaleNormal="85" zoomScalePageLayoutView="130" workbookViewId="0">
      <selection activeCell="A37" sqref="A37:XFD37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6" t="s">
        <v>396</v>
      </c>
      <c r="D1" s="236" t="s">
        <v>397</v>
      </c>
      <c r="E1" s="236" t="s">
        <v>398</v>
      </c>
      <c r="F1" s="266" t="s">
        <v>87</v>
      </c>
      <c r="G1" s="267"/>
      <c r="H1" s="268"/>
      <c r="I1" s="269" t="s">
        <v>88</v>
      </c>
      <c r="J1" s="270"/>
      <c r="K1" s="271"/>
      <c r="L1" s="273" t="s">
        <v>89</v>
      </c>
      <c r="M1" s="274"/>
      <c r="N1" s="275"/>
      <c r="O1" s="276" t="s">
        <v>199</v>
      </c>
      <c r="P1" s="277"/>
      <c r="Q1" s="278"/>
      <c r="R1" s="242" t="s">
        <v>200</v>
      </c>
      <c r="S1" s="243"/>
      <c r="T1" s="244"/>
      <c r="U1" s="245" t="s">
        <v>306</v>
      </c>
      <c r="V1" s="246"/>
      <c r="W1" s="247"/>
    </row>
    <row r="2" spans="1:23" x14ac:dyDescent="0.25">
      <c r="A2" s="3"/>
      <c r="B2" s="5"/>
      <c r="C2" s="237"/>
      <c r="D2" s="237"/>
      <c r="E2" s="237"/>
      <c r="F2" s="248"/>
      <c r="G2" s="249"/>
      <c r="H2" s="250"/>
      <c r="I2" s="263"/>
      <c r="J2" s="264"/>
      <c r="K2" s="265"/>
      <c r="L2" s="260"/>
      <c r="M2" s="261"/>
      <c r="N2" s="262"/>
      <c r="O2" s="257"/>
      <c r="P2" s="258"/>
      <c r="Q2" s="259"/>
      <c r="R2" s="254"/>
      <c r="S2" s="255"/>
      <c r="T2" s="256"/>
      <c r="U2" s="251"/>
      <c r="V2" s="252"/>
      <c r="W2" s="253"/>
    </row>
    <row r="3" spans="1:23" ht="15.75" thickBot="1" x14ac:dyDescent="0.3">
      <c r="A3" s="3" t="s">
        <v>48</v>
      </c>
      <c r="B3" s="17" t="s">
        <v>1</v>
      </c>
      <c r="C3" s="272"/>
      <c r="D3" s="272"/>
      <c r="E3" s="272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E5" si="0">SUM(G4,J4,M4,P4,S4,V4)</f>
        <v>0</v>
      </c>
      <c r="E4" s="190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28" si="2">SUM(F6,I6,L6,O6,R6,U6)</f>
        <v>0</v>
      </c>
      <c r="D6" s="58">
        <f t="shared" ref="D6:D28" si="3">SUM(G6,J6,M6,P6,S6,V6)</f>
        <v>0</v>
      </c>
      <c r="E6" s="58">
        <f t="shared" ref="E6:E2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464</v>
      </c>
      <c r="C31" s="58">
        <f t="shared" ref="C31:C33" si="6">SUM(F31,I31,L31,O31,R31,U31)</f>
        <v>0</v>
      </c>
      <c r="D31" s="58">
        <f t="shared" ref="D31:D33" si="7">SUM(G31,J31,M31,P31,S31,V31)</f>
        <v>0</v>
      </c>
      <c r="E31" s="58">
        <f t="shared" ref="E31:E33" si="8"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8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0</v>
      </c>
      <c r="D33" s="58">
        <f t="shared" si="7"/>
        <v>0</v>
      </c>
      <c r="E33" s="58">
        <f t="shared" si="8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53</v>
      </c>
      <c r="B34" s="149" t="s">
        <v>483</v>
      </c>
      <c r="C34" s="58">
        <f t="shared" ref="C34:C39" si="9">SUM(F34,I34,L34,O34,R34,U34)</f>
        <v>0</v>
      </c>
      <c r="D34" s="58">
        <f t="shared" ref="D34:D39" si="10">SUM(G34,J34,M34,P34,S34,V34)</f>
        <v>0</v>
      </c>
      <c r="E34" s="58">
        <f t="shared" ref="E34:E39" si="11">SUM(H34,K34,N34,Q34,T34,W34)</f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9"/>
        <v>0</v>
      </c>
      <c r="D35" s="58">
        <f t="shared" si="10"/>
        <v>0</v>
      </c>
      <c r="E35" s="58">
        <f t="shared" si="11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9"/>
        <v>0</v>
      </c>
      <c r="D36" s="58">
        <f t="shared" si="10"/>
        <v>0</v>
      </c>
      <c r="E36" s="58">
        <f t="shared" si="11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58</v>
      </c>
      <c r="B37" s="148" t="s">
        <v>292</v>
      </c>
      <c r="C37" s="58">
        <f>SUM(F37,I37,L37,O37,R37,U37)</f>
        <v>0</v>
      </c>
      <c r="D37" s="58">
        <f>SUM(G37,J37,M37,P37,S37,V37)</f>
        <v>0</v>
      </c>
      <c r="E37" s="58">
        <f>SUM(H37,K37,N37,Q37,T37,W37)</f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71</v>
      </c>
      <c r="B38" s="148" t="s">
        <v>339</v>
      </c>
      <c r="C38" s="58">
        <f t="shared" si="9"/>
        <v>0</v>
      </c>
      <c r="D38" s="58">
        <f t="shared" si="10"/>
        <v>0</v>
      </c>
      <c r="E38" s="58">
        <f t="shared" si="11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333</v>
      </c>
      <c r="C39" s="58">
        <f t="shared" si="9"/>
        <v>0</v>
      </c>
      <c r="D39" s="58">
        <f t="shared" si="10"/>
        <v>0</v>
      </c>
      <c r="E39" s="58">
        <f t="shared" si="11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F40" s="171">
        <f t="shared" ref="F40:W40" si="12">SUM(F4:F39)</f>
        <v>0</v>
      </c>
      <c r="G40" s="172">
        <f t="shared" si="12"/>
        <v>0</v>
      </c>
      <c r="H40" s="173">
        <f t="shared" si="12"/>
        <v>0</v>
      </c>
      <c r="I40" s="171">
        <f t="shared" si="12"/>
        <v>0</v>
      </c>
      <c r="J40" s="172">
        <f t="shared" si="12"/>
        <v>0</v>
      </c>
      <c r="K40" s="173">
        <f t="shared" si="12"/>
        <v>0</v>
      </c>
      <c r="L40" s="171">
        <f t="shared" si="12"/>
        <v>0</v>
      </c>
      <c r="M40" s="172">
        <f t="shared" si="12"/>
        <v>0</v>
      </c>
      <c r="N40" s="173">
        <f t="shared" si="12"/>
        <v>0</v>
      </c>
      <c r="O40" s="171">
        <f t="shared" si="12"/>
        <v>0</v>
      </c>
      <c r="P40" s="172">
        <f t="shared" si="12"/>
        <v>0</v>
      </c>
      <c r="Q40" s="173">
        <f t="shared" si="12"/>
        <v>0</v>
      </c>
      <c r="R40" s="171">
        <f t="shared" si="12"/>
        <v>0</v>
      </c>
      <c r="S40" s="172">
        <f t="shared" si="12"/>
        <v>0</v>
      </c>
      <c r="T40" s="173">
        <f t="shared" si="12"/>
        <v>0</v>
      </c>
      <c r="U40" s="171">
        <f t="shared" si="12"/>
        <v>0</v>
      </c>
      <c r="V40" s="172">
        <f t="shared" si="12"/>
        <v>0</v>
      </c>
      <c r="W40" s="173">
        <f t="shared" si="12"/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2">
    <cfRule type="cellIs" dxfId="13" priority="1" operator="equal">
      <formula>1</formula>
    </cfRule>
  </conditionalFormatting>
  <conditionalFormatting sqref="F4:W39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0"/>
  <sheetViews>
    <sheetView zoomScale="83" zoomScaleNormal="85" workbookViewId="0">
      <selection activeCell="I15" sqref="I15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6" t="s">
        <v>396</v>
      </c>
      <c r="D1" s="236" t="s">
        <v>397</v>
      </c>
      <c r="E1" s="236" t="s">
        <v>398</v>
      </c>
      <c r="F1" s="266" t="s">
        <v>87</v>
      </c>
      <c r="G1" s="267"/>
      <c r="H1" s="268"/>
      <c r="I1" s="269" t="s">
        <v>88</v>
      </c>
      <c r="J1" s="270"/>
      <c r="K1" s="271"/>
      <c r="L1" s="273" t="s">
        <v>89</v>
      </c>
      <c r="M1" s="274"/>
      <c r="N1" s="275"/>
      <c r="O1" s="276" t="s">
        <v>199</v>
      </c>
      <c r="P1" s="277"/>
      <c r="Q1" s="278"/>
      <c r="R1" s="242" t="s">
        <v>200</v>
      </c>
      <c r="S1" s="243"/>
      <c r="T1" s="244"/>
      <c r="U1" s="245" t="s">
        <v>306</v>
      </c>
      <c r="V1" s="246"/>
      <c r="W1" s="247"/>
    </row>
    <row r="2" spans="1:23" x14ac:dyDescent="0.25">
      <c r="A2" s="3"/>
      <c r="B2" s="17"/>
      <c r="C2" s="237"/>
      <c r="D2" s="237"/>
      <c r="E2" s="237"/>
      <c r="F2" s="248" t="s">
        <v>432</v>
      </c>
      <c r="G2" s="249"/>
      <c r="H2" s="250"/>
      <c r="I2" s="263" t="s">
        <v>482</v>
      </c>
      <c r="J2" s="264"/>
      <c r="K2" s="265"/>
      <c r="L2" s="260"/>
      <c r="M2" s="261"/>
      <c r="N2" s="262"/>
      <c r="O2" s="257"/>
      <c r="P2" s="258"/>
      <c r="Q2" s="259"/>
      <c r="R2" s="254"/>
      <c r="S2" s="255"/>
      <c r="T2" s="256"/>
      <c r="U2" s="251"/>
      <c r="V2" s="252"/>
      <c r="W2" s="253"/>
    </row>
    <row r="3" spans="1:23" ht="15.75" thickBot="1" x14ac:dyDescent="0.3">
      <c r="A3" s="3" t="s">
        <v>48</v>
      </c>
      <c r="B3" s="17" t="s">
        <v>1</v>
      </c>
      <c r="C3" s="272"/>
      <c r="D3" s="272"/>
      <c r="E3" s="272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D5" si="0">SUM(G4,J4,M4,P4,S4,V4)</f>
        <v>0</v>
      </c>
      <c r="E4" s="190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1</v>
      </c>
      <c r="D6" s="51">
        <f t="shared" si="1"/>
        <v>0</v>
      </c>
      <c r="E6" s="58">
        <f t="shared" si="1"/>
        <v>0</v>
      </c>
      <c r="F6" s="52"/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1</v>
      </c>
      <c r="D7" s="51">
        <f t="shared" si="1"/>
        <v>0</v>
      </c>
      <c r="E7" s="58">
        <f t="shared" si="1"/>
        <v>0</v>
      </c>
      <c r="F7" s="52"/>
      <c r="G7" s="36"/>
      <c r="H7" s="53"/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1</v>
      </c>
      <c r="D8" s="51">
        <f t="shared" si="1"/>
        <v>0</v>
      </c>
      <c r="E8" s="58">
        <f t="shared" si="1"/>
        <v>0</v>
      </c>
      <c r="F8" s="52"/>
      <c r="G8" s="36"/>
      <c r="H8" s="53"/>
      <c r="I8" s="52">
        <v>1</v>
      </c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1</v>
      </c>
      <c r="D9" s="51">
        <f t="shared" si="1"/>
        <v>0</v>
      </c>
      <c r="E9" s="58">
        <f t="shared" si="1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2</v>
      </c>
      <c r="D11" s="51">
        <f t="shared" si="1"/>
        <v>0</v>
      </c>
      <c r="E11" s="58">
        <f t="shared" si="1"/>
        <v>0</v>
      </c>
      <c r="F11" s="52">
        <v>1</v>
      </c>
      <c r="G11" s="36"/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2</v>
      </c>
      <c r="D12" s="51">
        <f t="shared" si="1"/>
        <v>0</v>
      </c>
      <c r="E12" s="58">
        <f t="shared" si="1"/>
        <v>1</v>
      </c>
      <c r="F12" s="52">
        <v>1</v>
      </c>
      <c r="G12" s="36"/>
      <c r="H12" s="53">
        <v>1</v>
      </c>
      <c r="I12" s="52">
        <v>1</v>
      </c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1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>
        <v>1</v>
      </c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1</v>
      </c>
      <c r="D14" s="51">
        <f t="shared" si="1"/>
        <v>0</v>
      </c>
      <c r="E14" s="58">
        <f t="shared" si="1"/>
        <v>0</v>
      </c>
      <c r="F14" s="52">
        <v>1</v>
      </c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2</v>
      </c>
      <c r="D15" s="51">
        <f t="shared" si="1"/>
        <v>1</v>
      </c>
      <c r="E15" s="58">
        <f t="shared" si="1"/>
        <v>0</v>
      </c>
      <c r="F15" s="52">
        <v>1</v>
      </c>
      <c r="G15" s="36"/>
      <c r="H15" s="53"/>
      <c r="I15" s="52">
        <v>1</v>
      </c>
      <c r="J15" s="36">
        <v>1</v>
      </c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431</v>
      </c>
      <c r="C16" s="58">
        <f t="shared" ref="C16:C28" si="2">SUM(F16,I16,L16,O16,R16,U16)</f>
        <v>2</v>
      </c>
      <c r="D16" s="51">
        <f t="shared" ref="D16:D28" si="3">SUM(G16,J16,M16,P16,S16,V16)</f>
        <v>0</v>
      </c>
      <c r="E16" s="58">
        <f t="shared" ref="E16:E28" si="4">SUM(H16,K16,N16,Q16,T16,W16)</f>
        <v>0</v>
      </c>
      <c r="F16" s="52">
        <v>1</v>
      </c>
      <c r="G16" s="36"/>
      <c r="H16" s="53"/>
      <c r="I16" s="52">
        <v>1</v>
      </c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1</v>
      </c>
      <c r="D17" s="51">
        <f t="shared" si="3"/>
        <v>0</v>
      </c>
      <c r="E17" s="58">
        <f t="shared" si="4"/>
        <v>0</v>
      </c>
      <c r="F17" s="52">
        <v>1</v>
      </c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1</v>
      </c>
      <c r="D18" s="51">
        <f t="shared" si="3"/>
        <v>1</v>
      </c>
      <c r="E18" s="58">
        <f t="shared" si="4"/>
        <v>0</v>
      </c>
      <c r="F18" s="52">
        <v>1</v>
      </c>
      <c r="G18" s="36">
        <v>1</v>
      </c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1</v>
      </c>
      <c r="D20" s="51">
        <f t="shared" si="3"/>
        <v>1</v>
      </c>
      <c r="E20" s="58">
        <f t="shared" si="4"/>
        <v>0</v>
      </c>
      <c r="F20" s="52">
        <v>1</v>
      </c>
      <c r="G20" s="36">
        <v>1</v>
      </c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1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>
        <v>1</v>
      </c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1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>
        <v>1</v>
      </c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2</v>
      </c>
      <c r="D25" s="51">
        <f t="shared" si="3"/>
        <v>0</v>
      </c>
      <c r="E25" s="58">
        <f t="shared" si="4"/>
        <v>1</v>
      </c>
      <c r="F25" s="52">
        <v>1</v>
      </c>
      <c r="G25" s="36"/>
      <c r="H25" s="53">
        <v>1</v>
      </c>
      <c r="I25" s="52">
        <v>1</v>
      </c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2</v>
      </c>
      <c r="D26" s="51">
        <f t="shared" si="3"/>
        <v>0</v>
      </c>
      <c r="E26" s="58">
        <f t="shared" si="4"/>
        <v>0</v>
      </c>
      <c r="F26" s="52">
        <v>1</v>
      </c>
      <c r="G26" s="36"/>
      <c r="H26" s="53"/>
      <c r="I26" s="52">
        <v>1</v>
      </c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1</v>
      </c>
      <c r="D30" s="51">
        <f t="shared" si="5"/>
        <v>0</v>
      </c>
      <c r="E30" s="58">
        <f t="shared" si="5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464</v>
      </c>
      <c r="C31" s="58">
        <f t="shared" ref="C31:C33" si="6">SUM(F31,I31,L31,O31,R31,U31)</f>
        <v>1</v>
      </c>
      <c r="D31" s="51">
        <f t="shared" ref="D31:D33" si="7">SUM(G31,J31,M31,P31,S31,V31)</f>
        <v>0</v>
      </c>
      <c r="E31" s="58">
        <f t="shared" ref="E31:E33" si="8">SUM(H31,K31,N31,Q31,T31,W31)</f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1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2</v>
      </c>
      <c r="D33" s="51">
        <f t="shared" si="7"/>
        <v>0</v>
      </c>
      <c r="E33" s="58">
        <f t="shared" si="8"/>
        <v>0</v>
      </c>
      <c r="F33" s="52">
        <v>1</v>
      </c>
      <c r="G33" s="36"/>
      <c r="H33" s="53"/>
      <c r="I33" s="52">
        <v>1</v>
      </c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7">
        <v>53</v>
      </c>
      <c r="B34" s="149" t="s">
        <v>483</v>
      </c>
      <c r="C34" s="58">
        <f t="shared" ref="C34:C39" si="9">SUM(F34,I34,L34,O34,R34,U34)</f>
        <v>1</v>
      </c>
      <c r="D34" s="51">
        <f t="shared" ref="D34:D39" si="10">SUM(G34,J34,M34,P34,S34,V34)</f>
        <v>0</v>
      </c>
      <c r="E34" s="58">
        <f t="shared" ref="E34:E39" si="11">SUM(H34,K34,N34,Q34,T34,W34)</f>
        <v>0</v>
      </c>
      <c r="F34" s="52"/>
      <c r="G34" s="36"/>
      <c r="H34" s="53"/>
      <c r="I34" s="52">
        <v>1</v>
      </c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9"/>
        <v>0</v>
      </c>
      <c r="D35" s="51">
        <f t="shared" si="10"/>
        <v>0</v>
      </c>
      <c r="E35" s="58">
        <f t="shared" si="11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9"/>
        <v>2</v>
      </c>
      <c r="D36" s="51">
        <f t="shared" si="10"/>
        <v>2</v>
      </c>
      <c r="E36" s="58">
        <f t="shared" si="11"/>
        <v>0</v>
      </c>
      <c r="F36" s="52">
        <v>1</v>
      </c>
      <c r="G36" s="36">
        <v>2</v>
      </c>
      <c r="H36" s="53"/>
      <c r="I36" s="52">
        <v>1</v>
      </c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58</v>
      </c>
      <c r="B37" s="148" t="s">
        <v>292</v>
      </c>
      <c r="C37" s="58">
        <f>SUM(F37,I37,L37,O37,R37,U37)</f>
        <v>0</v>
      </c>
      <c r="D37" s="51">
        <f>SUM(G37,J37,M37,P37,S37,V37)</f>
        <v>0</v>
      </c>
      <c r="E37" s="58">
        <f>SUM(H37,K37,N37,Q37,T37,W37)</f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71</v>
      </c>
      <c r="B38" s="148" t="s">
        <v>339</v>
      </c>
      <c r="C38" s="58">
        <f t="shared" si="9"/>
        <v>0</v>
      </c>
      <c r="D38" s="51">
        <f t="shared" si="10"/>
        <v>0</v>
      </c>
      <c r="E38" s="58">
        <f t="shared" si="11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333</v>
      </c>
      <c r="C39" s="58">
        <f t="shared" si="9"/>
        <v>2</v>
      </c>
      <c r="D39" s="51">
        <f t="shared" si="10"/>
        <v>0</v>
      </c>
      <c r="E39" s="58">
        <f t="shared" si="11"/>
        <v>0</v>
      </c>
      <c r="F39" s="52">
        <v>1</v>
      </c>
      <c r="G39" s="36"/>
      <c r="H39" s="53"/>
      <c r="I39" s="52">
        <v>1</v>
      </c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F40" s="171">
        <f t="shared" ref="F40:W40" si="12">SUM(F4:F39)</f>
        <v>16</v>
      </c>
      <c r="G40" s="172">
        <f t="shared" si="12"/>
        <v>4</v>
      </c>
      <c r="H40" s="173">
        <f t="shared" si="12"/>
        <v>2</v>
      </c>
      <c r="I40" s="171">
        <f t="shared" si="12"/>
        <v>16</v>
      </c>
      <c r="J40" s="172">
        <f t="shared" si="12"/>
        <v>1</v>
      </c>
      <c r="K40" s="173">
        <f t="shared" si="12"/>
        <v>0</v>
      </c>
      <c r="L40" s="171">
        <f t="shared" si="12"/>
        <v>0</v>
      </c>
      <c r="M40" s="172">
        <f t="shared" si="12"/>
        <v>0</v>
      </c>
      <c r="N40" s="173">
        <f t="shared" si="12"/>
        <v>0</v>
      </c>
      <c r="O40" s="171">
        <f t="shared" si="12"/>
        <v>0</v>
      </c>
      <c r="P40" s="172">
        <f t="shared" si="12"/>
        <v>0</v>
      </c>
      <c r="Q40" s="173">
        <f t="shared" si="12"/>
        <v>0</v>
      </c>
      <c r="R40" s="171">
        <f t="shared" si="12"/>
        <v>0</v>
      </c>
      <c r="S40" s="172">
        <f t="shared" si="12"/>
        <v>0</v>
      </c>
      <c r="T40" s="173">
        <f t="shared" si="12"/>
        <v>0</v>
      </c>
      <c r="U40" s="171">
        <f t="shared" si="12"/>
        <v>0</v>
      </c>
      <c r="V40" s="172">
        <f t="shared" si="12"/>
        <v>0</v>
      </c>
      <c r="W40" s="173">
        <f t="shared" si="12"/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2">
    <cfRule type="cellIs" dxfId="11" priority="1" operator="equal">
      <formula>1</formula>
    </cfRule>
  </conditionalFormatting>
  <conditionalFormatting sqref="F4:W39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8"/>
  <sheetViews>
    <sheetView zoomScale="85" zoomScaleNormal="85" workbookViewId="0">
      <selection activeCell="A36" sqref="A36:XFD36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9" t="s">
        <v>340</v>
      </c>
      <c r="D1" s="280"/>
      <c r="E1" s="280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431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8">
        <v>45</v>
      </c>
      <c r="B30" s="148" t="s">
        <v>464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7">
        <v>53</v>
      </c>
      <c r="B33" s="149" t="s">
        <v>483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58</v>
      </c>
      <c r="B36" s="148" t="s">
        <v>292</v>
      </c>
      <c r="C36" s="20"/>
      <c r="D36" s="20"/>
      <c r="E36" s="20"/>
    </row>
    <row r="37" spans="1:5" x14ac:dyDescent="0.25">
      <c r="A37" s="28">
        <v>71</v>
      </c>
      <c r="B37" s="148" t="s">
        <v>339</v>
      </c>
      <c r="C37" s="20"/>
      <c r="D37" s="20"/>
      <c r="E37" s="20"/>
    </row>
    <row r="38" spans="1:5" x14ac:dyDescent="0.25">
      <c r="A38" s="28">
        <v>89</v>
      </c>
      <c r="B38" s="148" t="s">
        <v>333</v>
      </c>
      <c r="C38" s="20"/>
      <c r="D38" s="20"/>
      <c r="E38" s="20"/>
    </row>
  </sheetData>
  <mergeCells count="1">
    <mergeCell ref="C1:E1"/>
  </mergeCells>
  <conditionalFormatting sqref="C3:E38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zoomScale="80" zoomScaleNormal="80" workbookViewId="0">
      <selection activeCell="Y84" sqref="Y84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1" t="s">
        <v>202</v>
      </c>
      <c r="D1" s="282"/>
      <c r="E1" s="282"/>
      <c r="F1" s="282"/>
      <c r="G1" s="282"/>
      <c r="H1" s="282"/>
      <c r="I1" s="283"/>
      <c r="J1" s="114" t="s">
        <v>195</v>
      </c>
      <c r="K1" s="115" t="s">
        <v>194</v>
      </c>
      <c r="L1" s="306" t="s">
        <v>287</v>
      </c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311"/>
      <c r="AE1" s="311"/>
      <c r="AF1" s="311"/>
      <c r="AG1" s="312"/>
      <c r="AH1" s="306" t="s">
        <v>175</v>
      </c>
      <c r="AI1" s="307"/>
      <c r="AJ1" s="307"/>
      <c r="AK1" s="308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2.0571428571428569</v>
      </c>
      <c r="B7" s="110">
        <v>5</v>
      </c>
      <c r="C7" s="123">
        <v>0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1.8571428571428572</v>
      </c>
      <c r="B8" s="110">
        <v>6</v>
      </c>
      <c r="C8" s="123">
        <v>3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2.2857142857142856</v>
      </c>
      <c r="B9" s="110">
        <v>7</v>
      </c>
      <c r="C9" s="123">
        <v>3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2.1142857142857143</v>
      </c>
      <c r="B10" s="110">
        <v>8</v>
      </c>
      <c r="C10" s="123">
        <v>3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13" t="s">
        <v>433</v>
      </c>
      <c r="L80" s="314"/>
      <c r="M80" s="315"/>
      <c r="O80" s="133"/>
      <c r="P80" s="133"/>
      <c r="W80" s="309"/>
      <c r="X80" s="309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6"/>
      <c r="L81" s="317"/>
      <c r="M81" s="318"/>
      <c r="O81" s="133"/>
      <c r="P81" s="133"/>
      <c r="W81" s="309" t="s">
        <v>209</v>
      </c>
      <c r="X81" s="309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19" t="s">
        <v>434</v>
      </c>
      <c r="L82" s="320"/>
      <c r="M82" s="321"/>
      <c r="O82" s="133"/>
      <c r="P82" s="133"/>
      <c r="W82" s="309" t="s">
        <v>210</v>
      </c>
      <c r="X82" s="309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22" t="s">
        <v>435</v>
      </c>
      <c r="L83" s="323"/>
      <c r="M83" s="324"/>
      <c r="O83" s="133"/>
      <c r="P83" s="133"/>
      <c r="W83" s="310" t="s">
        <v>97</v>
      </c>
      <c r="X83" s="310"/>
      <c r="Y83" s="194">
        <v>228</v>
      </c>
      <c r="Z83" s="194">
        <v>61</v>
      </c>
      <c r="AA83" s="70">
        <v>76</v>
      </c>
      <c r="AC83" s="109">
        <f>Y83/SUM($Y$83:$AA$83)</f>
        <v>0.62465753424657533</v>
      </c>
      <c r="AD83" s="195">
        <f t="shared" ref="AD83:AE83" si="5">Z83/SUM($Y$83:$AA$83)</f>
        <v>0.16712328767123288</v>
      </c>
      <c r="AE83" s="195">
        <f t="shared" si="5"/>
        <v>0.20821917808219179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87" t="s">
        <v>284</v>
      </c>
      <c r="L84" s="288"/>
      <c r="M84" s="289"/>
      <c r="O84" s="141"/>
      <c r="P84" s="141"/>
      <c r="W84" s="305"/>
      <c r="X84" s="305"/>
      <c r="Y84" s="196"/>
      <c r="Z84" s="196"/>
      <c r="AA84" s="196"/>
      <c r="AC84" s="197"/>
      <c r="AD84" s="197"/>
      <c r="AE84" s="197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90"/>
      <c r="L85" s="291"/>
      <c r="M85" s="292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90"/>
      <c r="L86" s="291"/>
      <c r="M86" s="292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90"/>
      <c r="L87" s="291"/>
      <c r="M87" s="292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90"/>
      <c r="L88" s="291"/>
      <c r="M88" s="292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90"/>
      <c r="L89" s="291"/>
      <c r="M89" s="292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90"/>
      <c r="L90" s="291"/>
      <c r="M90" s="292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90"/>
      <c r="L91" s="291"/>
      <c r="M91" s="292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90"/>
      <c r="L92" s="291"/>
      <c r="M92" s="292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90"/>
      <c r="L93" s="291"/>
      <c r="M93" s="292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90"/>
      <c r="L94" s="291"/>
      <c r="M94" s="292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90"/>
      <c r="L95" s="291"/>
      <c r="M95" s="292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90"/>
      <c r="L96" s="291"/>
      <c r="M96" s="292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90"/>
      <c r="L97" s="291"/>
      <c r="M97" s="292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90"/>
      <c r="L98" s="291"/>
      <c r="M98" s="292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90"/>
      <c r="L99" s="291"/>
      <c r="M99" s="292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90"/>
      <c r="L100" s="291"/>
      <c r="M100" s="292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90"/>
      <c r="L101" s="291"/>
      <c r="M101" s="292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90"/>
      <c r="L102" s="291"/>
      <c r="M102" s="292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90"/>
      <c r="L103" s="291"/>
      <c r="M103" s="292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90"/>
      <c r="L104" s="291"/>
      <c r="M104" s="292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293"/>
      <c r="L105" s="294"/>
      <c r="M105" s="295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84" t="s">
        <v>286</v>
      </c>
      <c r="L106" s="285"/>
      <c r="M106" s="286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84" t="s">
        <v>288</v>
      </c>
      <c r="L107" s="285"/>
      <c r="M107" s="286"/>
      <c r="O107" s="126"/>
      <c r="P107" s="126"/>
    </row>
    <row r="108" spans="1:16" ht="15.75" customHeight="1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96" t="s">
        <v>289</v>
      </c>
      <c r="L108" s="297"/>
      <c r="M108" s="298"/>
      <c r="O108" s="126"/>
      <c r="P108" s="126"/>
    </row>
    <row r="109" spans="1:16" ht="15.75" customHeight="1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99"/>
      <c r="L109" s="300"/>
      <c r="M109" s="301"/>
      <c r="O109" s="126"/>
      <c r="P109" s="126"/>
    </row>
    <row r="110" spans="1:16" ht="15.75" customHeight="1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99"/>
      <c r="L110" s="300"/>
      <c r="M110" s="301"/>
      <c r="O110" s="126"/>
      <c r="P110" s="126"/>
    </row>
    <row r="111" spans="1:16" ht="15.75" customHeight="1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99"/>
      <c r="L111" s="300"/>
      <c r="M111" s="301"/>
      <c r="O111" s="126"/>
      <c r="P111" s="126"/>
    </row>
    <row r="112" spans="1:16" ht="15.75" customHeight="1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299"/>
      <c r="L112" s="300"/>
      <c r="M112" s="301"/>
    </row>
    <row r="113" spans="1:13" ht="16.5" customHeight="1" x14ac:dyDescent="0.25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299"/>
      <c r="L113" s="300"/>
      <c r="M113" s="301"/>
    </row>
    <row r="114" spans="1:13" ht="16.5" thickBot="1" x14ac:dyDescent="0.3">
      <c r="A114" s="93" t="s">
        <v>436</v>
      </c>
      <c r="B114" s="122"/>
      <c r="C114" s="122"/>
      <c r="D114" s="122">
        <f>SUM(E114*3+F114)</f>
        <v>21</v>
      </c>
      <c r="E114" s="122">
        <f>COUNTIF(C3:C41,3)</f>
        <v>7</v>
      </c>
      <c r="F114" s="122">
        <f>COUNTIF(C3:C41,1)</f>
        <v>0</v>
      </c>
      <c r="G114" s="122">
        <f>COUNTIF(C3:C41,0)</f>
        <v>1</v>
      </c>
      <c r="H114" s="122">
        <f>Match!R4</f>
        <v>13</v>
      </c>
      <c r="I114" s="122">
        <f>Match!S4</f>
        <v>5</v>
      </c>
      <c r="J114" s="154">
        <f t="shared" si="6"/>
        <v>8</v>
      </c>
      <c r="K114" s="302"/>
      <c r="L114" s="303"/>
      <c r="M114" s="304"/>
    </row>
  </sheetData>
  <autoFilter ref="A79:J112" xr:uid="{9C81160F-C24B-449F-8F5A-CB622AB71070}"/>
  <mergeCells count="15">
    <mergeCell ref="W84:X84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C1:I1"/>
    <mergeCell ref="K106:M106"/>
    <mergeCell ref="K107:M107"/>
    <mergeCell ref="K84:M105"/>
    <mergeCell ref="K108:M114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B5" sqref="B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22.140625" bestFit="1" customWidth="1"/>
    <col min="5" max="5" width="19.85546875" bestFit="1" customWidth="1"/>
    <col min="6" max="6" width="10.140625" bestFit="1" customWidth="1"/>
    <col min="7" max="7" width="12.140625" bestFit="1" customWidth="1"/>
    <col min="8" max="8" width="19.85546875" bestFit="1" customWidth="1"/>
    <col min="9" max="9" width="15.42578125" bestFit="1" customWidth="1"/>
    <col min="10" max="10" width="19.855468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325" t="s">
        <v>405</v>
      </c>
      <c r="B1" s="325"/>
      <c r="C1" s="325"/>
      <c r="D1" s="325"/>
      <c r="E1" s="325"/>
      <c r="F1" s="325" t="s">
        <v>406</v>
      </c>
      <c r="G1" s="325"/>
      <c r="H1" s="325"/>
      <c r="I1" s="325"/>
      <c r="J1" s="325"/>
    </row>
    <row r="2" spans="1:21" x14ac:dyDescent="0.25">
      <c r="A2" s="325"/>
      <c r="B2" s="325"/>
      <c r="C2" s="325"/>
      <c r="D2" s="325"/>
      <c r="E2" s="325"/>
      <c r="F2" s="325"/>
      <c r="G2" s="325"/>
      <c r="H2" s="325"/>
      <c r="I2" s="325"/>
      <c r="J2" s="325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408</v>
      </c>
      <c r="N3" s="193">
        <v>8</v>
      </c>
      <c r="O3" s="193">
        <v>7</v>
      </c>
      <c r="P3" s="193">
        <v>0</v>
      </c>
      <c r="Q3" s="193">
        <v>1</v>
      </c>
      <c r="R3" s="193">
        <v>20</v>
      </c>
      <c r="S3" s="193">
        <v>9</v>
      </c>
      <c r="T3" s="193">
        <v>11</v>
      </c>
      <c r="U3" s="193">
        <v>21</v>
      </c>
    </row>
    <row r="4" spans="1:21" x14ac:dyDescent="0.25">
      <c r="A4" t="s">
        <v>487</v>
      </c>
      <c r="B4" s="192">
        <v>0.72916666666666663</v>
      </c>
      <c r="C4" t="s">
        <v>4</v>
      </c>
      <c r="D4" t="s">
        <v>425</v>
      </c>
      <c r="E4" t="s">
        <v>486</v>
      </c>
      <c r="F4" t="s">
        <v>472</v>
      </c>
      <c r="G4" s="202" t="s">
        <v>485</v>
      </c>
      <c r="H4" t="s">
        <v>110</v>
      </c>
      <c r="I4" t="s">
        <v>473</v>
      </c>
      <c r="J4" t="s">
        <v>474</v>
      </c>
      <c r="L4">
        <v>2</v>
      </c>
      <c r="M4" t="s">
        <v>413</v>
      </c>
      <c r="N4" s="193">
        <v>8</v>
      </c>
      <c r="O4" s="193">
        <v>7</v>
      </c>
      <c r="P4" s="193">
        <v>0</v>
      </c>
      <c r="Q4" s="193">
        <v>1</v>
      </c>
      <c r="R4" s="193">
        <v>13</v>
      </c>
      <c r="S4" s="193">
        <v>5</v>
      </c>
      <c r="T4" s="193">
        <v>8</v>
      </c>
      <c r="U4" s="193">
        <v>21</v>
      </c>
    </row>
    <row r="5" spans="1:21" x14ac:dyDescent="0.25">
      <c r="L5">
        <v>3</v>
      </c>
      <c r="M5" t="s">
        <v>417</v>
      </c>
      <c r="N5" s="193">
        <v>8</v>
      </c>
      <c r="O5" s="193">
        <v>5</v>
      </c>
      <c r="P5" s="193">
        <v>1</v>
      </c>
      <c r="Q5" s="193">
        <v>2</v>
      </c>
      <c r="R5" s="193">
        <v>23</v>
      </c>
      <c r="S5" s="193">
        <v>7</v>
      </c>
      <c r="T5" s="193">
        <v>16</v>
      </c>
      <c r="U5" s="193">
        <v>16</v>
      </c>
    </row>
    <row r="6" spans="1:21" x14ac:dyDescent="0.25">
      <c r="L6">
        <v>4</v>
      </c>
      <c r="M6" t="s">
        <v>425</v>
      </c>
      <c r="N6" s="193">
        <v>8</v>
      </c>
      <c r="O6" s="193">
        <v>4</v>
      </c>
      <c r="P6" s="193">
        <v>3</v>
      </c>
      <c r="Q6" s="193">
        <v>1</v>
      </c>
      <c r="R6" s="193">
        <v>11</v>
      </c>
      <c r="S6" s="193">
        <v>8</v>
      </c>
      <c r="T6" s="193">
        <v>3</v>
      </c>
      <c r="U6" s="193">
        <v>15</v>
      </c>
    </row>
    <row r="7" spans="1:21" x14ac:dyDescent="0.25">
      <c r="L7">
        <v>5</v>
      </c>
      <c r="M7" t="s">
        <v>418</v>
      </c>
      <c r="N7" s="193">
        <v>8</v>
      </c>
      <c r="O7" s="193">
        <v>4</v>
      </c>
      <c r="P7" s="193">
        <v>1</v>
      </c>
      <c r="Q7" s="193">
        <v>3</v>
      </c>
      <c r="R7" s="193">
        <v>17</v>
      </c>
      <c r="S7" s="193">
        <v>15</v>
      </c>
      <c r="T7" s="193">
        <v>2</v>
      </c>
      <c r="U7" s="193">
        <v>13</v>
      </c>
    </row>
    <row r="8" spans="1:21" x14ac:dyDescent="0.25">
      <c r="L8">
        <v>6</v>
      </c>
      <c r="M8" t="s">
        <v>416</v>
      </c>
      <c r="N8" s="193">
        <v>8</v>
      </c>
      <c r="O8" s="193">
        <v>2</v>
      </c>
      <c r="P8" s="193">
        <v>5</v>
      </c>
      <c r="Q8" s="193">
        <v>1</v>
      </c>
      <c r="R8" s="193">
        <v>14</v>
      </c>
      <c r="S8" s="193">
        <v>9</v>
      </c>
      <c r="T8" s="193">
        <v>5</v>
      </c>
      <c r="U8" s="193">
        <v>11</v>
      </c>
    </row>
    <row r="9" spans="1:21" x14ac:dyDescent="0.25">
      <c r="L9">
        <v>7</v>
      </c>
      <c r="M9" t="s">
        <v>424</v>
      </c>
      <c r="N9" s="193">
        <v>8</v>
      </c>
      <c r="O9" s="193">
        <v>2</v>
      </c>
      <c r="P9" s="193">
        <v>5</v>
      </c>
      <c r="Q9" s="193">
        <v>1</v>
      </c>
      <c r="R9" s="193">
        <v>9</v>
      </c>
      <c r="S9" s="193">
        <v>6</v>
      </c>
      <c r="T9" s="193">
        <v>3</v>
      </c>
      <c r="U9" s="193">
        <v>11</v>
      </c>
    </row>
    <row r="10" spans="1:21" x14ac:dyDescent="0.25">
      <c r="L10">
        <v>8</v>
      </c>
      <c r="M10" t="s">
        <v>427</v>
      </c>
      <c r="N10" s="193">
        <v>8</v>
      </c>
      <c r="O10" s="193">
        <v>3</v>
      </c>
      <c r="P10" s="193">
        <v>2</v>
      </c>
      <c r="Q10" s="193">
        <v>3</v>
      </c>
      <c r="R10" s="193">
        <v>12</v>
      </c>
      <c r="S10" s="193">
        <v>14</v>
      </c>
      <c r="T10" s="193" t="s">
        <v>475</v>
      </c>
      <c r="U10" s="193">
        <v>11</v>
      </c>
    </row>
    <row r="11" spans="1:21" x14ac:dyDescent="0.25">
      <c r="L11">
        <v>9</v>
      </c>
      <c r="M11" t="s">
        <v>414</v>
      </c>
      <c r="N11" s="193">
        <v>8</v>
      </c>
      <c r="O11" s="193">
        <v>3</v>
      </c>
      <c r="P11" s="193">
        <v>2</v>
      </c>
      <c r="Q11" s="193">
        <v>3</v>
      </c>
      <c r="R11" s="193">
        <v>9</v>
      </c>
      <c r="S11" s="193">
        <v>12</v>
      </c>
      <c r="T11" s="193" t="s">
        <v>454</v>
      </c>
      <c r="U11" s="193">
        <v>11</v>
      </c>
    </row>
    <row r="12" spans="1:21" x14ac:dyDescent="0.25">
      <c r="L12">
        <v>10</v>
      </c>
      <c r="M12" t="s">
        <v>422</v>
      </c>
      <c r="N12" s="193">
        <v>8</v>
      </c>
      <c r="O12" s="193">
        <v>2</v>
      </c>
      <c r="P12" s="193">
        <v>4</v>
      </c>
      <c r="Q12" s="193">
        <v>2</v>
      </c>
      <c r="R12" s="193">
        <v>9</v>
      </c>
      <c r="S12" s="193">
        <v>8</v>
      </c>
      <c r="T12" s="193">
        <v>1</v>
      </c>
      <c r="U12" s="193">
        <v>10</v>
      </c>
    </row>
    <row r="13" spans="1:21" x14ac:dyDescent="0.25">
      <c r="L13">
        <v>11</v>
      </c>
      <c r="M13" t="s">
        <v>420</v>
      </c>
      <c r="N13" s="193">
        <v>8</v>
      </c>
      <c r="O13" s="193">
        <v>2</v>
      </c>
      <c r="P13" s="193">
        <v>4</v>
      </c>
      <c r="Q13" s="193">
        <v>2</v>
      </c>
      <c r="R13" s="193">
        <v>8</v>
      </c>
      <c r="S13" s="193">
        <v>9</v>
      </c>
      <c r="T13" s="193" t="s">
        <v>476</v>
      </c>
      <c r="U13" s="193">
        <v>10</v>
      </c>
    </row>
    <row r="14" spans="1:21" x14ac:dyDescent="0.25">
      <c r="L14">
        <v>12</v>
      </c>
      <c r="M14" t="s">
        <v>423</v>
      </c>
      <c r="N14" s="193">
        <v>8</v>
      </c>
      <c r="O14" s="193">
        <v>3</v>
      </c>
      <c r="P14" s="193">
        <v>1</v>
      </c>
      <c r="Q14" s="193">
        <v>4</v>
      </c>
      <c r="R14" s="193">
        <v>12</v>
      </c>
      <c r="S14" s="193">
        <v>16</v>
      </c>
      <c r="T14" s="193" t="s">
        <v>466</v>
      </c>
      <c r="U14" s="193">
        <v>10</v>
      </c>
    </row>
    <row r="15" spans="1:21" x14ac:dyDescent="0.25">
      <c r="L15">
        <v>13</v>
      </c>
      <c r="M15" t="s">
        <v>415</v>
      </c>
      <c r="N15" s="193">
        <v>8</v>
      </c>
      <c r="O15" s="193">
        <v>2</v>
      </c>
      <c r="P15" s="193">
        <v>3</v>
      </c>
      <c r="Q15" s="193">
        <v>3</v>
      </c>
      <c r="R15" s="193">
        <v>12</v>
      </c>
      <c r="S15" s="193">
        <v>13</v>
      </c>
      <c r="T15" s="193" t="s">
        <v>476</v>
      </c>
      <c r="U15" s="193">
        <v>9</v>
      </c>
    </row>
    <row r="16" spans="1:21" x14ac:dyDescent="0.25">
      <c r="L16">
        <v>14</v>
      </c>
      <c r="M16" t="s">
        <v>430</v>
      </c>
      <c r="N16" s="193">
        <v>8</v>
      </c>
      <c r="O16" s="193">
        <v>2</v>
      </c>
      <c r="P16" s="193">
        <v>3</v>
      </c>
      <c r="Q16" s="193">
        <v>3</v>
      </c>
      <c r="R16" s="193">
        <v>8</v>
      </c>
      <c r="S16" s="193">
        <v>10</v>
      </c>
      <c r="T16" s="193" t="s">
        <v>475</v>
      </c>
      <c r="U16" s="193">
        <v>9</v>
      </c>
    </row>
    <row r="17" spans="12:21" x14ac:dyDescent="0.25">
      <c r="L17">
        <v>15</v>
      </c>
      <c r="M17" t="s">
        <v>421</v>
      </c>
      <c r="N17" s="193">
        <v>8</v>
      </c>
      <c r="O17" s="193">
        <v>2</v>
      </c>
      <c r="P17" s="193">
        <v>2</v>
      </c>
      <c r="Q17" s="193">
        <v>4</v>
      </c>
      <c r="R17" s="193">
        <v>8</v>
      </c>
      <c r="S17" s="193">
        <v>10</v>
      </c>
      <c r="T17" s="193" t="s">
        <v>475</v>
      </c>
      <c r="U17" s="193">
        <v>8</v>
      </c>
    </row>
    <row r="18" spans="12:21" x14ac:dyDescent="0.25">
      <c r="L18">
        <v>16</v>
      </c>
      <c r="M18" t="s">
        <v>426</v>
      </c>
      <c r="N18" s="193">
        <v>8</v>
      </c>
      <c r="O18" s="193">
        <v>1</v>
      </c>
      <c r="P18" s="193">
        <v>4</v>
      </c>
      <c r="Q18" s="193">
        <v>3</v>
      </c>
      <c r="R18" s="193">
        <v>10</v>
      </c>
      <c r="S18" s="193">
        <v>13</v>
      </c>
      <c r="T18" s="193" t="s">
        <v>454</v>
      </c>
      <c r="U18" s="193">
        <v>7</v>
      </c>
    </row>
    <row r="19" spans="12:21" x14ac:dyDescent="0.25">
      <c r="L19">
        <v>17</v>
      </c>
      <c r="M19" t="s">
        <v>419</v>
      </c>
      <c r="N19" s="193">
        <v>8</v>
      </c>
      <c r="O19" s="193">
        <v>2</v>
      </c>
      <c r="P19" s="193">
        <v>1</v>
      </c>
      <c r="Q19" s="193">
        <v>5</v>
      </c>
      <c r="R19" s="193">
        <v>9</v>
      </c>
      <c r="S19" s="193">
        <v>19</v>
      </c>
      <c r="T19" s="193" t="s">
        <v>477</v>
      </c>
      <c r="U19" s="193">
        <v>7</v>
      </c>
    </row>
    <row r="20" spans="12:21" x14ac:dyDescent="0.25">
      <c r="L20">
        <v>18</v>
      </c>
      <c r="M20" t="s">
        <v>428</v>
      </c>
      <c r="N20" s="193">
        <v>8</v>
      </c>
      <c r="O20" s="193">
        <v>1</v>
      </c>
      <c r="P20" s="193">
        <v>3</v>
      </c>
      <c r="Q20" s="193">
        <v>4</v>
      </c>
      <c r="R20" s="193">
        <v>6</v>
      </c>
      <c r="S20" s="193">
        <v>10</v>
      </c>
      <c r="T20" s="193" t="s">
        <v>466</v>
      </c>
      <c r="U20" s="193">
        <v>6</v>
      </c>
    </row>
    <row r="21" spans="12:21" x14ac:dyDescent="0.25">
      <c r="L21">
        <v>19</v>
      </c>
      <c r="M21" t="s">
        <v>404</v>
      </c>
      <c r="N21" s="193">
        <v>8</v>
      </c>
      <c r="O21" s="193">
        <v>2</v>
      </c>
      <c r="P21" s="193">
        <v>0</v>
      </c>
      <c r="Q21" s="193">
        <v>6</v>
      </c>
      <c r="R21" s="193">
        <v>6</v>
      </c>
      <c r="S21" s="193">
        <v>15</v>
      </c>
      <c r="T21" s="193" t="s">
        <v>478</v>
      </c>
      <c r="U21" s="193">
        <v>6</v>
      </c>
    </row>
    <row r="22" spans="12:21" x14ac:dyDescent="0.25">
      <c r="L22">
        <v>20</v>
      </c>
      <c r="M22" t="s">
        <v>429</v>
      </c>
      <c r="N22" s="193">
        <v>8</v>
      </c>
      <c r="O22" s="193">
        <v>1</v>
      </c>
      <c r="P22" s="193">
        <v>2</v>
      </c>
      <c r="Q22" s="193">
        <v>5</v>
      </c>
      <c r="R22" s="193">
        <v>6</v>
      </c>
      <c r="S22" s="193">
        <v>14</v>
      </c>
      <c r="T22" s="193" t="s">
        <v>471</v>
      </c>
      <c r="U22" s="193">
        <v>5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tabSelected="1" workbookViewId="0">
      <selection activeCell="C15" sqref="C15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442</v>
      </c>
      <c r="D1" t="s">
        <v>443</v>
      </c>
      <c r="E1" t="s">
        <v>453</v>
      </c>
    </row>
    <row r="2" spans="1:5" x14ac:dyDescent="0.25">
      <c r="A2" t="s">
        <v>350</v>
      </c>
      <c r="B2" t="s">
        <v>488</v>
      </c>
      <c r="C2" s="199">
        <v>6.1</v>
      </c>
      <c r="D2">
        <v>90</v>
      </c>
    </row>
    <row r="3" spans="1:5" x14ac:dyDescent="0.25">
      <c r="A3" t="s">
        <v>439</v>
      </c>
      <c r="B3" t="s">
        <v>489</v>
      </c>
      <c r="C3" s="199">
        <v>8.1</v>
      </c>
      <c r="D3">
        <v>90</v>
      </c>
    </row>
    <row r="4" spans="1:5" x14ac:dyDescent="0.25">
      <c r="A4" t="s">
        <v>440</v>
      </c>
      <c r="B4" t="s">
        <v>490</v>
      </c>
      <c r="C4" s="199">
        <v>6.7</v>
      </c>
      <c r="D4" t="s">
        <v>451</v>
      </c>
    </row>
    <row r="5" spans="1:5" x14ac:dyDescent="0.25">
      <c r="A5" t="s">
        <v>440</v>
      </c>
      <c r="B5" t="s">
        <v>491</v>
      </c>
      <c r="C5" s="199">
        <v>7.6</v>
      </c>
      <c r="D5">
        <v>90</v>
      </c>
    </row>
    <row r="6" spans="1:5" x14ac:dyDescent="0.25">
      <c r="A6" t="s">
        <v>441</v>
      </c>
      <c r="B6" t="s">
        <v>492</v>
      </c>
      <c r="C6" s="199">
        <v>6.8</v>
      </c>
      <c r="D6" t="s">
        <v>451</v>
      </c>
    </row>
    <row r="7" spans="1:5" x14ac:dyDescent="0.25">
      <c r="A7" t="s">
        <v>444</v>
      </c>
      <c r="B7" t="s">
        <v>470</v>
      </c>
      <c r="C7" s="199">
        <v>6.6</v>
      </c>
      <c r="D7" t="s">
        <v>451</v>
      </c>
    </row>
    <row r="8" spans="1:5" x14ac:dyDescent="0.25">
      <c r="A8" t="s">
        <v>444</v>
      </c>
      <c r="B8" t="s">
        <v>480</v>
      </c>
      <c r="C8" s="199">
        <v>7.6</v>
      </c>
      <c r="D8" t="s">
        <v>451</v>
      </c>
    </row>
    <row r="9" spans="1:5" x14ac:dyDescent="0.25">
      <c r="A9" t="s">
        <v>445</v>
      </c>
      <c r="B9" t="s">
        <v>467</v>
      </c>
      <c r="C9" s="199">
        <v>7.6</v>
      </c>
      <c r="D9">
        <v>90</v>
      </c>
    </row>
    <row r="10" spans="1:5" x14ac:dyDescent="0.25">
      <c r="A10" t="s">
        <v>447</v>
      </c>
      <c r="B10" t="s">
        <v>481</v>
      </c>
      <c r="C10" s="199">
        <v>5.5</v>
      </c>
      <c r="D10">
        <v>90</v>
      </c>
      <c r="E10" t="s">
        <v>494</v>
      </c>
    </row>
    <row r="11" spans="1:5" x14ac:dyDescent="0.25">
      <c r="A11" t="s">
        <v>446</v>
      </c>
      <c r="B11" t="s">
        <v>493</v>
      </c>
      <c r="C11" s="199">
        <v>6.5</v>
      </c>
      <c r="D11" t="s">
        <v>451</v>
      </c>
    </row>
    <row r="12" spans="1:5" x14ac:dyDescent="0.25">
      <c r="A12" t="s">
        <v>448</v>
      </c>
      <c r="B12" t="s">
        <v>465</v>
      </c>
      <c r="C12" s="199">
        <v>7.6</v>
      </c>
      <c r="D12">
        <v>90</v>
      </c>
      <c r="E12" t="s">
        <v>468</v>
      </c>
    </row>
    <row r="13" spans="1:5" x14ac:dyDescent="0.25">
      <c r="A13" t="s">
        <v>447</v>
      </c>
      <c r="B13" t="s">
        <v>479</v>
      </c>
      <c r="C13" s="199">
        <v>7</v>
      </c>
      <c r="D13" t="s">
        <v>450</v>
      </c>
    </row>
    <row r="14" spans="1:5" x14ac:dyDescent="0.25">
      <c r="A14" t="s">
        <v>444</v>
      </c>
      <c r="B14" t="s">
        <v>449</v>
      </c>
      <c r="C14" s="199">
        <v>8.3000000000000007</v>
      </c>
      <c r="D14" t="s">
        <v>450</v>
      </c>
    </row>
    <row r="15" spans="1:5" x14ac:dyDescent="0.25">
      <c r="A15" t="s">
        <v>440</v>
      </c>
      <c r="B15" t="s">
        <v>452</v>
      </c>
      <c r="C15" s="199"/>
      <c r="D15" t="s">
        <v>450</v>
      </c>
    </row>
    <row r="16" spans="1:5" x14ac:dyDescent="0.25">
      <c r="A16" t="s">
        <v>446</v>
      </c>
      <c r="B16" t="s">
        <v>469</v>
      </c>
      <c r="C16" s="199">
        <v>7.3</v>
      </c>
      <c r="D16" t="s">
        <v>450</v>
      </c>
    </row>
    <row r="17" spans="1:4" x14ac:dyDescent="0.25">
      <c r="A17" t="s">
        <v>444</v>
      </c>
      <c r="B17" t="s">
        <v>456</v>
      </c>
      <c r="D17" t="s">
        <v>450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3" t="s">
        <v>46</v>
      </c>
      <c r="B1" s="326"/>
      <c r="C1" s="327" t="s">
        <v>44</v>
      </c>
      <c r="D1" s="206"/>
      <c r="E1" s="328"/>
      <c r="H1" s="203" t="s">
        <v>47</v>
      </c>
      <c r="I1" s="326"/>
      <c r="J1" s="327" t="s">
        <v>44</v>
      </c>
      <c r="K1" s="206"/>
      <c r="L1" s="328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85</v>
      </c>
      <c r="K30" s="9">
        <f>'Apps &amp; Goals'!T10</f>
        <v>323</v>
      </c>
      <c r="L30" s="14">
        <f>J30/K30</f>
        <v>0.26315789473684209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2026-10-28T13:19:58Z</dcterms:modified>
</cp:coreProperties>
</file>