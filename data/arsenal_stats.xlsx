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828" documentId="13_ncr:1_{662DAA9A-C5C7-8346-85AE-B86E329139C8}" xr6:coauthVersionLast="47" xr6:coauthVersionMax="47" xr10:uidLastSave="{349CB5C9-7605-476C-A4E3-07D50A0C4E97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T9" i="10"/>
  <c r="W9" i="10" s="1"/>
  <c r="U9" i="10"/>
  <c r="X9" i="10" s="1"/>
  <c r="S10" i="10"/>
  <c r="V10" i="10" s="1"/>
  <c r="T10" i="10"/>
  <c r="U10" i="10"/>
  <c r="X10" i="10" s="1"/>
  <c r="W10" i="10"/>
  <c r="T11" i="10"/>
  <c r="U11" i="10"/>
  <c r="W11" i="10"/>
  <c r="X11" i="10"/>
  <c r="S12" i="10"/>
  <c r="V12" i="10" s="1"/>
  <c r="U12" i="10"/>
  <c r="X12" i="10"/>
  <c r="T13" i="10"/>
  <c r="W13" i="10" s="1"/>
  <c r="U14" i="10"/>
  <c r="X14" i="10"/>
  <c r="U15" i="10"/>
  <c r="X15" i="10"/>
  <c r="S16" i="10"/>
  <c r="V16" i="10" s="1"/>
  <c r="T16" i="10"/>
  <c r="U16" i="10"/>
  <c r="W16" i="10"/>
  <c r="X16" i="10"/>
  <c r="T17" i="10"/>
  <c r="W17" i="10" s="1"/>
  <c r="T18" i="10"/>
  <c r="U18" i="10"/>
  <c r="X18" i="10" s="1"/>
  <c r="W18" i="10"/>
  <c r="S19" i="10"/>
  <c r="T19" i="10"/>
  <c r="U19" i="10"/>
  <c r="V19" i="10"/>
  <c r="W19" i="10"/>
  <c r="X19" i="10"/>
  <c r="T20" i="10"/>
  <c r="W20" i="10" s="1"/>
  <c r="U20" i="10"/>
  <c r="X20" i="10" s="1"/>
  <c r="S21" i="10"/>
  <c r="V21" i="10" s="1"/>
  <c r="T21" i="10"/>
  <c r="W21" i="10" s="1"/>
  <c r="U21" i="10"/>
  <c r="X21" i="10" s="1"/>
  <c r="T22" i="10"/>
  <c r="U22" i="10"/>
  <c r="W22" i="10"/>
  <c r="X22" i="10"/>
  <c r="T23" i="10"/>
  <c r="U23" i="10"/>
  <c r="X23" i="10" s="1"/>
  <c r="W23" i="10"/>
  <c r="S24" i="10"/>
  <c r="V24" i="10" s="1"/>
  <c r="T24" i="10"/>
  <c r="U24" i="10"/>
  <c r="W24" i="10"/>
  <c r="X24" i="10"/>
  <c r="T25" i="10"/>
  <c r="W25" i="10" s="1"/>
  <c r="U25" i="10"/>
  <c r="X25" i="10" s="1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T28" i="10"/>
  <c r="W28" i="10" s="1"/>
  <c r="U28" i="10"/>
  <c r="X28" i="10"/>
  <c r="S29" i="10"/>
  <c r="V29" i="10" s="1"/>
  <c r="T29" i="10"/>
  <c r="W29" i="10" s="1"/>
  <c r="U29" i="10"/>
  <c r="X29" i="10" s="1"/>
  <c r="T30" i="10"/>
  <c r="W30" i="10" s="1"/>
  <c r="U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T35" i="10"/>
  <c r="U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T38" i="10"/>
  <c r="U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H9" i="10"/>
  <c r="K9" i="10"/>
  <c r="H10" i="10"/>
  <c r="I10" i="10"/>
  <c r="L10" i="10" s="1"/>
  <c r="K10" i="10"/>
  <c r="H11" i="10"/>
  <c r="I11" i="10"/>
  <c r="K11" i="10"/>
  <c r="L11" i="10"/>
  <c r="G12" i="10"/>
  <c r="J12" i="10" s="1"/>
  <c r="H12" i="10"/>
  <c r="I12" i="10"/>
  <c r="L12" i="10" s="1"/>
  <c r="K12" i="10"/>
  <c r="H13" i="10"/>
  <c r="K13" i="10" s="1"/>
  <c r="I13" i="10"/>
  <c r="L13" i="10" s="1"/>
  <c r="H14" i="10"/>
  <c r="I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H20" i="10"/>
  <c r="I20" i="10"/>
  <c r="L20" i="10" s="1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H30" i="10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D36" i="30"/>
  <c r="S36" i="30" s="1"/>
  <c r="E36" i="30"/>
  <c r="T36" i="30" s="1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F33" i="30" s="1"/>
  <c r="S35" i="10" s="1"/>
  <c r="V35" i="10" s="1"/>
  <c r="H33" i="1" s="1"/>
  <c r="D33" i="9"/>
  <c r="E33" i="9"/>
  <c r="C34" i="9"/>
  <c r="D34" i="9"/>
  <c r="E34" i="9"/>
  <c r="C35" i="9"/>
  <c r="D35" i="9"/>
  <c r="E35" i="9"/>
  <c r="C36" i="9"/>
  <c r="F36" i="30" s="1"/>
  <c r="S38" i="10" s="1"/>
  <c r="V38" i="10" s="1"/>
  <c r="H36" i="1" s="1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S20" i="10" s="1"/>
  <c r="V20" i="1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D20" i="9"/>
  <c r="G20" i="30" s="1"/>
  <c r="I20" i="1" s="1"/>
  <c r="E20" i="9"/>
  <c r="H20" i="30" s="1"/>
  <c r="C21" i="9"/>
  <c r="F21" i="30" s="1"/>
  <c r="S23" i="10" s="1"/>
  <c r="V23" i="10" s="1"/>
  <c r="D21" i="9"/>
  <c r="G21" i="30" s="1"/>
  <c r="E21" i="9"/>
  <c r="H21" i="30" s="1"/>
  <c r="C22" i="9"/>
  <c r="F22" i="30" s="1"/>
  <c r="D22" i="9"/>
  <c r="G22" i="30" s="1"/>
  <c r="I22" i="1" s="1"/>
  <c r="E22" i="9"/>
  <c r="H22" i="30" s="1"/>
  <c r="J22" i="1" s="1"/>
  <c r="C23" i="9"/>
  <c r="F23" i="30" s="1"/>
  <c r="S25" i="10" s="1"/>
  <c r="V25" i="1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S28" i="10" s="1"/>
  <c r="V28" i="10" s="1"/>
  <c r="D26" i="9"/>
  <c r="G26" i="30" s="1"/>
  <c r="E26" i="9"/>
  <c r="H26" i="30" s="1"/>
  <c r="J26" i="1" s="1"/>
  <c r="C28" i="9"/>
  <c r="F28" i="30" s="1"/>
  <c r="S30" i="10" s="1"/>
  <c r="V30" i="10" s="1"/>
  <c r="D28" i="9"/>
  <c r="G28" i="30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G20" i="10" s="1"/>
  <c r="J20" i="1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G25" i="10" s="1"/>
  <c r="J25" i="1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G30" i="10" s="1"/>
  <c r="J30" i="10" s="1"/>
  <c r="D28" i="5"/>
  <c r="D28" i="30" s="1"/>
  <c r="F28" i="1" s="1"/>
  <c r="E28" i="5"/>
  <c r="E28" i="30" s="1"/>
  <c r="I30" i="10" s="1"/>
  <c r="L30" i="1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S9" i="10" s="1"/>
  <c r="V9" i="10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D9" i="9"/>
  <c r="G9" i="30" s="1"/>
  <c r="I9" i="1" s="1"/>
  <c r="E9" i="9"/>
  <c r="H9" i="30" s="1"/>
  <c r="C10" i="9"/>
  <c r="F10" i="30" s="1"/>
  <c r="D10" i="9"/>
  <c r="G10" i="30" s="1"/>
  <c r="T12" i="10" s="1"/>
  <c r="W12" i="10" s="1"/>
  <c r="E10" i="9"/>
  <c r="H10" i="30" s="1"/>
  <c r="C11" i="9"/>
  <c r="F11" i="30" s="1"/>
  <c r="S13" i="10" s="1"/>
  <c r="V13" i="10" s="1"/>
  <c r="D11" i="9"/>
  <c r="G11" i="3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C13" i="9"/>
  <c r="F13" i="30" s="1"/>
  <c r="S15" i="10" s="1"/>
  <c r="V15" i="10" s="1"/>
  <c r="D13" i="9"/>
  <c r="G13" i="30" s="1"/>
  <c r="T15" i="10" s="1"/>
  <c r="W15" i="1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S17" i="10" s="1"/>
  <c r="V17" i="10" s="1"/>
  <c r="D15" i="9"/>
  <c r="G15" i="3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G9" i="10" s="1"/>
  <c r="J9" i="1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G14" i="10" s="1"/>
  <c r="J14" i="1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I28" i="1" l="1"/>
  <c r="J21" i="1"/>
  <c r="T14" i="10"/>
  <c r="W14" i="10" s="1"/>
  <c r="I12" i="1" s="1"/>
  <c r="S22" i="10"/>
  <c r="V22" i="10" s="1"/>
  <c r="H20" i="1" s="1"/>
  <c r="R36" i="30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2" i="1" l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<sst xmlns="http://schemas.openxmlformats.org/spreadsheetml/2006/main" count="2271" uniqueCount="489">
  <si>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</si>
  <si>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</si>
  <si>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</si>
  <si>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</si>
  <si>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</si>
  <si>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</si>
  <si>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</si>
  <si>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</si>
  <si>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</si>
  <si>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</si>
  <si>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</si>
  <si>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</si>
  <si>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</si>
  <si>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</si>
  <si>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</si>
  <si>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</si>
  <si>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</si>
  <si>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</si>
  <si>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</si>
  <si>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</si>
  <si>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</si>
  <si>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</si>
  <si>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</si>
  <si>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</si>
  <si>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</si>
  <si>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</si>
  <si>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</si>
  <si>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</si>
  <si>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</si>
  <si>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</si>
  <si>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</si>
  <si>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</si>
  <si>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</si>
  <si>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</si>
  <si>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</si>
  <si>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</si>
  <si>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</si>
  <si>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</si>
  <si>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</si>
  <si>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</si>
  <si>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</si>
  <si>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</si>
  <si>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</si>
  <si>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</si>
  <si>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</si>
  <si>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</si>
  <si>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</si>
  <si>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</si>
  <si>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</si>
  <si>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</si>
  <si>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</si>
  <si>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</si>
  <si>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</si>
  <si>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</si>
  <si>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</si>
  <si>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</si>
  <si>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</si>
  <si>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</si>
  <si>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</si>
  <si>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</si>
  <si>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</si>
  <si>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</si>
  <si>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</si>
  <si>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</si>
  <si>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</si>
  <si>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</si>
  <si>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</si>
  <si>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</si>
  <si>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</si>
  <si>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</si>
  <si>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</si>
  <si>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</si>
  <si>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</si>
  <si>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</si>
  <si>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</si>
  <si>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</si>
  <si>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</si>
  <si>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</si>
  <si>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</si>
  <si>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</si>
  <si>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</si>
  <si>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</si>
  <si>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</si>
  <si>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</si>
  <si>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</si>
  <si>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</si>
  <si>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</si>
  <si>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</si>
  <si>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</si>
  <si>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</si>
  <si>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</si>
  <si>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</si>
  <si>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</si>
  <si>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</si>
  <si>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</si>
  <si>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</si>
  <si>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</si>
  <si>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</si>
  <si>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</si>
  <si>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</si>
  <si>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</si>
  <si>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</si>
  <si>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</si>
  <si>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</si>
  <si>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</si>
  <si>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</si>
  <si>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</si>
  <si>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</si>
  <si>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</si>
  <si>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</si>
  <si>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</si>
  <si>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</si>
  <si>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</si>
  <si>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</si>
  <si>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</si>
  <si>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</si>
  <si>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</si>
  <si>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</si>
  <si>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</si>
  <si>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</si>
  <si>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</si>
  <si>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</si>
  <si>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</si>
  <si>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</si>
  <si>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</si>
  <si>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</si>
  <si>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</si>
  <si>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</si>
  <si>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</si>
  <si>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</si>
  <si>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</si>
  <si>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</si>
  <si>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</si>
  <si>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</si>
  <si>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</si>
  <si>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</si>
  <si>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</si>
  <si>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</si>
  <si>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</si>
  <si>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</si>
  <si>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</si>
  <si>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</si>
  <si>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</si>
  <si>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</si>
  <si>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</si>
  <si>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</si>
  <si>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</si>
  <si>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</si>
  <si>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</si>
  <si>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</si>
  <si>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</si>
  <si>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</si>
  <si>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</si>
  <si>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</si>
  <si>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</si>
  <si>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</si>
  <si>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</si>
  <si>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</si>
  <si>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</si>
  <si>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</si>
  <si>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</si>
  <si>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</si>
  <si>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</si>
  <si>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</si>
  <si>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</si>
  <si>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</si>
  <si>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</si>
  <si>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</si>
  <si>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</si>
  <si>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</si>
  <si>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</si>
  <si>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</si>
  <si>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</si>
  <si>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</si>
  <si>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</si>
  <si>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</si>
  <si>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</si>
  <si>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</si>
  <si>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</si>
  <si>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</si>
  <si>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</si>
  <si>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</si>
  <si>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</si>
  <si>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</si>
  <si>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</si>
  <si>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</si>
  <si>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</si>
  <si>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</si>
  <si>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</si>
  <si>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</si>
  <si>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</si>
  <si>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</si>
  <si>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</si>
  <si>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</si>
  <si>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</si>
  <si>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</si>
  <si>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</si>
  <si>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</si>
  <si>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</si>
  <si>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</si>
  <si>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</si>
  <si>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</si>
  <si>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</si>
  <si>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</si>
  <si>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</si>
  <si>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</si>
  <si>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</si>
  <si>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</si>
  <si>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</si>
  <si>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</si>
  <si>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</si>
  <si>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</si>
  <si>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</si>
  <si>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</si>
  <si>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</si>
  <si>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</si>
  <si>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</si>
  <si>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</si>
  <si>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</si>
  <si>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</si>
  <si>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</si>
  <si>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</si>
  <si>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</si>
  <si>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</si>
  <si>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</si>
  <si>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</si>
  <si>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</si>
  <si>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</si>
  <si>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</si>
  <si>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</si>
  <si>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</si>
  <si>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</si>
  <si>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</si>
  <si>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</si>
  <si>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</si>
  <si>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</si>
  <si>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</si>
  <si>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</si>
  <si>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</si>
  <si>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</si>
  <si>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</si>
  <si>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</si>
  <si>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</si>
  <si>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</si>
  <si>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</si>
  <si>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</si>
  <si>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</si>
  <si>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</si>
  <si>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</si>
  <si>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</si>
  <si>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</si>
  <si>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</si>
  <si>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</si>
  <si>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</si>
  <si>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</si>
  <si>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</si>
  <si>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</si>
  <si>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</si>
  <si>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</si>
  <si>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</si>
  <si>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</si>
  <si>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</si>
  <si>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</si>
  <si>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</si>
  <si>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</si>
  <si>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</si>
  <si>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</si>
  <si>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</si>
  <si>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</si>
  <si>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</si>
  <si>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</si>
  <si>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</si>
  <si>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</si>
  <si>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</si>
  <si>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</si>
  <si>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</si>
  <si>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</si>
  <si>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</si>
  <si>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</si>
  <si>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</si>
  <si>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</si>
  <si>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</si>
  <si>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</si>
  <si>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</si>
  <si>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</si>
  <si>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</si>
  <si>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</si>
  <si>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</si>
  <si>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</si>
  <si>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</si>
  <si>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</si>
  <si>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</si>
  <si>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</si>
  <si>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</si>
  <si>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</si>
  <si>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</si>
  <si>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</si>
  <si>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</si>
  <si>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</si>
  <si>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</si>
  <si>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</si>
  <si>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</si>
  <si>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</si>
  <si>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</si>
  <si>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</si>
  <si>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</si>
  <si>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</si>
  <si>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</si>
  <si>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</si>
  <si>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</si>
  <si>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</si>
  <si>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</si>
  <si>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</si>
  <si>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</si>
  <si>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</si>
  <si>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</si>
  <si>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</si>
  <si>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</si>
  <si>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</si>
  <si>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</si>
  <si>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</si>
  <si>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</si>
  <si>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</si>
  <si>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</si>
  <si>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</si>
  <si>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</si>
  <si>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</si>
  <si>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</si>
  <si>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</si>
  <si>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</si>
  <si>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</si>
  <si>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</si>
  <si>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</si>
  <si>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</si>
  <si>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</si>
  <si>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</si>
  <si>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</si>
  <si>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</si>
  <si>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</si>
  <si>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</si>
  <si>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</si>
  <si>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</si>
  <si>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</si>
  <si>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</si>
  <si>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</si>
  <si>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</si>
  <si>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</si>
  <si>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</si>
  <si>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</si>
  <si>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</si>
  <si>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</si>
  <si>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</si>
  <si>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</si>
  <si>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</si>
  <si>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</si>
  <si>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</si>
  <si>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</si>
  <si>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</si>
  <si>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</si>
  <si>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</si>
  <si>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</si>
  <si>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</si>
  <si>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</si>
  <si>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</si>
  <si>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</si>
  <si>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</si>
  <si>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</si>
  <si>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</si>
  <si>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</si>
  <si>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</si>
  <si>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</si>
  <si>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</si>
  <si>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</si>
  <si>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</si>
  <si>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</si>
  <si>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</si>
  <si>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</si>
  <si>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</si>
  <si>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</si>
  <si>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</si>
  <si>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</si>
  <si>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</si>
  <si>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</si>
  <si>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</si>
  <si>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</si>
  <si>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</si>
  <si>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</si>
  <si>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</si>
  <si>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</si>
  <si>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</si>
  <si>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</si>
  <si>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</si>
  <si>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</si>
  <si>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</si>
  <si>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</si>
  <si>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</si>
  <si>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</si>
  <si>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</si>
  <si>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</si>
  <si>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</si>
  <si>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</si>
  <si>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</si>
  <si>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</si>
  <si>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</si>
  <si>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</si>
  <si>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</si>
  <si>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</si>
  <si>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</si>
  <si>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</si>
  <si>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</si>
  <si>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</si>
  <si>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</si>
  <si>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</si>
  <si>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</si>
  <si>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</si>
  <si>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</si>
  <si>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</si>
  <si>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</si>
  <si>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</si>
  <si>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</si>
  <si>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</si>
  <si>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</si>
  <si>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</si>
  <si>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</si>
  <si>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</si>
  <si>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</si>
  <si>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</si>
  <si>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</si>
  <si>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</si>
  <si>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</si>
  <si>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</si>
  <si>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</si>
  <si>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</si>
  <si>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</si>
  <si>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</si>
  <si>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</si>
  <si>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</si>
  <si>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</si>
  <si>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</si>
  <si>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</si>
  <si>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</si>
  <si>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</si>
  <si>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</si>
  <si>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</si>
  <si>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</si>
  <si>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</si>
  <si>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</si>
  <si>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</si>
  <si>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</si>
  <si>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</si>
  <si>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</si>
  <si>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</si>
  <si>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</si>
  <si>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</si>
  <si>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</si>
  <si>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</si>
  <si>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</si>
  <si>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</si>
  <si>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</si>
  <si>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</si>
  <si>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</si>
  <si>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</si>
  <si>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</si>
  <si>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</si>
  <si>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</si>
  <si>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</si>
  <si>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</si>
  <si>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</si>
  <si>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</si>
  <si>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</si>
  <si>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</si>
  <si>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−9</t>
  </si>
  <si>
    <t>Raya</t>
  </si>
  <si>
    <t>Timber</t>
  </si>
  <si>
    <t>Calafiori</t>
  </si>
  <si>
    <t>Rice</t>
  </si>
  <si>
    <t>Saka</t>
  </si>
  <si>
    <t>Havertz</t>
  </si>
  <si>
    <t>G</t>
  </si>
  <si>
    <t>A</t>
  </si>
  <si>
    <t>Madueke</t>
  </si>
  <si>
    <t>Eze</t>
  </si>
  <si>
    <t>21.10.2026</t>
  </si>
  <si>
    <t>Allianz Arena (A)</t>
  </si>
  <si>
    <t>Bayern Munich</t>
  </si>
  <si>
    <t>2-2</t>
  </si>
  <si>
    <t>24.10.2026</t>
  </si>
  <si>
    <t>Emirates Stadium (H)</t>
  </si>
  <si>
    <t>Lewis-Skelly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</si>
</sst>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11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5</c:v>
                </c:pt>
                <c:pt idx="5">
                  <c:v>12</c:v>
                </c:pt>
                <c:pt idx="6">
                  <c:v>11</c:v>
                </c:pt>
                <c:pt idx="7">
                  <c:v>12</c:v>
                </c:pt>
                <c:pt idx="8">
                  <c:v>10</c:v>
                </c:pt>
                <c:pt idx="9">
                  <c:v>6</c:v>
                </c:pt>
                <c:pt idx="10">
                  <c:v>1</c:v>
                </c:pt>
                <c:pt idx="11">
                  <c:v>9</c:v>
                </c:pt>
                <c:pt idx="12">
                  <c:v>10</c:v>
                </c:pt>
                <c:pt idx="13">
                  <c:v>8</c:v>
                </c:pt>
                <c:pt idx="14">
                  <c:v>9</c:v>
                </c:pt>
                <c:pt idx="15">
                  <c:v>0</c:v>
                </c:pt>
                <c:pt idx="16">
                  <c:v>11</c:v>
                </c:pt>
                <c:pt idx="17">
                  <c:v>11</c:v>
                </c:pt>
                <c:pt idx="18">
                  <c:v>0</c:v>
                </c:pt>
                <c:pt idx="19">
                  <c:v>9</c:v>
                </c:pt>
                <c:pt idx="20">
                  <c:v>0</c:v>
                </c:pt>
                <c:pt idx="21">
                  <c:v>8</c:v>
                </c:pt>
                <c:pt idx="22">
                  <c:v>10</c:v>
                </c:pt>
                <c:pt idx="23">
                  <c:v>0</c:v>
                </c:pt>
                <c:pt idx="24">
                  <c:v>11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3F69A78-597A-4B61-A53F-37C53445129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A5BC353-34AF-4387-9748-548EE3AA67E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C9A2F4C-CBB8-4F5B-B64C-25160BEC71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C127597-DB84-498B-B02F-9D6149647BD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99D473-7896-4A64-A2B7-ADE4C51872C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293035-5F1F-4E90-A001-CEDF0463FF1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EE01B22-9206-4C5E-9727-13B886FBD8A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4E7DC27-CC6A-495F-A62F-97DB0D9ED9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B5C21A5-AC62-437D-B644-72F97AC045A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D91FAAB-00B3-4F7C-B6A8-A7744A655F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F42F5EA-5E46-4060-908C-3670EA2F7FC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241F2FA-E345-45DB-8E6E-1A8DF2267E0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7C29309-C308-4D52-BE12-531910DE70DC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12C8347-F3BC-468B-9973-316C769735C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9870CFE-0B48-4691-BA61-C90F14E67A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CDEED84-7315-4A2B-8300-113E6A7463B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6C497EA-C79F-4C6F-B2D9-B649AA1F663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199</c:v>
                </c:pt>
                <c:pt idx="1">
                  <c:v>44</c:v>
                </c:pt>
                <c:pt idx="2">
                  <c:v>273</c:v>
                </c:pt>
                <c:pt idx="3">
                  <c:v>323</c:v>
                </c:pt>
                <c:pt idx="4">
                  <c:v>246</c:v>
                </c:pt>
                <c:pt idx="5">
                  <c:v>62</c:v>
                </c:pt>
                <c:pt idx="6">
                  <c:v>101</c:v>
                </c:pt>
                <c:pt idx="7">
                  <c:v>13</c:v>
                </c:pt>
                <c:pt idx="8">
                  <c:v>64</c:v>
                </c:pt>
                <c:pt idx="9">
                  <c:v>10</c:v>
                </c:pt>
                <c:pt idx="10">
                  <c:v>8</c:v>
                </c:pt>
                <c:pt idx="11">
                  <c:v>51</c:v>
                </c:pt>
                <c:pt idx="12">
                  <c:v>51</c:v>
                </c:pt>
                <c:pt idx="13">
                  <c:v>89</c:v>
                </c:pt>
                <c:pt idx="14">
                  <c:v>122</c:v>
                </c:pt>
                <c:pt idx="15">
                  <c:v>0</c:v>
                </c:pt>
                <c:pt idx="16">
                  <c:v>74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7</v>
      </c>
      <c r="H6" s="21">
        <f>'Apps &amp; Goals 26-27'!D4</f>
        <v>0</v>
      </c>
      <c r="I6" s="21">
        <f>'Apps &amp; Goals 26-27'!E4</f>
        <v>0</v>
      </c>
      <c r="J6" s="25">
        <f>G6+C6</f>
        <v>114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6</v>
      </c>
      <c r="H9" s="21">
        <f>'Apps &amp; Goals 26-27'!D7</f>
        <v>0</v>
      </c>
      <c r="I9" s="21">
        <f>'Apps &amp; Goals 26-27'!E7</f>
        <v>2</v>
      </c>
      <c r="J9" s="25">
        <f t="shared" si="0"/>
        <v>142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7</v>
      </c>
      <c r="H11" s="21">
        <f>'Apps &amp; Goals 26-27'!D9</f>
        <v>0</v>
      </c>
      <c r="I11" s="21">
        <f>'Apps &amp; Goals 26-27'!E9</f>
        <v>0</v>
      </c>
      <c r="J11" s="25">
        <f t="shared" si="0"/>
        <v>199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7</v>
      </c>
      <c r="H13" s="21">
        <f>'Apps &amp; Goals 26-27'!D11</f>
        <v>2</v>
      </c>
      <c r="I13" s="21">
        <f>'Apps &amp; Goals 26-27'!E11</f>
        <v>0</v>
      </c>
      <c r="J13" s="25">
        <f t="shared" si="0"/>
        <v>183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5</v>
      </c>
      <c r="H14" s="21">
        <f>'Apps &amp; Goals 26-27'!D12</f>
        <v>0</v>
      </c>
      <c r="I14" s="21">
        <f>'Apps &amp; Goals 26-27'!E12</f>
        <v>0</v>
      </c>
      <c r="J14" s="25">
        <f t="shared" si="0"/>
        <v>37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4</v>
      </c>
      <c r="H17" s="21">
        <f>'Apps &amp; Goals 26-27'!D15</f>
        <v>0</v>
      </c>
      <c r="I17" s="21">
        <f>'Apps &amp; Goals 26-27'!E15</f>
        <v>0</v>
      </c>
      <c r="J17" s="25">
        <f t="shared" si="0"/>
        <v>40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6</v>
      </c>
      <c r="H18" s="21">
        <f>'Apps &amp; Goals 26-27'!D16</f>
        <v>0</v>
      </c>
      <c r="I18" s="21">
        <f>'Apps &amp; Goals 26-27'!E16</f>
        <v>0</v>
      </c>
      <c r="J18" s="25">
        <f t="shared" si="0"/>
        <v>6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4</v>
      </c>
      <c r="H20" s="21">
        <f>'Apps &amp; Goals 26-27'!D18</f>
        <v>1</v>
      </c>
      <c r="I20" s="21">
        <f>'Apps &amp; Goals 26-27'!E18</f>
        <v>0</v>
      </c>
      <c r="J20" s="25">
        <f t="shared" si="0"/>
        <v>30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7</v>
      </c>
      <c r="H22" s="21">
        <f>'Apps &amp; Goals 26-27'!D20</f>
        <v>0</v>
      </c>
      <c r="I22" s="21">
        <f>'Apps &amp; Goals 26-27'!E20</f>
        <v>0</v>
      </c>
      <c r="J22" s="25">
        <f t="shared" si="0"/>
        <v>57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7</v>
      </c>
      <c r="H23" s="21">
        <f>'Apps &amp; Goals 26-27'!D21</f>
        <v>2</v>
      </c>
      <c r="I23" s="21">
        <f>'Apps &amp; Goals 26-27'!E21</f>
        <v>0</v>
      </c>
      <c r="J23" s="25">
        <f t="shared" si="0"/>
        <v>79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7</v>
      </c>
      <c r="H25" s="21">
        <f>'Apps &amp; Goals 26-27'!D23</f>
        <v>1</v>
      </c>
      <c r="I25" s="21">
        <f>'Apps &amp; Goals 26-27'!E23</f>
        <v>2</v>
      </c>
      <c r="J25" s="25">
        <f t="shared" si="0"/>
        <v>52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5</v>
      </c>
      <c r="H28" s="21">
        <f>'Apps &amp; Goals 26-27'!D26</f>
        <v>2</v>
      </c>
      <c r="I28" s="21">
        <f>'Apps &amp; Goals 26-27'!E26</f>
        <v>0</v>
      </c>
      <c r="J28" s="25">
        <f t="shared" si="0"/>
        <v>5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7</v>
      </c>
      <c r="H30" s="21">
        <f>'Apps &amp; Goals 26-27'!D28</f>
        <v>0</v>
      </c>
      <c r="I30" s="21">
        <f>'Apps &amp; Goals 26-27'!E28</f>
        <v>4</v>
      </c>
      <c r="J30" s="25">
        <f t="shared" si="0"/>
        <v>116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3"/>
        <v>4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2"/>
      <c r="G1" s="212"/>
      <c r="H1" s="21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8" t="s">
        <v>4</v>
      </c>
      <c r="F2" s="209"/>
      <c r="G2" s="210"/>
      <c r="H2" s="213" t="s">
        <v>120</v>
      </c>
      <c r="I2" s="214"/>
      <c r="J2" s="215"/>
      <c r="K2" s="208" t="s">
        <v>108</v>
      </c>
      <c r="L2" s="209"/>
      <c r="M2" s="210"/>
      <c r="N2" s="213" t="s">
        <v>110</v>
      </c>
      <c r="O2" s="214"/>
      <c r="P2" s="215"/>
      <c r="Q2" s="208" t="s">
        <v>39</v>
      </c>
      <c r="R2" s="209"/>
      <c r="S2" s="210"/>
      <c r="T2" s="211" t="s">
        <v>7</v>
      </c>
      <c r="U2" s="211"/>
      <c r="V2" s="211"/>
      <c r="Z2" s="125">
        <v>46317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438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114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158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142</v>
      </c>
      <c r="F7" s="6">
        <f>'#'!K9</f>
        <v>6</v>
      </c>
      <c r="G7" s="6">
        <f>'#'!L9</f>
        <v>14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199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199</v>
      </c>
      <c r="F9" s="6">
        <f>'#'!K11</f>
        <v>20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183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246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37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62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101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40</v>
      </c>
      <c r="F15" s="6">
        <f>'#'!K17</f>
        <v>14</v>
      </c>
      <c r="G15" s="6">
        <f>'#'!L17</f>
        <v>1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64</v>
      </c>
      <c r="U15" s="2">
        <f t="shared" si="3"/>
        <v>21</v>
      </c>
      <c r="V15" s="2">
        <f t="shared" si="4"/>
        <v>4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6</v>
      </c>
      <c r="F16" s="6">
        <f>'#'!K18</f>
        <v>0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10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30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51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439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57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89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79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122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52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74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439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5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10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116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169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439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84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439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16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8" t="s">
        <v>4</v>
      </c>
      <c r="D2" s="209"/>
      <c r="E2" s="210"/>
      <c r="F2" s="213" t="s">
        <v>120</v>
      </c>
      <c r="G2" s="214"/>
      <c r="H2" s="215"/>
      <c r="I2" s="208" t="s">
        <v>108</v>
      </c>
      <c r="J2" s="209"/>
      <c r="K2" s="210"/>
      <c r="L2" s="213" t="s">
        <v>110</v>
      </c>
      <c r="M2" s="214"/>
      <c r="N2" s="215"/>
      <c r="O2" s="208" t="s">
        <v>39</v>
      </c>
      <c r="P2" s="209"/>
      <c r="Q2" s="210"/>
      <c r="R2" s="211" t="s">
        <v>7</v>
      </c>
      <c r="S2" s="211"/>
      <c r="T2" s="211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7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11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6</v>
      </c>
      <c r="D7" s="6">
        <f>'Premier League'!D7</f>
        <v>0</v>
      </c>
      <c r="E7" s="6">
        <f>'Premier League'!E7</f>
        <v>2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9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7</v>
      </c>
      <c r="D9" s="6">
        <f>'Premier League'!D9</f>
        <v>0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7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12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5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10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6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4</v>
      </c>
      <c r="D15" s="6">
        <f>'Premier League'!D15</f>
        <v>0</v>
      </c>
      <c r="E15" s="6">
        <f>'Premier League'!E15</f>
        <v>0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9</v>
      </c>
      <c r="S15" s="2">
        <f>SUM(D15,G15,J15,M15,P15)</f>
        <v>0</v>
      </c>
      <c r="T15" s="2">
        <f>SUM(E15,H15,K15,N15,Q15)</f>
        <v>1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6</v>
      </c>
      <c r="D16" s="6">
        <f>'Premier League'!D16</f>
        <v>0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10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4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9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7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11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7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11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7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9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5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10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7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11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9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3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8" t="s">
        <v>4</v>
      </c>
      <c r="F1" s="209"/>
      <c r="G1" s="210"/>
      <c r="H1" s="213" t="s">
        <v>120</v>
      </c>
      <c r="I1" s="214"/>
      <c r="J1" s="215"/>
      <c r="K1" s="208" t="s">
        <v>108</v>
      </c>
      <c r="L1" s="209"/>
      <c r="M1" s="210"/>
      <c r="N1" s="213" t="s">
        <v>110</v>
      </c>
      <c r="O1" s="214"/>
      <c r="P1" s="215"/>
      <c r="Q1" s="208" t="s">
        <v>39</v>
      </c>
      <c r="R1" s="209"/>
      <c r="S1" s="210"/>
      <c r="T1" s="211" t="s">
        <v>7</v>
      </c>
      <c r="U1" s="211"/>
      <c r="V1" s="211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D33" sqref="AD3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6">
        <v>1</v>
      </c>
      <c r="G1" s="217"/>
      <c r="H1" s="218"/>
      <c r="I1" s="216">
        <v>2</v>
      </c>
      <c r="J1" s="217"/>
      <c r="K1" s="218"/>
      <c r="L1" s="216">
        <v>3</v>
      </c>
      <c r="M1" s="217"/>
      <c r="N1" s="218"/>
      <c r="O1" s="216">
        <v>4</v>
      </c>
      <c r="P1" s="217"/>
      <c r="Q1" s="218"/>
      <c r="R1" s="216">
        <v>5</v>
      </c>
      <c r="S1" s="217"/>
      <c r="T1" s="218"/>
      <c r="U1" s="216">
        <v>6</v>
      </c>
      <c r="V1" s="217"/>
      <c r="W1" s="218"/>
      <c r="X1" s="216">
        <v>7</v>
      </c>
      <c r="Y1" s="217"/>
      <c r="Z1" s="218"/>
      <c r="AA1" s="216">
        <v>8</v>
      </c>
      <c r="AB1" s="217"/>
      <c r="AC1" s="218"/>
      <c r="AD1" s="216">
        <v>9</v>
      </c>
      <c r="AE1" s="217"/>
      <c r="AF1" s="218"/>
      <c r="AG1" s="216">
        <v>10</v>
      </c>
      <c r="AH1" s="217"/>
      <c r="AI1" s="218"/>
      <c r="AJ1" s="216">
        <v>11</v>
      </c>
      <c r="AK1" s="217"/>
      <c r="AL1" s="218"/>
      <c r="AM1" s="216">
        <v>12</v>
      </c>
      <c r="AN1" s="217"/>
      <c r="AO1" s="218"/>
      <c r="AP1" s="216">
        <v>13</v>
      </c>
      <c r="AQ1" s="217"/>
      <c r="AR1" s="218"/>
      <c r="AS1" s="216">
        <v>14</v>
      </c>
      <c r="AT1" s="217"/>
      <c r="AU1" s="218"/>
      <c r="AV1" s="216">
        <v>15</v>
      </c>
      <c r="AW1" s="217"/>
      <c r="AX1" s="218"/>
      <c r="AY1" s="216">
        <v>16</v>
      </c>
      <c r="AZ1" s="217"/>
      <c r="BA1" s="218"/>
      <c r="BB1" s="216">
        <v>17</v>
      </c>
      <c r="BC1" s="217"/>
      <c r="BD1" s="218"/>
      <c r="BE1" s="216">
        <v>18</v>
      </c>
      <c r="BF1" s="217"/>
      <c r="BG1" s="218"/>
      <c r="BH1" s="216">
        <v>19</v>
      </c>
      <c r="BI1" s="217"/>
      <c r="BJ1" s="218"/>
      <c r="BK1" s="216">
        <v>20</v>
      </c>
      <c r="BL1" s="217"/>
      <c r="BM1" s="218"/>
      <c r="BN1" s="216">
        <v>21</v>
      </c>
      <c r="BO1" s="217"/>
      <c r="BP1" s="218"/>
      <c r="BQ1" s="216">
        <v>22</v>
      </c>
      <c r="BR1" s="217"/>
      <c r="BS1" s="218"/>
      <c r="BT1" s="216">
        <v>23</v>
      </c>
      <c r="BU1" s="217"/>
      <c r="BV1" s="218"/>
      <c r="BW1" s="216">
        <v>24</v>
      </c>
      <c r="BX1" s="217"/>
      <c r="BY1" s="218"/>
      <c r="BZ1" s="216">
        <v>25</v>
      </c>
      <c r="CA1" s="217"/>
      <c r="CB1" s="218"/>
      <c r="CC1" s="216">
        <v>26</v>
      </c>
      <c r="CD1" s="217"/>
      <c r="CE1" s="218"/>
      <c r="CF1" s="216">
        <v>27</v>
      </c>
      <c r="CG1" s="217"/>
      <c r="CH1" s="218"/>
      <c r="CI1" s="216">
        <v>28</v>
      </c>
      <c r="CJ1" s="217"/>
      <c r="CK1" s="218"/>
      <c r="CL1" s="216">
        <v>29</v>
      </c>
      <c r="CM1" s="217"/>
      <c r="CN1" s="218"/>
      <c r="CO1" s="216">
        <v>30</v>
      </c>
      <c r="CP1" s="217"/>
      <c r="CQ1" s="218"/>
      <c r="CR1" s="216">
        <v>31</v>
      </c>
      <c r="CS1" s="217"/>
      <c r="CT1" s="218"/>
      <c r="CU1" s="216">
        <v>32</v>
      </c>
      <c r="CV1" s="217"/>
      <c r="CW1" s="218"/>
      <c r="CX1" s="216">
        <v>33</v>
      </c>
      <c r="CY1" s="217"/>
      <c r="CZ1" s="218"/>
      <c r="DA1" s="216">
        <v>34</v>
      </c>
      <c r="DB1" s="217"/>
      <c r="DC1" s="218"/>
      <c r="DD1" s="216">
        <v>35</v>
      </c>
      <c r="DE1" s="217"/>
      <c r="DF1" s="218"/>
      <c r="DG1" s="216">
        <v>36</v>
      </c>
      <c r="DH1" s="217"/>
      <c r="DI1" s="218"/>
      <c r="DJ1" s="216">
        <v>37</v>
      </c>
      <c r="DK1" s="217"/>
      <c r="DL1" s="218"/>
      <c r="DM1" s="216">
        <v>38</v>
      </c>
      <c r="DN1" s="217"/>
      <c r="DO1" s="218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9" t="s">
        <v>346</v>
      </c>
      <c r="G2" s="220"/>
      <c r="H2" s="221"/>
      <c r="I2" s="219" t="s">
        <v>331</v>
      </c>
      <c r="J2" s="220"/>
      <c r="K2" s="221"/>
      <c r="L2" s="219" t="s">
        <v>330</v>
      </c>
      <c r="M2" s="220"/>
      <c r="N2" s="221"/>
      <c r="O2" s="219" t="s">
        <v>328</v>
      </c>
      <c r="P2" s="220"/>
      <c r="Q2" s="221"/>
      <c r="R2" s="219" t="s">
        <v>335</v>
      </c>
      <c r="S2" s="220"/>
      <c r="T2" s="221"/>
      <c r="U2" s="219" t="s">
        <v>320</v>
      </c>
      <c r="V2" s="220"/>
      <c r="W2" s="221"/>
      <c r="X2" s="219" t="s">
        <v>337</v>
      </c>
      <c r="Y2" s="220"/>
      <c r="Z2" s="221"/>
      <c r="AA2" s="219" t="s">
        <v>334</v>
      </c>
      <c r="AB2" s="220"/>
      <c r="AC2" s="221"/>
      <c r="AD2" s="219" t="s">
        <v>321</v>
      </c>
      <c r="AE2" s="220"/>
      <c r="AF2" s="221"/>
      <c r="AG2" s="219" t="s">
        <v>347</v>
      </c>
      <c r="AH2" s="220"/>
      <c r="AI2" s="221"/>
      <c r="AJ2" s="219" t="s">
        <v>324</v>
      </c>
      <c r="AK2" s="220"/>
      <c r="AL2" s="221"/>
      <c r="AM2" s="219" t="s">
        <v>323</v>
      </c>
      <c r="AN2" s="220"/>
      <c r="AO2" s="221"/>
      <c r="AP2" s="219" t="s">
        <v>332</v>
      </c>
      <c r="AQ2" s="220"/>
      <c r="AR2" s="221"/>
      <c r="AS2" s="219" t="s">
        <v>329</v>
      </c>
      <c r="AT2" s="220"/>
      <c r="AU2" s="221"/>
      <c r="AV2" s="219" t="s">
        <v>336</v>
      </c>
      <c r="AW2" s="220"/>
      <c r="AX2" s="221"/>
      <c r="AY2" s="219" t="s">
        <v>305</v>
      </c>
      <c r="AZ2" s="220"/>
      <c r="BA2" s="221"/>
      <c r="BB2" s="219" t="s">
        <v>326</v>
      </c>
      <c r="BC2" s="220"/>
      <c r="BD2" s="221"/>
      <c r="BE2" s="219" t="s">
        <v>325</v>
      </c>
      <c r="BF2" s="220"/>
      <c r="BG2" s="221"/>
      <c r="BH2" s="219" t="s">
        <v>348</v>
      </c>
      <c r="BI2" s="220"/>
      <c r="BJ2" s="221"/>
      <c r="BK2" s="219" t="s">
        <v>332</v>
      </c>
      <c r="BL2" s="220"/>
      <c r="BM2" s="221"/>
      <c r="BN2" s="219" t="s">
        <v>347</v>
      </c>
      <c r="BO2" s="220"/>
      <c r="BP2" s="221"/>
      <c r="BQ2" s="219" t="s">
        <v>324</v>
      </c>
      <c r="BR2" s="220"/>
      <c r="BS2" s="221"/>
      <c r="BT2" s="219" t="s">
        <v>323</v>
      </c>
      <c r="BU2" s="220"/>
      <c r="BV2" s="221"/>
      <c r="BW2" s="219" t="s">
        <v>321</v>
      </c>
      <c r="BX2" s="220"/>
      <c r="BY2" s="221"/>
      <c r="BZ2" s="219" t="s">
        <v>348</v>
      </c>
      <c r="CA2" s="220"/>
      <c r="CB2" s="221"/>
      <c r="CC2" s="219" t="s">
        <v>325</v>
      </c>
      <c r="CD2" s="220"/>
      <c r="CE2" s="221"/>
      <c r="CF2" s="219" t="s">
        <v>305</v>
      </c>
      <c r="CG2" s="220"/>
      <c r="CH2" s="221"/>
      <c r="CI2" s="219" t="s">
        <v>326</v>
      </c>
      <c r="CJ2" s="220"/>
      <c r="CK2" s="221"/>
      <c r="CL2" s="219" t="s">
        <v>330</v>
      </c>
      <c r="CM2" s="220"/>
      <c r="CN2" s="221"/>
      <c r="CO2" s="219" t="s">
        <v>328</v>
      </c>
      <c r="CP2" s="220"/>
      <c r="CQ2" s="221"/>
      <c r="CR2" s="219" t="s">
        <v>346</v>
      </c>
      <c r="CS2" s="220"/>
      <c r="CT2" s="221"/>
      <c r="CU2" s="219" t="s">
        <v>331</v>
      </c>
      <c r="CV2" s="220"/>
      <c r="CW2" s="221"/>
      <c r="CX2" s="219" t="s">
        <v>336</v>
      </c>
      <c r="CY2" s="220"/>
      <c r="CZ2" s="221"/>
      <c r="DA2" s="219" t="s">
        <v>329</v>
      </c>
      <c r="DB2" s="220"/>
      <c r="DC2" s="221"/>
      <c r="DD2" s="219" t="s">
        <v>320</v>
      </c>
      <c r="DE2" s="220"/>
      <c r="DF2" s="221"/>
      <c r="DG2" s="219" t="s">
        <v>337</v>
      </c>
      <c r="DH2" s="220"/>
      <c r="DI2" s="221"/>
      <c r="DJ2" s="219" t="s">
        <v>334</v>
      </c>
      <c r="DK2" s="220"/>
      <c r="DL2" s="221"/>
      <c r="DM2" s="219" t="s">
        <v>335</v>
      </c>
      <c r="DN2" s="220"/>
      <c r="DO2" s="221"/>
    </row>
    <row r="3" spans="1:119" x14ac:dyDescent="0.25">
      <c r="A3" s="3" t="s">
        <v>48</v>
      </c>
      <c r="B3" s="17" t="s">
        <v>1</v>
      </c>
      <c r="C3" s="224"/>
      <c r="D3" s="224"/>
      <c r="E3" s="223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7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6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7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7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5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4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6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4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7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7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7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5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7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468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15</v>
      </c>
      <c r="Y39" s="73">
        <f t="shared" si="11"/>
        <v>1</v>
      </c>
      <c r="Z39" s="73">
        <f t="shared" si="11"/>
        <v>1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N16" sqref="N16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 t="s">
        <v>458</v>
      </c>
      <c r="G2" s="238"/>
      <c r="H2" s="239"/>
      <c r="I2" s="237" t="s">
        <v>461</v>
      </c>
      <c r="J2" s="238"/>
      <c r="K2" s="239"/>
      <c r="L2" s="237" t="s">
        <v>462</v>
      </c>
      <c r="M2" s="238"/>
      <c r="N2" s="239"/>
      <c r="O2" s="237" t="s">
        <v>463</v>
      </c>
      <c r="P2" s="238"/>
      <c r="Q2" s="239"/>
      <c r="R2" s="237" t="s">
        <v>464</v>
      </c>
      <c r="S2" s="238"/>
      <c r="T2" s="239"/>
      <c r="U2" s="237" t="s">
        <v>465</v>
      </c>
      <c r="V2" s="238"/>
      <c r="W2" s="239"/>
      <c r="X2" s="237" t="s">
        <v>466</v>
      </c>
      <c r="Y2" s="238"/>
      <c r="Z2" s="239"/>
      <c r="AA2" s="237" t="s">
        <v>467</v>
      </c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468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16</v>
      </c>
      <c r="J39" s="172">
        <f t="shared" si="11"/>
        <v>3</v>
      </c>
      <c r="K39" s="173">
        <f t="shared" si="11"/>
        <v>3</v>
      </c>
      <c r="L39" s="171">
        <f t="shared" si="11"/>
        <v>15</v>
      </c>
      <c r="M39" s="172">
        <f t="shared" si="11"/>
        <v>2</v>
      </c>
      <c r="N39" s="173">
        <f t="shared" si="11"/>
        <v>2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432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58" zoomScale="80" zoomScaleNormal="80" workbookViewId="0">
      <selection activeCell="AB79" sqref="AB79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3" t="s">
        <v>287</v>
      </c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9"/>
      <c r="AH1" s="283" t="s">
        <v>175</v>
      </c>
      <c r="AI1" s="284"/>
      <c r="AJ1" s="284"/>
      <c r="AK1" s="285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90" t="s">
        <v>434</v>
      </c>
      <c r="L80" s="291"/>
      <c r="M80" s="292"/>
      <c r="O80" s="133"/>
      <c r="P80" s="133"/>
      <c r="W80" s="286"/>
      <c r="X80" s="286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3"/>
      <c r="L81" s="294"/>
      <c r="M81" s="295"/>
      <c r="O81" s="133"/>
      <c r="P81" s="133"/>
      <c r="W81" s="286" t="s">
        <v>209</v>
      </c>
      <c r="X81" s="286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6" t="s">
        <v>435</v>
      </c>
      <c r="L82" s="297"/>
      <c r="M82" s="298"/>
      <c r="O82" s="133"/>
      <c r="P82" s="133"/>
      <c r="W82" s="286" t="s">
        <v>210</v>
      </c>
      <c r="X82" s="286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9" t="s">
        <v>436</v>
      </c>
      <c r="L83" s="300"/>
      <c r="M83" s="301"/>
      <c r="O83" s="133"/>
      <c r="P83" s="133"/>
      <c r="W83" s="287" t="s">
        <v>97</v>
      </c>
      <c r="X83" s="287"/>
      <c r="Y83" s="194">
        <v>227</v>
      </c>
      <c r="Z83" s="194">
        <v>61</v>
      </c>
      <c r="AA83" s="70">
        <v>76</v>
      </c>
      <c r="AC83" s="109">
        <f>Y83/SUM($Y$83:$AA$83)</f>
        <v>0.62362637362637363</v>
      </c>
      <c r="AD83" s="195">
        <f t="shared" ref="AD83:AE83" si="5">Z83/SUM($Y$83:$AA$83)</f>
        <v>0.16758241758241757</v>
      </c>
      <c r="AE83" s="195">
        <f t="shared" si="5"/>
        <v>0.2087912087912088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08" t="s">
        <v>284</v>
      </c>
      <c r="L84" s="309"/>
      <c r="M84" s="310"/>
      <c r="O84" s="141"/>
      <c r="P84" s="141"/>
      <c r="W84" s="282"/>
      <c r="X84" s="282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1"/>
      <c r="L85" s="312"/>
      <c r="M85" s="31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1"/>
      <c r="L86" s="312"/>
      <c r="M86" s="31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1"/>
      <c r="L87" s="312"/>
      <c r="M87" s="31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1"/>
      <c r="L88" s="312"/>
      <c r="M88" s="31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1"/>
      <c r="L89" s="312"/>
      <c r="M89" s="31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1"/>
      <c r="L90" s="312"/>
      <c r="M90" s="31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1"/>
      <c r="L91" s="312"/>
      <c r="M91" s="31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1"/>
      <c r="L92" s="312"/>
      <c r="M92" s="31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1"/>
      <c r="L93" s="312"/>
      <c r="M93" s="31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1"/>
      <c r="L94" s="312"/>
      <c r="M94" s="31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1"/>
      <c r="L95" s="312"/>
      <c r="M95" s="31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1"/>
      <c r="L96" s="312"/>
      <c r="M96" s="31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1"/>
      <c r="L97" s="312"/>
      <c r="M97" s="31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1"/>
      <c r="L98" s="312"/>
      <c r="M98" s="31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1"/>
      <c r="L99" s="312"/>
      <c r="M99" s="31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1"/>
      <c r="L100" s="312"/>
      <c r="M100" s="31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1"/>
      <c r="L101" s="312"/>
      <c r="M101" s="31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1"/>
      <c r="L102" s="312"/>
      <c r="M102" s="31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1"/>
      <c r="L103" s="312"/>
      <c r="M103" s="31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1"/>
      <c r="L104" s="312"/>
      <c r="M104" s="31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14"/>
      <c r="L105" s="315"/>
      <c r="M105" s="31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05" t="s">
        <v>286</v>
      </c>
      <c r="L106" s="306"/>
      <c r="M106" s="30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05" t="s">
        <v>288</v>
      </c>
      <c r="L107" s="306"/>
      <c r="M107" s="307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17" t="s">
        <v>289</v>
      </c>
      <c r="L108" s="318"/>
      <c r="M108" s="319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20"/>
      <c r="L109" s="321"/>
      <c r="M109" s="322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20"/>
      <c r="L110" s="321"/>
      <c r="M110" s="322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20"/>
      <c r="L111" s="321"/>
      <c r="M111" s="322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20"/>
      <c r="L112" s="321"/>
      <c r="M112" s="322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20"/>
      <c r="L113" s="321"/>
      <c r="M113" s="322"/>
    </row>
    <row r="114" spans="1:13" ht="16.5" thickBot="1" x14ac:dyDescent="0.3">
      <c r="A114" s="93" t="s">
        <v>437</v>
      </c>
      <c r="B114" s="122"/>
      <c r="C114" s="122"/>
      <c r="D114" s="122">
        <f>SUM(E114*3+F114)</f>
        <v>18</v>
      </c>
      <c r="E114" s="122">
        <f>COUNTIF(C3:C41,3)</f>
        <v>6</v>
      </c>
      <c r="F114" s="122">
        <f>COUNTIF(C3:C41,1)</f>
        <v>0</v>
      </c>
      <c r="G114" s="122">
        <f>COUNTIF(C3:C41,0)</f>
        <v>1</v>
      </c>
      <c r="H114" s="122">
        <f>Match!R4</f>
        <v>10</v>
      </c>
      <c r="I114" s="122">
        <f>Match!S4</f>
        <v>5</v>
      </c>
      <c r="J114" s="154">
        <f t="shared" si="6"/>
        <v>5</v>
      </c>
      <c r="K114" s="323"/>
      <c r="L114" s="324"/>
      <c r="M114" s="325"/>
    </row>
  </sheetData>
  <autoFilter ref="A79:J112" xr:uid="{9C81160F-C24B-449F-8F5A-CB622AB71070}"/>
  <mergeCells count="15">
    <mergeCell ref="C1:I1"/>
    <mergeCell ref="K106:M106"/>
    <mergeCell ref="K107:M107"/>
    <mergeCell ref="K84:M105"/>
    <mergeCell ref="K108:M114"/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B5" sqref="B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3" t="s">
        <v>405</v>
      </c>
      <c r="B1" s="203"/>
      <c r="C1" s="203"/>
      <c r="D1" s="203"/>
      <c r="E1" s="203"/>
      <c r="F1" s="203" t="s">
        <v>406</v>
      </c>
      <c r="G1" s="203"/>
      <c r="H1" s="203"/>
      <c r="I1" s="203"/>
      <c r="J1" s="203"/>
    </row>
    <row r="2" spans="1:21" x14ac:dyDescent="0.25">
      <c r="A2" s="203"/>
      <c r="B2" s="203"/>
      <c r="C2" s="203"/>
      <c r="D2" s="203"/>
      <c r="E2" s="203"/>
      <c r="F2" s="203"/>
      <c r="G2" s="203"/>
      <c r="H2" s="203"/>
      <c r="I2" s="203"/>
      <c r="J2" s="203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6</v>
      </c>
      <c r="O3" s="193">
        <v>6</v>
      </c>
      <c r="P3" s="193">
        <v>0</v>
      </c>
      <c r="Q3" s="193">
        <v>0</v>
      </c>
      <c r="R3" s="193">
        <v>16</v>
      </c>
      <c r="S3" s="193">
        <v>5</v>
      </c>
      <c r="T3" s="193">
        <v>11</v>
      </c>
      <c r="U3" s="193">
        <v>18</v>
      </c>
    </row>
    <row r="4" spans="1:21" x14ac:dyDescent="0.25">
      <c r="A4" t="s">
        <v>486</v>
      </c>
      <c r="B4" s="192">
        <v>0.66666666666666663</v>
      </c>
      <c r="C4" t="s">
        <v>4</v>
      </c>
      <c r="D4" t="s">
        <v>420</v>
      </c>
      <c r="E4" t="s">
        <v>487</v>
      </c>
      <c r="F4" t="s">
        <v>482</v>
      </c>
      <c r="G4" s="202" t="s">
        <v>485</v>
      </c>
      <c r="H4" t="s">
        <v>6</v>
      </c>
      <c r="I4" t="s">
        <v>484</v>
      </c>
      <c r="J4" t="s">
        <v>483</v>
      </c>
      <c r="L4">
        <v>2</v>
      </c>
      <c r="M4" t="s">
        <v>413</v>
      </c>
      <c r="N4" s="193">
        <v>6</v>
      </c>
      <c r="O4" s="193">
        <v>5</v>
      </c>
      <c r="P4" s="193">
        <v>0</v>
      </c>
      <c r="Q4" s="193">
        <v>1</v>
      </c>
      <c r="R4" s="193">
        <v>10</v>
      </c>
      <c r="S4" s="193">
        <v>5</v>
      </c>
      <c r="T4" s="193">
        <v>5</v>
      </c>
      <c r="U4" s="193">
        <v>15</v>
      </c>
    </row>
    <row r="5" spans="1:21" x14ac:dyDescent="0.25">
      <c r="L5">
        <v>3</v>
      </c>
      <c r="M5" t="s">
        <v>417</v>
      </c>
      <c r="N5" s="193">
        <v>6</v>
      </c>
      <c r="O5" s="193">
        <v>4</v>
      </c>
      <c r="P5" s="193">
        <v>1</v>
      </c>
      <c r="Q5" s="193">
        <v>1</v>
      </c>
      <c r="R5" s="193">
        <v>18</v>
      </c>
      <c r="S5" s="193">
        <v>5</v>
      </c>
      <c r="T5" s="193">
        <v>13</v>
      </c>
      <c r="U5" s="193">
        <v>13</v>
      </c>
    </row>
    <row r="6" spans="1:21" x14ac:dyDescent="0.25">
      <c r="L6">
        <v>4</v>
      </c>
      <c r="M6" t="s">
        <v>416</v>
      </c>
      <c r="N6" s="193">
        <v>6</v>
      </c>
      <c r="O6" s="193">
        <v>2</v>
      </c>
      <c r="P6" s="193">
        <v>4</v>
      </c>
      <c r="Q6" s="193">
        <v>0</v>
      </c>
      <c r="R6" s="193">
        <v>12</v>
      </c>
      <c r="S6" s="193">
        <v>6</v>
      </c>
      <c r="T6" s="193">
        <v>6</v>
      </c>
      <c r="U6" s="193">
        <v>10</v>
      </c>
    </row>
    <row r="7" spans="1:21" x14ac:dyDescent="0.25">
      <c r="L7">
        <v>5</v>
      </c>
      <c r="M7" t="s">
        <v>420</v>
      </c>
      <c r="N7" s="193">
        <v>6</v>
      </c>
      <c r="O7" s="193">
        <v>2</v>
      </c>
      <c r="P7" s="193">
        <v>4</v>
      </c>
      <c r="Q7" s="193">
        <v>0</v>
      </c>
      <c r="R7" s="193">
        <v>8</v>
      </c>
      <c r="S7" s="193">
        <v>5</v>
      </c>
      <c r="T7" s="193">
        <v>3</v>
      </c>
      <c r="U7" s="193">
        <v>10</v>
      </c>
    </row>
    <row r="8" spans="1:21" x14ac:dyDescent="0.25">
      <c r="L8">
        <v>6</v>
      </c>
      <c r="M8" t="s">
        <v>418</v>
      </c>
      <c r="N8" s="193">
        <v>6</v>
      </c>
      <c r="O8" s="193">
        <v>3</v>
      </c>
      <c r="P8" s="193">
        <v>1</v>
      </c>
      <c r="Q8" s="193">
        <v>2</v>
      </c>
      <c r="R8" s="193">
        <v>15</v>
      </c>
      <c r="S8" s="193">
        <v>13</v>
      </c>
      <c r="T8" s="193">
        <v>2</v>
      </c>
      <c r="U8" s="193">
        <v>10</v>
      </c>
    </row>
    <row r="9" spans="1:21" x14ac:dyDescent="0.25">
      <c r="L9">
        <v>7</v>
      </c>
      <c r="M9" t="s">
        <v>424</v>
      </c>
      <c r="N9" s="193">
        <v>6</v>
      </c>
      <c r="O9" s="193">
        <v>2</v>
      </c>
      <c r="P9" s="193">
        <v>3</v>
      </c>
      <c r="Q9" s="193">
        <v>1</v>
      </c>
      <c r="R9" s="193">
        <v>8</v>
      </c>
      <c r="S9" s="193">
        <v>5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6</v>
      </c>
      <c r="O10" s="193">
        <v>2</v>
      </c>
      <c r="P10" s="193">
        <v>3</v>
      </c>
      <c r="Q10" s="193">
        <v>1</v>
      </c>
      <c r="R10" s="193">
        <v>8</v>
      </c>
      <c r="S10" s="193">
        <v>6</v>
      </c>
      <c r="T10" s="193">
        <v>2</v>
      </c>
      <c r="U10" s="193">
        <v>9</v>
      </c>
    </row>
    <row r="11" spans="1:21" x14ac:dyDescent="0.25">
      <c r="L11">
        <v>9</v>
      </c>
      <c r="M11" t="s">
        <v>425</v>
      </c>
      <c r="N11" s="193">
        <v>6</v>
      </c>
      <c r="O11" s="193">
        <v>2</v>
      </c>
      <c r="P11" s="193">
        <v>3</v>
      </c>
      <c r="Q11" s="193">
        <v>1</v>
      </c>
      <c r="R11" s="193">
        <v>7</v>
      </c>
      <c r="S11" s="193">
        <v>7</v>
      </c>
      <c r="T11" s="193">
        <v>0</v>
      </c>
      <c r="U11" s="193">
        <v>9</v>
      </c>
    </row>
    <row r="12" spans="1:21" x14ac:dyDescent="0.25">
      <c r="L12">
        <v>10</v>
      </c>
      <c r="M12" t="s">
        <v>423</v>
      </c>
      <c r="N12" s="193">
        <v>6</v>
      </c>
      <c r="O12" s="193">
        <v>3</v>
      </c>
      <c r="P12" s="193">
        <v>0</v>
      </c>
      <c r="Q12" s="193">
        <v>3</v>
      </c>
      <c r="R12" s="193">
        <v>9</v>
      </c>
      <c r="S12" s="193">
        <v>12</v>
      </c>
      <c r="T12" s="193" t="s">
        <v>457</v>
      </c>
      <c r="U12" s="193">
        <v>9</v>
      </c>
    </row>
    <row r="13" spans="1:21" x14ac:dyDescent="0.25">
      <c r="L13">
        <v>11</v>
      </c>
      <c r="M13" t="s">
        <v>427</v>
      </c>
      <c r="N13" s="193">
        <v>5</v>
      </c>
      <c r="O13" s="193">
        <v>2</v>
      </c>
      <c r="P13" s="193">
        <v>2</v>
      </c>
      <c r="Q13" s="193">
        <v>1</v>
      </c>
      <c r="R13" s="193">
        <v>9</v>
      </c>
      <c r="S13" s="193">
        <v>9</v>
      </c>
      <c r="T13" s="193">
        <v>0</v>
      </c>
      <c r="U13" s="193">
        <v>8</v>
      </c>
    </row>
    <row r="14" spans="1:21" x14ac:dyDescent="0.25">
      <c r="L14">
        <v>12</v>
      </c>
      <c r="M14" t="s">
        <v>419</v>
      </c>
      <c r="N14" s="193">
        <v>6</v>
      </c>
      <c r="O14" s="193">
        <v>2</v>
      </c>
      <c r="P14" s="193">
        <v>1</v>
      </c>
      <c r="Q14" s="193">
        <v>3</v>
      </c>
      <c r="R14" s="193">
        <v>9</v>
      </c>
      <c r="S14" s="193">
        <v>12</v>
      </c>
      <c r="T14" s="193" t="s">
        <v>457</v>
      </c>
      <c r="U14" s="193">
        <v>7</v>
      </c>
    </row>
    <row r="15" spans="1:21" x14ac:dyDescent="0.25">
      <c r="L15">
        <v>13</v>
      </c>
      <c r="M15" t="s">
        <v>426</v>
      </c>
      <c r="N15" s="193">
        <v>6</v>
      </c>
      <c r="O15" s="193">
        <v>1</v>
      </c>
      <c r="P15" s="193">
        <v>3</v>
      </c>
      <c r="Q15" s="193">
        <v>2</v>
      </c>
      <c r="R15" s="193">
        <v>9</v>
      </c>
      <c r="S15" s="193">
        <v>9</v>
      </c>
      <c r="T15" s="193">
        <v>0</v>
      </c>
      <c r="U15" s="193">
        <v>6</v>
      </c>
    </row>
    <row r="16" spans="1:21" x14ac:dyDescent="0.25">
      <c r="L16">
        <v>14</v>
      </c>
      <c r="M16" t="s">
        <v>428</v>
      </c>
      <c r="N16" s="193">
        <v>6</v>
      </c>
      <c r="O16" s="193">
        <v>1</v>
      </c>
      <c r="P16" s="193">
        <v>2</v>
      </c>
      <c r="Q16" s="193">
        <v>3</v>
      </c>
      <c r="R16" s="193">
        <v>5</v>
      </c>
      <c r="S16" s="193">
        <v>8</v>
      </c>
      <c r="T16" s="193" t="s">
        <v>457</v>
      </c>
      <c r="U16" s="193">
        <v>5</v>
      </c>
    </row>
    <row r="17" spans="12:21" x14ac:dyDescent="0.25">
      <c r="L17">
        <v>15</v>
      </c>
      <c r="M17" t="s">
        <v>414</v>
      </c>
      <c r="N17" s="193">
        <v>6</v>
      </c>
      <c r="O17" s="193">
        <v>1</v>
      </c>
      <c r="P17" s="193">
        <v>2</v>
      </c>
      <c r="Q17" s="193">
        <v>3</v>
      </c>
      <c r="R17" s="193">
        <v>6</v>
      </c>
      <c r="S17" s="193">
        <v>11</v>
      </c>
      <c r="T17" s="193" t="s">
        <v>433</v>
      </c>
      <c r="U17" s="193">
        <v>5</v>
      </c>
    </row>
    <row r="18" spans="12:21" x14ac:dyDescent="0.25">
      <c r="L18">
        <v>16</v>
      </c>
      <c r="M18" t="s">
        <v>429</v>
      </c>
      <c r="N18" s="193">
        <v>6</v>
      </c>
      <c r="O18" s="193">
        <v>1</v>
      </c>
      <c r="P18" s="193">
        <v>1</v>
      </c>
      <c r="Q18" s="193">
        <v>4</v>
      </c>
      <c r="R18" s="193">
        <v>6</v>
      </c>
      <c r="S18" s="193">
        <v>12</v>
      </c>
      <c r="T18" s="193" t="s">
        <v>460</v>
      </c>
      <c r="U18" s="193">
        <v>4</v>
      </c>
    </row>
    <row r="19" spans="12:21" x14ac:dyDescent="0.25">
      <c r="L19">
        <v>17</v>
      </c>
      <c r="M19" t="s">
        <v>415</v>
      </c>
      <c r="N19" s="193">
        <v>6</v>
      </c>
      <c r="O19" s="193">
        <v>0</v>
      </c>
      <c r="P19" s="193">
        <v>3</v>
      </c>
      <c r="Q19" s="193">
        <v>3</v>
      </c>
      <c r="R19" s="193">
        <v>7</v>
      </c>
      <c r="S19" s="193">
        <v>13</v>
      </c>
      <c r="T19" s="193" t="s">
        <v>460</v>
      </c>
      <c r="U19" s="193">
        <v>3</v>
      </c>
    </row>
    <row r="20" spans="12:21" x14ac:dyDescent="0.25">
      <c r="L20">
        <v>18</v>
      </c>
      <c r="M20" t="s">
        <v>430</v>
      </c>
      <c r="N20" s="193">
        <v>6</v>
      </c>
      <c r="O20" s="193">
        <v>0</v>
      </c>
      <c r="P20" s="193">
        <v>3</v>
      </c>
      <c r="Q20" s="193">
        <v>3</v>
      </c>
      <c r="R20" s="193">
        <v>3</v>
      </c>
      <c r="S20" s="193">
        <v>9</v>
      </c>
      <c r="T20" s="193" t="s">
        <v>460</v>
      </c>
      <c r="U20" s="193">
        <v>3</v>
      </c>
    </row>
    <row r="21" spans="12:21" x14ac:dyDescent="0.25">
      <c r="L21">
        <v>19</v>
      </c>
      <c r="M21" t="s">
        <v>404</v>
      </c>
      <c r="N21" s="193">
        <v>5</v>
      </c>
      <c r="O21" s="193">
        <v>1</v>
      </c>
      <c r="P21" s="193">
        <v>0</v>
      </c>
      <c r="Q21" s="193">
        <v>4</v>
      </c>
      <c r="R21" s="193">
        <v>1</v>
      </c>
      <c r="S21" s="193">
        <v>10</v>
      </c>
      <c r="T21" s="193" t="s">
        <v>471</v>
      </c>
      <c r="U21" s="193">
        <v>3</v>
      </c>
    </row>
    <row r="22" spans="12:21" x14ac:dyDescent="0.25">
      <c r="L22">
        <v>20</v>
      </c>
      <c r="M22" t="s">
        <v>421</v>
      </c>
      <c r="N22" s="193">
        <v>6</v>
      </c>
      <c r="O22" s="193">
        <v>0</v>
      </c>
      <c r="P22" s="193">
        <v>2</v>
      </c>
      <c r="Q22" s="193">
        <v>4</v>
      </c>
      <c r="R22" s="193">
        <v>6</v>
      </c>
      <c r="S22" s="193">
        <v>10</v>
      </c>
      <c r="T22" s="193" t="s">
        <v>470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6"/>
  <sheetViews>
    <sheetView workbookViewId="0">
      <selection activeCell="F5" sqref="F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443</v>
      </c>
      <c r="D1" t="s">
        <v>444</v>
      </c>
      <c r="E1" t="s">
        <v>456</v>
      </c>
    </row>
    <row r="2" spans="1:5" x14ac:dyDescent="0.25">
      <c r="A2" t="s">
        <v>350</v>
      </c>
      <c r="B2" t="s">
        <v>472</v>
      </c>
      <c r="C2" s="199">
        <v>7.2</v>
      </c>
      <c r="D2">
        <v>90</v>
      </c>
    </row>
    <row r="3" spans="1:5" x14ac:dyDescent="0.25">
      <c r="A3" t="s">
        <v>440</v>
      </c>
      <c r="B3" t="s">
        <v>474</v>
      </c>
      <c r="C3" s="199">
        <v>6.1</v>
      </c>
      <c r="D3">
        <v>90</v>
      </c>
    </row>
    <row r="4" spans="1:5" x14ac:dyDescent="0.25">
      <c r="A4" t="s">
        <v>441</v>
      </c>
      <c r="B4" t="s">
        <v>450</v>
      </c>
      <c r="C4" s="199">
        <v>6.1</v>
      </c>
      <c r="D4">
        <v>90</v>
      </c>
    </row>
    <row r="5" spans="1:5" x14ac:dyDescent="0.25">
      <c r="A5" t="s">
        <v>441</v>
      </c>
      <c r="B5" t="s">
        <v>455</v>
      </c>
      <c r="C5" s="199">
        <v>6.2</v>
      </c>
      <c r="D5">
        <v>90</v>
      </c>
    </row>
    <row r="6" spans="1:5" x14ac:dyDescent="0.25">
      <c r="A6" t="s">
        <v>442</v>
      </c>
      <c r="B6" t="s">
        <v>473</v>
      </c>
      <c r="C6" s="199">
        <v>5.6</v>
      </c>
      <c r="D6">
        <v>90</v>
      </c>
    </row>
    <row r="7" spans="1:5" x14ac:dyDescent="0.25">
      <c r="A7" t="s">
        <v>445</v>
      </c>
      <c r="B7" t="s">
        <v>475</v>
      </c>
      <c r="C7" s="199">
        <v>8.4</v>
      </c>
      <c r="D7">
        <v>90</v>
      </c>
      <c r="E7" t="s">
        <v>478</v>
      </c>
    </row>
    <row r="8" spans="1:5" x14ac:dyDescent="0.25">
      <c r="A8" t="s">
        <v>445</v>
      </c>
      <c r="B8" t="s">
        <v>459</v>
      </c>
      <c r="C8" s="199">
        <v>6.2</v>
      </c>
      <c r="D8" t="s">
        <v>453</v>
      </c>
    </row>
    <row r="9" spans="1:5" x14ac:dyDescent="0.25">
      <c r="A9" t="s">
        <v>446</v>
      </c>
      <c r="B9" t="s">
        <v>451</v>
      </c>
      <c r="C9" s="199">
        <v>7.9</v>
      </c>
      <c r="D9" t="s">
        <v>453</v>
      </c>
      <c r="E9" t="s">
        <v>479</v>
      </c>
    </row>
    <row r="10" spans="1:5" x14ac:dyDescent="0.25">
      <c r="A10" t="s">
        <v>447</v>
      </c>
      <c r="B10" t="s">
        <v>480</v>
      </c>
      <c r="C10" s="199">
        <v>6.5</v>
      </c>
      <c r="D10">
        <v>90</v>
      </c>
    </row>
    <row r="11" spans="1:5" x14ac:dyDescent="0.25">
      <c r="A11" t="s">
        <v>448</v>
      </c>
      <c r="B11" t="s">
        <v>476</v>
      </c>
      <c r="C11" s="199"/>
      <c r="D11" t="s">
        <v>453</v>
      </c>
    </row>
    <row r="12" spans="1:5" x14ac:dyDescent="0.25">
      <c r="A12" t="s">
        <v>449</v>
      </c>
      <c r="B12" t="s">
        <v>477</v>
      </c>
      <c r="C12" s="199">
        <v>6.8</v>
      </c>
      <c r="D12" t="s">
        <v>453</v>
      </c>
    </row>
    <row r="13" spans="1:5" x14ac:dyDescent="0.25">
      <c r="A13" t="s">
        <v>442</v>
      </c>
      <c r="B13" t="s">
        <v>488</v>
      </c>
      <c r="C13" s="199">
        <v>6.1</v>
      </c>
      <c r="D13" t="s">
        <v>452</v>
      </c>
    </row>
    <row r="14" spans="1:5" x14ac:dyDescent="0.25">
      <c r="A14" t="s">
        <v>445</v>
      </c>
      <c r="B14" t="s">
        <v>454</v>
      </c>
      <c r="C14" s="199"/>
      <c r="D14" t="s">
        <v>452</v>
      </c>
    </row>
    <row r="15" spans="1:5" x14ac:dyDescent="0.25">
      <c r="A15" t="s">
        <v>449</v>
      </c>
      <c r="B15" t="s">
        <v>469</v>
      </c>
      <c r="C15" s="199">
        <v>6.9</v>
      </c>
      <c r="D15" t="s">
        <v>452</v>
      </c>
      <c r="E15" t="s">
        <v>479</v>
      </c>
    </row>
    <row r="16" spans="1:5" x14ac:dyDescent="0.25">
      <c r="A16" t="s">
        <v>447</v>
      </c>
      <c r="B16" t="s">
        <v>481</v>
      </c>
      <c r="C16" s="199">
        <v>7.9</v>
      </c>
      <c r="D16" t="s">
        <v>452</v>
      </c>
      <c r="E16" t="s">
        <v>478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26"/>
      <c r="C1" s="327" t="s">
        <v>44</v>
      </c>
      <c r="D1" s="211"/>
      <c r="E1" s="328"/>
      <c r="H1" s="208" t="s">
        <v>47</v>
      </c>
      <c r="I1" s="326"/>
      <c r="J1" s="327" t="s">
        <v>44</v>
      </c>
      <c r="K1" s="211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2026-10-22T07:35:44Z</dcterms:modified>
</cp:coreProperties>
</file>