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6986" documentId="13_ncr:1_{662DAA9A-C5C7-8346-85AE-B86E329139C8}" xr6:coauthVersionLast="47" xr6:coauthVersionMax="47" xr10:uidLastSave="{7B3FB32F-BFE8-43CE-AE3B-72DEDFA99CC0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All-time records" sheetId="4" r:id="rId23"/>
  </sheets>
  <definedNames>
    <definedName name="_xlnm._FilterDatabase" localSheetId="1" hidden="1">'#'!$A$5:$AS$5</definedName>
    <definedName name="_xlnm._FilterDatabase" localSheetId="22" hidden="1">'All-time records'!$H$2:$L$2</definedName>
    <definedName name="_xlnm._FilterDatabase" localSheetId="2" hidden="1">'Apps &amp; Goals'!$A$3:$P$3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26-27'!$A$3:$N$20</definedName>
    <definedName name="_xlnm._FilterDatabase" localSheetId="17" hidden="1">Europe!#REF!</definedName>
    <definedName name="_xlnm._FilterDatabase" localSheetId="15" hidden="1">'Ex-Players'!$A$2:$P$2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7" l="1"/>
  <c r="G41" i="7"/>
  <c r="H41" i="7"/>
  <c r="I41" i="7"/>
  <c r="J41" i="7"/>
  <c r="K41" i="7"/>
  <c r="L41" i="7"/>
  <c r="M41" i="7"/>
  <c r="N41" i="7"/>
  <c r="O41" i="7"/>
  <c r="P41" i="7"/>
  <c r="E41" i="7"/>
  <c r="E29" i="1"/>
  <c r="F29" i="1"/>
  <c r="G29" i="1"/>
  <c r="H29" i="1"/>
  <c r="P29" i="1" s="1"/>
  <c r="I29" i="1"/>
  <c r="J29" i="1"/>
  <c r="K29" i="1"/>
  <c r="L29" i="1"/>
  <c r="N29" i="1"/>
  <c r="E30" i="1"/>
  <c r="F30" i="1"/>
  <c r="P30" i="1" s="1"/>
  <c r="G30" i="1"/>
  <c r="H30" i="1"/>
  <c r="I30" i="1"/>
  <c r="J30" i="1"/>
  <c r="K30" i="1"/>
  <c r="L30" i="1"/>
  <c r="N30" i="1"/>
  <c r="E31" i="1"/>
  <c r="F31" i="1"/>
  <c r="G31" i="1"/>
  <c r="H31" i="1"/>
  <c r="P31" i="1" s="1"/>
  <c r="I31" i="1"/>
  <c r="J31" i="1"/>
  <c r="K31" i="1"/>
  <c r="L31" i="1"/>
  <c r="M31" i="1"/>
  <c r="N31" i="1"/>
  <c r="E32" i="1"/>
  <c r="F32" i="1"/>
  <c r="G32" i="1"/>
  <c r="H32" i="1"/>
  <c r="I32" i="1"/>
  <c r="J32" i="1"/>
  <c r="K32" i="1"/>
  <c r="L32" i="1"/>
  <c r="N32" i="1"/>
  <c r="P32" i="1"/>
  <c r="E33" i="1"/>
  <c r="O33" i="1" s="1"/>
  <c r="F33" i="1"/>
  <c r="G33" i="1"/>
  <c r="H33" i="1"/>
  <c r="I33" i="1"/>
  <c r="J33" i="1"/>
  <c r="P33" i="1" s="1"/>
  <c r="K33" i="1"/>
  <c r="L33" i="1"/>
  <c r="M33" i="1"/>
  <c r="N33" i="1"/>
  <c r="E34" i="1"/>
  <c r="F34" i="1"/>
  <c r="G34" i="1"/>
  <c r="H34" i="1"/>
  <c r="I34" i="1"/>
  <c r="J34" i="1"/>
  <c r="K34" i="1"/>
  <c r="L34" i="1"/>
  <c r="M34" i="1"/>
  <c r="N34" i="1"/>
  <c r="E35" i="1"/>
  <c r="F35" i="1"/>
  <c r="G35" i="1"/>
  <c r="H35" i="1"/>
  <c r="I35" i="1"/>
  <c r="J35" i="1"/>
  <c r="K35" i="1"/>
  <c r="L35" i="1"/>
  <c r="M35" i="1"/>
  <c r="N35" i="1"/>
  <c r="E36" i="1"/>
  <c r="F36" i="1"/>
  <c r="P36" i="1" s="1"/>
  <c r="G36" i="1"/>
  <c r="H36" i="1"/>
  <c r="I36" i="1"/>
  <c r="J36" i="1"/>
  <c r="K36" i="1"/>
  <c r="L36" i="1"/>
  <c r="M36" i="1"/>
  <c r="N36" i="1"/>
  <c r="E37" i="1"/>
  <c r="F37" i="1"/>
  <c r="P37" i="1" s="1"/>
  <c r="G37" i="1"/>
  <c r="H37" i="1"/>
  <c r="I37" i="1"/>
  <c r="O37" i="1" s="1"/>
  <c r="J37" i="1"/>
  <c r="K37" i="1"/>
  <c r="L37" i="1"/>
  <c r="M37" i="1"/>
  <c r="N37" i="1"/>
  <c r="E38" i="1"/>
  <c r="O38" i="1" s="1"/>
  <c r="F38" i="1"/>
  <c r="G38" i="1"/>
  <c r="H38" i="1"/>
  <c r="I38" i="1"/>
  <c r="J38" i="1"/>
  <c r="K38" i="1"/>
  <c r="L38" i="1"/>
  <c r="M38" i="1"/>
  <c r="N38" i="1"/>
  <c r="E39" i="1"/>
  <c r="F39" i="1"/>
  <c r="G39" i="1"/>
  <c r="H39" i="1"/>
  <c r="I39" i="1"/>
  <c r="J39" i="1"/>
  <c r="K39" i="1"/>
  <c r="L39" i="1"/>
  <c r="M39" i="1"/>
  <c r="N39" i="1"/>
  <c r="E40" i="1"/>
  <c r="F40" i="1"/>
  <c r="G40" i="1"/>
  <c r="H40" i="1"/>
  <c r="P40" i="1" s="1"/>
  <c r="I40" i="1"/>
  <c r="J40" i="1"/>
  <c r="K40" i="1"/>
  <c r="L40" i="1"/>
  <c r="M40" i="1"/>
  <c r="N40" i="1"/>
  <c r="AQ31" i="10"/>
  <c r="AS31" i="10"/>
  <c r="AP32" i="10"/>
  <c r="AR32" i="10" s="1"/>
  <c r="M30" i="1" s="1"/>
  <c r="AQ32" i="10"/>
  <c r="AS32" i="10" s="1"/>
  <c r="AP33" i="10"/>
  <c r="AQ33" i="10"/>
  <c r="AR33" i="10"/>
  <c r="AS33" i="10"/>
  <c r="AP34" i="10"/>
  <c r="AR34" i="10" s="1"/>
  <c r="M32" i="1" s="1"/>
  <c r="AQ34" i="10"/>
  <c r="AS34" i="10"/>
  <c r="AP35" i="10"/>
  <c r="AQ35" i="10"/>
  <c r="AR35" i="10"/>
  <c r="AS35" i="10"/>
  <c r="AP36" i="10"/>
  <c r="AR36" i="10" s="1"/>
  <c r="AQ36" i="10"/>
  <c r="AS36" i="10" s="1"/>
  <c r="AP37" i="10"/>
  <c r="AQ37" i="10"/>
  <c r="AR37" i="10"/>
  <c r="AS37" i="10"/>
  <c r="AP38" i="10"/>
  <c r="AR38" i="10" s="1"/>
  <c r="AQ38" i="10"/>
  <c r="AS38" i="10"/>
  <c r="AP39" i="10"/>
  <c r="AQ39" i="10"/>
  <c r="AR39" i="10"/>
  <c r="AS39" i="10"/>
  <c r="AP40" i="10"/>
  <c r="AR40" i="10" s="1"/>
  <c r="AQ40" i="10"/>
  <c r="AS40" i="10" s="1"/>
  <c r="AP41" i="10"/>
  <c r="AQ41" i="10"/>
  <c r="AR41" i="10"/>
  <c r="AS41" i="10"/>
  <c r="AP42" i="10"/>
  <c r="AR42" i="10" s="1"/>
  <c r="AQ42" i="10"/>
  <c r="AS42" i="10"/>
  <c r="AG31" i="10"/>
  <c r="AI31" i="10" s="1"/>
  <c r="AH31" i="10"/>
  <c r="AJ31" i="10" s="1"/>
  <c r="AG32" i="10"/>
  <c r="AI32" i="10" s="1"/>
  <c r="AH32" i="10"/>
  <c r="AJ32" i="10" s="1"/>
  <c r="AG33" i="10"/>
  <c r="AI33" i="10" s="1"/>
  <c r="AH33" i="10"/>
  <c r="AJ33" i="10"/>
  <c r="AG34" i="10"/>
  <c r="AH34" i="10"/>
  <c r="AI34" i="10"/>
  <c r="AJ34" i="10"/>
  <c r="AG35" i="10"/>
  <c r="AI35" i="10" s="1"/>
  <c r="AH35" i="10"/>
  <c r="AJ35" i="10" s="1"/>
  <c r="AG36" i="10"/>
  <c r="AI36" i="10" s="1"/>
  <c r="AH36" i="10"/>
  <c r="AJ36" i="10" s="1"/>
  <c r="AG37" i="10"/>
  <c r="AI37" i="10" s="1"/>
  <c r="AH37" i="10"/>
  <c r="AJ37" i="10"/>
  <c r="AG38" i="10"/>
  <c r="AH38" i="10"/>
  <c r="AI38" i="10"/>
  <c r="AJ38" i="10"/>
  <c r="AG39" i="10"/>
  <c r="AI39" i="10" s="1"/>
  <c r="AH39" i="10"/>
  <c r="AJ39" i="10" s="1"/>
  <c r="AG40" i="10"/>
  <c r="AI40" i="10" s="1"/>
  <c r="AH40" i="10"/>
  <c r="AJ40" i="10" s="1"/>
  <c r="AG41" i="10"/>
  <c r="AI41" i="10" s="1"/>
  <c r="AH41" i="10"/>
  <c r="AJ41" i="10"/>
  <c r="AG42" i="10"/>
  <c r="AH42" i="10"/>
  <c r="AI42" i="10"/>
  <c r="AJ42" i="10"/>
  <c r="X31" i="10"/>
  <c r="Z31" i="10" s="1"/>
  <c r="Y31" i="10"/>
  <c r="AA31" i="10"/>
  <c r="X32" i="10"/>
  <c r="Y32" i="10"/>
  <c r="Z32" i="10"/>
  <c r="AA32" i="10"/>
  <c r="X33" i="10"/>
  <c r="Y33" i="10"/>
  <c r="AA33" i="10" s="1"/>
  <c r="Z33" i="10"/>
  <c r="X34" i="10"/>
  <c r="Z34" i="10" s="1"/>
  <c r="Y34" i="10"/>
  <c r="AA34" i="10" s="1"/>
  <c r="X35" i="10"/>
  <c r="Z35" i="10" s="1"/>
  <c r="Y35" i="10"/>
  <c r="AA35" i="10"/>
  <c r="X36" i="10"/>
  <c r="Y36" i="10"/>
  <c r="Z36" i="10"/>
  <c r="AA36" i="10"/>
  <c r="X37" i="10"/>
  <c r="Y37" i="10"/>
  <c r="AA37" i="10" s="1"/>
  <c r="Z37" i="10"/>
  <c r="X38" i="10"/>
  <c r="Z38" i="10" s="1"/>
  <c r="Y38" i="10"/>
  <c r="AA38" i="10" s="1"/>
  <c r="X39" i="10"/>
  <c r="Z39" i="10" s="1"/>
  <c r="Y39" i="10"/>
  <c r="AA39" i="10"/>
  <c r="X40" i="10"/>
  <c r="Y40" i="10"/>
  <c r="Z40" i="10"/>
  <c r="AA40" i="10"/>
  <c r="X41" i="10"/>
  <c r="Y41" i="10"/>
  <c r="AA41" i="10" s="1"/>
  <c r="Z41" i="10"/>
  <c r="X42" i="10"/>
  <c r="Z42" i="10" s="1"/>
  <c r="Y42" i="10"/>
  <c r="AA42" i="10" s="1"/>
  <c r="O31" i="10"/>
  <c r="P31" i="10"/>
  <c r="Q31" i="10"/>
  <c r="R31" i="10"/>
  <c r="O32" i="10"/>
  <c r="Q32" i="10" s="1"/>
  <c r="P32" i="10"/>
  <c r="R32" i="10"/>
  <c r="O33" i="10"/>
  <c r="P33" i="10"/>
  <c r="R33" i="10" s="1"/>
  <c r="Q33" i="10"/>
  <c r="O34" i="10"/>
  <c r="P34" i="10"/>
  <c r="Q34" i="10"/>
  <c r="R34" i="10"/>
  <c r="O35" i="10"/>
  <c r="P35" i="10"/>
  <c r="Q35" i="10"/>
  <c r="R35" i="10"/>
  <c r="O36" i="10"/>
  <c r="Q36" i="10" s="1"/>
  <c r="P36" i="10"/>
  <c r="R36" i="10"/>
  <c r="O37" i="10"/>
  <c r="P37" i="10"/>
  <c r="R37" i="10" s="1"/>
  <c r="Q37" i="10"/>
  <c r="O38" i="10"/>
  <c r="P38" i="10"/>
  <c r="Q38" i="10"/>
  <c r="R38" i="10"/>
  <c r="O39" i="10"/>
  <c r="P39" i="10"/>
  <c r="Q39" i="10"/>
  <c r="R39" i="10"/>
  <c r="O40" i="10"/>
  <c r="Q40" i="10" s="1"/>
  <c r="P40" i="10"/>
  <c r="R40" i="10"/>
  <c r="O41" i="10"/>
  <c r="P41" i="10"/>
  <c r="R41" i="10" s="1"/>
  <c r="Q41" i="10"/>
  <c r="O42" i="10"/>
  <c r="P42" i="10"/>
  <c r="Q42" i="10"/>
  <c r="R42" i="10"/>
  <c r="F31" i="10"/>
  <c r="H31" i="10" s="1"/>
  <c r="G31" i="10"/>
  <c r="I31" i="10"/>
  <c r="F32" i="10"/>
  <c r="G32" i="10"/>
  <c r="H32" i="10"/>
  <c r="I32" i="10"/>
  <c r="F33" i="10"/>
  <c r="H33" i="10" s="1"/>
  <c r="G33" i="10"/>
  <c r="I33" i="10"/>
  <c r="F34" i="10"/>
  <c r="H34" i="10" s="1"/>
  <c r="G34" i="10"/>
  <c r="I34" i="10"/>
  <c r="F35" i="10"/>
  <c r="H35" i="10" s="1"/>
  <c r="G35" i="10"/>
  <c r="I35" i="10"/>
  <c r="F36" i="10"/>
  <c r="G36" i="10"/>
  <c r="H36" i="10"/>
  <c r="I36" i="10"/>
  <c r="F37" i="10"/>
  <c r="H37" i="10" s="1"/>
  <c r="G37" i="10"/>
  <c r="I37" i="10"/>
  <c r="F38" i="10"/>
  <c r="H38" i="10" s="1"/>
  <c r="G38" i="10"/>
  <c r="I38" i="10"/>
  <c r="F39" i="10"/>
  <c r="H39" i="10" s="1"/>
  <c r="G39" i="10"/>
  <c r="I39" i="10"/>
  <c r="F40" i="10"/>
  <c r="G40" i="10"/>
  <c r="H40" i="10"/>
  <c r="I40" i="10"/>
  <c r="F41" i="10"/>
  <c r="H41" i="10" s="1"/>
  <c r="G41" i="10"/>
  <c r="I41" i="10"/>
  <c r="F42" i="10"/>
  <c r="H42" i="10" s="1"/>
  <c r="G42" i="10"/>
  <c r="I42" i="10"/>
  <c r="C29" i="30"/>
  <c r="D29" i="30"/>
  <c r="N29" i="30" s="1"/>
  <c r="E29" i="30"/>
  <c r="F29" i="30"/>
  <c r="G29" i="30"/>
  <c r="H29" i="30"/>
  <c r="I29" i="30"/>
  <c r="J29" i="30"/>
  <c r="K29" i="30"/>
  <c r="AP31" i="10" s="1"/>
  <c r="AR31" i="10" s="1"/>
  <c r="M29" i="1" s="1"/>
  <c r="L29" i="30"/>
  <c r="C30" i="30"/>
  <c r="D30" i="30"/>
  <c r="N30" i="30" s="1"/>
  <c r="E30" i="30"/>
  <c r="F30" i="30"/>
  <c r="G30" i="30"/>
  <c r="H30" i="30"/>
  <c r="I30" i="30"/>
  <c r="J30" i="30"/>
  <c r="K30" i="30"/>
  <c r="L30" i="30"/>
  <c r="C31" i="30"/>
  <c r="D31" i="30"/>
  <c r="N31" i="30" s="1"/>
  <c r="E31" i="30"/>
  <c r="M31" i="30" s="1"/>
  <c r="F31" i="30"/>
  <c r="G31" i="30"/>
  <c r="H31" i="30"/>
  <c r="I31" i="30"/>
  <c r="J31" i="30"/>
  <c r="K31" i="30"/>
  <c r="L31" i="30"/>
  <c r="C32" i="30"/>
  <c r="D32" i="30"/>
  <c r="E32" i="30"/>
  <c r="F32" i="30"/>
  <c r="G32" i="30"/>
  <c r="H32" i="30"/>
  <c r="I32" i="30"/>
  <c r="J32" i="30"/>
  <c r="K32" i="30"/>
  <c r="L32" i="30"/>
  <c r="M32" i="30"/>
  <c r="N32" i="30"/>
  <c r="C33" i="30"/>
  <c r="M33" i="30" s="1"/>
  <c r="D33" i="30"/>
  <c r="N33" i="30" s="1"/>
  <c r="E33" i="30"/>
  <c r="F33" i="30"/>
  <c r="G33" i="30"/>
  <c r="H33" i="30"/>
  <c r="I33" i="30"/>
  <c r="J33" i="30"/>
  <c r="K33" i="30"/>
  <c r="L33" i="30"/>
  <c r="C34" i="30"/>
  <c r="M34" i="30" s="1"/>
  <c r="D34" i="30"/>
  <c r="N34" i="30" s="1"/>
  <c r="E34" i="30"/>
  <c r="F34" i="30"/>
  <c r="G34" i="30"/>
  <c r="H34" i="30"/>
  <c r="I34" i="30"/>
  <c r="J34" i="30"/>
  <c r="K34" i="30"/>
  <c r="L34" i="30"/>
  <c r="C35" i="30"/>
  <c r="D35" i="30"/>
  <c r="N35" i="30" s="1"/>
  <c r="E35" i="30"/>
  <c r="F35" i="30"/>
  <c r="G35" i="30"/>
  <c r="M35" i="30" s="1"/>
  <c r="H35" i="30"/>
  <c r="I35" i="30"/>
  <c r="J35" i="30"/>
  <c r="K35" i="30"/>
  <c r="L35" i="30"/>
  <c r="C36" i="30"/>
  <c r="D36" i="30"/>
  <c r="E36" i="30"/>
  <c r="F36" i="30"/>
  <c r="G36" i="30"/>
  <c r="H36" i="30"/>
  <c r="I36" i="30"/>
  <c r="J36" i="30"/>
  <c r="K36" i="30"/>
  <c r="L36" i="30"/>
  <c r="M36" i="30"/>
  <c r="N36" i="30"/>
  <c r="C37" i="30"/>
  <c r="M37" i="30" s="1"/>
  <c r="D37" i="30"/>
  <c r="N37" i="30" s="1"/>
  <c r="E37" i="30"/>
  <c r="F37" i="30"/>
  <c r="G37" i="30"/>
  <c r="H37" i="30"/>
  <c r="I37" i="30"/>
  <c r="J37" i="30"/>
  <c r="K37" i="30"/>
  <c r="L37" i="30"/>
  <c r="C38" i="30"/>
  <c r="M38" i="30" s="1"/>
  <c r="D38" i="30"/>
  <c r="N38" i="30" s="1"/>
  <c r="E38" i="30"/>
  <c r="F38" i="30"/>
  <c r="G38" i="30"/>
  <c r="H38" i="30"/>
  <c r="I38" i="30"/>
  <c r="J38" i="30"/>
  <c r="K38" i="30"/>
  <c r="L38" i="30"/>
  <c r="C39" i="30"/>
  <c r="D39" i="30"/>
  <c r="N39" i="30" s="1"/>
  <c r="E39" i="30"/>
  <c r="F39" i="30"/>
  <c r="G39" i="30"/>
  <c r="M39" i="30" s="1"/>
  <c r="H39" i="30"/>
  <c r="I39" i="30"/>
  <c r="J39" i="30"/>
  <c r="K39" i="30"/>
  <c r="L39" i="30"/>
  <c r="C40" i="30"/>
  <c r="D40" i="30"/>
  <c r="E40" i="30"/>
  <c r="F40" i="30"/>
  <c r="G40" i="30"/>
  <c r="H40" i="30"/>
  <c r="I40" i="30"/>
  <c r="J40" i="30"/>
  <c r="K40" i="30"/>
  <c r="L40" i="30"/>
  <c r="M40" i="30"/>
  <c r="N40" i="30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9" i="9"/>
  <c r="D29" i="9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G25" i="30"/>
  <c r="X27" i="10" s="1"/>
  <c r="Z27" i="10" s="1"/>
  <c r="I25" i="1" s="1"/>
  <c r="H25" i="30"/>
  <c r="Y27" i="10" s="1"/>
  <c r="AA27" i="10" s="1"/>
  <c r="J25" i="1" s="1"/>
  <c r="K25" i="30"/>
  <c r="AP27" i="10" s="1"/>
  <c r="AR27" i="10" s="1"/>
  <c r="M25" i="1" s="1"/>
  <c r="L25" i="30"/>
  <c r="AQ27" i="10" s="1"/>
  <c r="AS27" i="10" s="1"/>
  <c r="N25" i="1" s="1"/>
  <c r="K26" i="30"/>
  <c r="AP28" i="10" s="1"/>
  <c r="AR28" i="10" s="1"/>
  <c r="M26" i="1" s="1"/>
  <c r="L26" i="30"/>
  <c r="AQ28" i="10" s="1"/>
  <c r="AS28" i="10" s="1"/>
  <c r="N26" i="1" s="1"/>
  <c r="H27" i="30"/>
  <c r="Y29" i="10" s="1"/>
  <c r="AA29" i="10" s="1"/>
  <c r="J27" i="1" s="1"/>
  <c r="I27" i="30"/>
  <c r="AG29" i="10" s="1"/>
  <c r="AI29" i="10" s="1"/>
  <c r="K27" i="1" s="1"/>
  <c r="J27" i="30"/>
  <c r="AH29" i="10" s="1"/>
  <c r="AJ29" i="10" s="1"/>
  <c r="L27" i="1" s="1"/>
  <c r="K27" i="30"/>
  <c r="AP29" i="10" s="1"/>
  <c r="AR29" i="10" s="1"/>
  <c r="M27" i="1" s="1"/>
  <c r="L27" i="30"/>
  <c r="AQ29" i="10" s="1"/>
  <c r="AS29" i="10" s="1"/>
  <c r="N27" i="1" s="1"/>
  <c r="D28" i="30"/>
  <c r="K28" i="30"/>
  <c r="AP30" i="10" s="1"/>
  <c r="AR30" i="10" s="1"/>
  <c r="M28" i="1" s="1"/>
  <c r="L28" i="30"/>
  <c r="AQ30" i="10" s="1"/>
  <c r="AS30" i="10" s="1"/>
  <c r="N28" i="1" s="1"/>
  <c r="C25" i="7"/>
  <c r="I25" i="30" s="1"/>
  <c r="AG27" i="10" s="1"/>
  <c r="AI27" i="10" s="1"/>
  <c r="K25" i="1" s="1"/>
  <c r="D25" i="7"/>
  <c r="J25" i="30" s="1"/>
  <c r="AH27" i="10" s="1"/>
  <c r="AJ27" i="10" s="1"/>
  <c r="L25" i="1" s="1"/>
  <c r="C26" i="7"/>
  <c r="I26" i="30" s="1"/>
  <c r="AG28" i="10" s="1"/>
  <c r="AI28" i="10" s="1"/>
  <c r="K26" i="1" s="1"/>
  <c r="D26" i="7"/>
  <c r="J26" i="30" s="1"/>
  <c r="AH28" i="10" s="1"/>
  <c r="AJ28" i="10" s="1"/>
  <c r="L26" i="1" s="1"/>
  <c r="C27" i="7"/>
  <c r="D27" i="7"/>
  <c r="C28" i="7"/>
  <c r="I28" i="30" s="1"/>
  <c r="AG30" i="10" s="1"/>
  <c r="AI30" i="10" s="1"/>
  <c r="K28" i="1" s="1"/>
  <c r="D28" i="7"/>
  <c r="J28" i="30" s="1"/>
  <c r="AH30" i="10" s="1"/>
  <c r="AJ30" i="10" s="1"/>
  <c r="L28" i="1" s="1"/>
  <c r="C38" i="7"/>
  <c r="D38" i="7"/>
  <c r="C39" i="7"/>
  <c r="D39" i="7"/>
  <c r="C40" i="7"/>
  <c r="D40" i="7"/>
  <c r="C25" i="8"/>
  <c r="D25" i="8"/>
  <c r="C26" i="8"/>
  <c r="G26" i="30" s="1"/>
  <c r="X28" i="10" s="1"/>
  <c r="Z28" i="10" s="1"/>
  <c r="I26" i="1" s="1"/>
  <c r="D26" i="8"/>
  <c r="H26" i="30" s="1"/>
  <c r="Y28" i="10" s="1"/>
  <c r="AA28" i="10" s="1"/>
  <c r="J26" i="1" s="1"/>
  <c r="C27" i="8"/>
  <c r="G27" i="30" s="1"/>
  <c r="X29" i="10" s="1"/>
  <c r="Z29" i="10" s="1"/>
  <c r="I27" i="1" s="1"/>
  <c r="D27" i="8"/>
  <c r="C28" i="8"/>
  <c r="G28" i="30" s="1"/>
  <c r="X30" i="10" s="1"/>
  <c r="Z30" i="10" s="1"/>
  <c r="I28" i="1" s="1"/>
  <c r="D28" i="8"/>
  <c r="H28" i="30" s="1"/>
  <c r="Y30" i="10" s="1"/>
  <c r="AA30" i="10" s="1"/>
  <c r="J28" i="1" s="1"/>
  <c r="C25" i="9"/>
  <c r="E25" i="30" s="1"/>
  <c r="O27" i="10" s="1"/>
  <c r="Q27" i="10" s="1"/>
  <c r="G25" i="1" s="1"/>
  <c r="D25" i="9"/>
  <c r="F25" i="30" s="1"/>
  <c r="P27" i="10" s="1"/>
  <c r="R27" i="10" s="1"/>
  <c r="H25" i="1" s="1"/>
  <c r="C26" i="9"/>
  <c r="E26" i="30" s="1"/>
  <c r="D26" i="9"/>
  <c r="F26" i="30" s="1"/>
  <c r="P28" i="10" s="1"/>
  <c r="R28" i="10" s="1"/>
  <c r="H26" i="1" s="1"/>
  <c r="C27" i="9"/>
  <c r="E27" i="30" s="1"/>
  <c r="D27" i="9"/>
  <c r="F27" i="30" s="1"/>
  <c r="P29" i="10" s="1"/>
  <c r="R29" i="10" s="1"/>
  <c r="H27" i="1" s="1"/>
  <c r="C28" i="9"/>
  <c r="E28" i="30" s="1"/>
  <c r="O30" i="10" s="1"/>
  <c r="Q30" i="10" s="1"/>
  <c r="G28" i="1" s="1"/>
  <c r="D28" i="9"/>
  <c r="F28" i="30" s="1"/>
  <c r="P30" i="10" s="1"/>
  <c r="R30" i="10" s="1"/>
  <c r="H28" i="1" s="1"/>
  <c r="C30" i="9"/>
  <c r="D30" i="9"/>
  <c r="C31" i="9"/>
  <c r="D31" i="9"/>
  <c r="C32" i="9"/>
  <c r="D32" i="9"/>
  <c r="C33" i="9"/>
  <c r="D33" i="9"/>
  <c r="C34" i="9"/>
  <c r="D34" i="9"/>
  <c r="C35" i="9"/>
  <c r="D35" i="9"/>
  <c r="C36" i="9"/>
  <c r="D36" i="9"/>
  <c r="C37" i="9"/>
  <c r="D37" i="9"/>
  <c r="C38" i="9"/>
  <c r="D38" i="9"/>
  <c r="C39" i="9"/>
  <c r="D39" i="9"/>
  <c r="C40" i="9"/>
  <c r="D40" i="9"/>
  <c r="C24" i="5"/>
  <c r="C24" i="30" s="1"/>
  <c r="F26" i="10" s="1"/>
  <c r="H26" i="10" s="1"/>
  <c r="E24" i="1" s="1"/>
  <c r="D24" i="5"/>
  <c r="C25" i="5"/>
  <c r="C25" i="30" s="1"/>
  <c r="F27" i="10" s="1"/>
  <c r="H27" i="10" s="1"/>
  <c r="E25" i="1" s="1"/>
  <c r="D25" i="5"/>
  <c r="D25" i="30" s="1"/>
  <c r="G27" i="10" s="1"/>
  <c r="I27" i="10" s="1"/>
  <c r="F25" i="1" s="1"/>
  <c r="C26" i="5"/>
  <c r="C26" i="30" s="1"/>
  <c r="F28" i="10" s="1"/>
  <c r="H28" i="10" s="1"/>
  <c r="E26" i="1" s="1"/>
  <c r="D26" i="5"/>
  <c r="D26" i="30" s="1"/>
  <c r="C27" i="5"/>
  <c r="C27" i="30" s="1"/>
  <c r="F29" i="10" s="1"/>
  <c r="H29" i="10" s="1"/>
  <c r="E27" i="1" s="1"/>
  <c r="D27" i="5"/>
  <c r="D27" i="30" s="1"/>
  <c r="C28" i="5"/>
  <c r="C28" i="30" s="1"/>
  <c r="F30" i="10" s="1"/>
  <c r="H30" i="10" s="1"/>
  <c r="E28" i="1" s="1"/>
  <c r="D28" i="5"/>
  <c r="K18" i="30"/>
  <c r="AP20" i="10" s="1"/>
  <c r="AR20" i="10" s="1"/>
  <c r="M18" i="1" s="1"/>
  <c r="L18" i="30"/>
  <c r="AQ20" i="10" s="1"/>
  <c r="AS20" i="10" s="1"/>
  <c r="N18" i="1" s="1"/>
  <c r="K19" i="30"/>
  <c r="AP21" i="10" s="1"/>
  <c r="AR21" i="10" s="1"/>
  <c r="M19" i="1" s="1"/>
  <c r="L19" i="30"/>
  <c r="AQ21" i="10" s="1"/>
  <c r="AS21" i="10" s="1"/>
  <c r="N19" i="1" s="1"/>
  <c r="I20" i="30"/>
  <c r="AG22" i="10" s="1"/>
  <c r="AI22" i="10" s="1"/>
  <c r="K20" i="1" s="1"/>
  <c r="K20" i="30"/>
  <c r="AP22" i="10" s="1"/>
  <c r="AR22" i="10" s="1"/>
  <c r="M20" i="1" s="1"/>
  <c r="L20" i="30"/>
  <c r="AQ22" i="10" s="1"/>
  <c r="AS22" i="10" s="1"/>
  <c r="N20" i="1" s="1"/>
  <c r="K21" i="30"/>
  <c r="AP23" i="10" s="1"/>
  <c r="AR23" i="10" s="1"/>
  <c r="M21" i="1" s="1"/>
  <c r="L21" i="30"/>
  <c r="AQ23" i="10" s="1"/>
  <c r="AS23" i="10" s="1"/>
  <c r="N21" i="1" s="1"/>
  <c r="K22" i="30"/>
  <c r="AP24" i="10" s="1"/>
  <c r="AR24" i="10" s="1"/>
  <c r="M22" i="1" s="1"/>
  <c r="L22" i="30"/>
  <c r="AQ24" i="10" s="1"/>
  <c r="AS24" i="10" s="1"/>
  <c r="N22" i="1" s="1"/>
  <c r="K23" i="30"/>
  <c r="AP25" i="10" s="1"/>
  <c r="AR25" i="10" s="1"/>
  <c r="M23" i="1" s="1"/>
  <c r="L23" i="30"/>
  <c r="AQ25" i="10" s="1"/>
  <c r="AS25" i="10" s="1"/>
  <c r="N23" i="1" s="1"/>
  <c r="K24" i="30"/>
  <c r="AP26" i="10" s="1"/>
  <c r="AR26" i="10" s="1"/>
  <c r="M24" i="1" s="1"/>
  <c r="L24" i="30"/>
  <c r="AQ26" i="10" s="1"/>
  <c r="AS26" i="10" s="1"/>
  <c r="N24" i="1" s="1"/>
  <c r="C18" i="7"/>
  <c r="I18" i="30" s="1"/>
  <c r="AG20" i="10" s="1"/>
  <c r="AI20" i="10" s="1"/>
  <c r="K18" i="1" s="1"/>
  <c r="D18" i="7"/>
  <c r="J18" i="30" s="1"/>
  <c r="AH20" i="10" s="1"/>
  <c r="AJ20" i="10" s="1"/>
  <c r="L18" i="1" s="1"/>
  <c r="C19" i="7"/>
  <c r="I19" i="30" s="1"/>
  <c r="AG21" i="10" s="1"/>
  <c r="AI21" i="10" s="1"/>
  <c r="K19" i="1" s="1"/>
  <c r="D19" i="7"/>
  <c r="J19" i="30" s="1"/>
  <c r="AH21" i="10" s="1"/>
  <c r="AJ21" i="10" s="1"/>
  <c r="L19" i="1" s="1"/>
  <c r="C20" i="7"/>
  <c r="D20" i="7"/>
  <c r="J20" i="30" s="1"/>
  <c r="AH22" i="10" s="1"/>
  <c r="AJ22" i="10" s="1"/>
  <c r="L20" i="1" s="1"/>
  <c r="C21" i="7"/>
  <c r="I21" i="30" s="1"/>
  <c r="AG23" i="10" s="1"/>
  <c r="AI23" i="10" s="1"/>
  <c r="K21" i="1" s="1"/>
  <c r="D21" i="7"/>
  <c r="J21" i="30" s="1"/>
  <c r="AH23" i="10" s="1"/>
  <c r="AJ23" i="10" s="1"/>
  <c r="L21" i="1" s="1"/>
  <c r="C22" i="7"/>
  <c r="I22" i="30" s="1"/>
  <c r="AG24" i="10" s="1"/>
  <c r="AI24" i="10" s="1"/>
  <c r="K22" i="1" s="1"/>
  <c r="D22" i="7"/>
  <c r="J22" i="30" s="1"/>
  <c r="AH24" i="10" s="1"/>
  <c r="AJ24" i="10" s="1"/>
  <c r="L22" i="1" s="1"/>
  <c r="C23" i="7"/>
  <c r="I23" i="30" s="1"/>
  <c r="AG25" i="10" s="1"/>
  <c r="AI25" i="10" s="1"/>
  <c r="K23" i="1" s="1"/>
  <c r="D23" i="7"/>
  <c r="J23" i="30" s="1"/>
  <c r="AH25" i="10" s="1"/>
  <c r="AJ25" i="10" s="1"/>
  <c r="L23" i="1" s="1"/>
  <c r="C24" i="7"/>
  <c r="I24" i="30" s="1"/>
  <c r="AG26" i="10" s="1"/>
  <c r="AI26" i="10" s="1"/>
  <c r="K24" i="1" s="1"/>
  <c r="D24" i="7"/>
  <c r="J24" i="30" s="1"/>
  <c r="AH26" i="10" s="1"/>
  <c r="AJ26" i="10" s="1"/>
  <c r="L24" i="1" s="1"/>
  <c r="C18" i="8"/>
  <c r="G18" i="30" s="1"/>
  <c r="X20" i="10" s="1"/>
  <c r="Z20" i="10" s="1"/>
  <c r="I18" i="1" s="1"/>
  <c r="D18" i="8"/>
  <c r="H18" i="30" s="1"/>
  <c r="Y20" i="10" s="1"/>
  <c r="AA20" i="10" s="1"/>
  <c r="J18" i="1" s="1"/>
  <c r="C19" i="8"/>
  <c r="G19" i="30" s="1"/>
  <c r="X21" i="10" s="1"/>
  <c r="Z21" i="10" s="1"/>
  <c r="I19" i="1" s="1"/>
  <c r="D19" i="8"/>
  <c r="H19" i="30" s="1"/>
  <c r="Y21" i="10" s="1"/>
  <c r="AA21" i="10" s="1"/>
  <c r="J19" i="1" s="1"/>
  <c r="C20" i="8"/>
  <c r="G20" i="30" s="1"/>
  <c r="X22" i="10" s="1"/>
  <c r="Z22" i="10" s="1"/>
  <c r="I20" i="1" s="1"/>
  <c r="D20" i="8"/>
  <c r="H20" i="30" s="1"/>
  <c r="Y22" i="10" s="1"/>
  <c r="AA22" i="10" s="1"/>
  <c r="J20" i="1" s="1"/>
  <c r="C21" i="8"/>
  <c r="G21" i="30" s="1"/>
  <c r="X23" i="10" s="1"/>
  <c r="Z23" i="10" s="1"/>
  <c r="I21" i="1" s="1"/>
  <c r="D21" i="8"/>
  <c r="H21" i="30" s="1"/>
  <c r="Y23" i="10" s="1"/>
  <c r="AA23" i="10" s="1"/>
  <c r="J21" i="1" s="1"/>
  <c r="C22" i="8"/>
  <c r="G22" i="30" s="1"/>
  <c r="X24" i="10" s="1"/>
  <c r="Z24" i="10" s="1"/>
  <c r="I22" i="1" s="1"/>
  <c r="D22" i="8"/>
  <c r="H22" i="30" s="1"/>
  <c r="Y24" i="10" s="1"/>
  <c r="AA24" i="10" s="1"/>
  <c r="J22" i="1" s="1"/>
  <c r="C23" i="8"/>
  <c r="G23" i="30" s="1"/>
  <c r="X25" i="10" s="1"/>
  <c r="Z25" i="10" s="1"/>
  <c r="I23" i="1" s="1"/>
  <c r="D23" i="8"/>
  <c r="H23" i="30" s="1"/>
  <c r="Y25" i="10" s="1"/>
  <c r="AA25" i="10" s="1"/>
  <c r="J23" i="1" s="1"/>
  <c r="C24" i="8"/>
  <c r="G24" i="30" s="1"/>
  <c r="X26" i="10" s="1"/>
  <c r="Z26" i="10" s="1"/>
  <c r="I24" i="1" s="1"/>
  <c r="D24" i="8"/>
  <c r="H24" i="30" s="1"/>
  <c r="Y26" i="10" s="1"/>
  <c r="AA26" i="10" s="1"/>
  <c r="J24" i="1" s="1"/>
  <c r="C18" i="9"/>
  <c r="E18" i="30" s="1"/>
  <c r="O20" i="10" s="1"/>
  <c r="Q20" i="10" s="1"/>
  <c r="G18" i="1" s="1"/>
  <c r="D18" i="9"/>
  <c r="F18" i="30" s="1"/>
  <c r="P20" i="10" s="1"/>
  <c r="R20" i="10" s="1"/>
  <c r="H18" i="1" s="1"/>
  <c r="C19" i="9"/>
  <c r="E19" i="30" s="1"/>
  <c r="O21" i="10" s="1"/>
  <c r="Q21" i="10" s="1"/>
  <c r="G19" i="1" s="1"/>
  <c r="D19" i="9"/>
  <c r="F19" i="30" s="1"/>
  <c r="P21" i="10" s="1"/>
  <c r="R21" i="10" s="1"/>
  <c r="H19" i="1" s="1"/>
  <c r="C20" i="9"/>
  <c r="E20" i="30" s="1"/>
  <c r="O22" i="10" s="1"/>
  <c r="Q22" i="10" s="1"/>
  <c r="G20" i="1" s="1"/>
  <c r="D20" i="9"/>
  <c r="F20" i="30" s="1"/>
  <c r="P22" i="10" s="1"/>
  <c r="R22" i="10" s="1"/>
  <c r="H20" i="1" s="1"/>
  <c r="C21" i="9"/>
  <c r="E21" i="30" s="1"/>
  <c r="O23" i="10" s="1"/>
  <c r="Q23" i="10" s="1"/>
  <c r="G21" i="1" s="1"/>
  <c r="D21" i="9"/>
  <c r="F21" i="30" s="1"/>
  <c r="P23" i="10" s="1"/>
  <c r="R23" i="10" s="1"/>
  <c r="H21" i="1" s="1"/>
  <c r="C22" i="9"/>
  <c r="E22" i="30" s="1"/>
  <c r="O24" i="10" s="1"/>
  <c r="Q24" i="10" s="1"/>
  <c r="G22" i="1" s="1"/>
  <c r="D22" i="9"/>
  <c r="F22" i="30" s="1"/>
  <c r="P24" i="10" s="1"/>
  <c r="R24" i="10" s="1"/>
  <c r="H22" i="1" s="1"/>
  <c r="C23" i="9"/>
  <c r="E23" i="30" s="1"/>
  <c r="O25" i="10" s="1"/>
  <c r="Q25" i="10" s="1"/>
  <c r="G23" i="1" s="1"/>
  <c r="D23" i="9"/>
  <c r="F23" i="30" s="1"/>
  <c r="P25" i="10" s="1"/>
  <c r="R25" i="10" s="1"/>
  <c r="H23" i="1" s="1"/>
  <c r="C24" i="9"/>
  <c r="E24" i="30" s="1"/>
  <c r="O26" i="10" s="1"/>
  <c r="Q26" i="10" s="1"/>
  <c r="G24" i="1" s="1"/>
  <c r="D24" i="9"/>
  <c r="F24" i="30" s="1"/>
  <c r="P26" i="10" s="1"/>
  <c r="R26" i="10" s="1"/>
  <c r="H24" i="1" s="1"/>
  <c r="C18" i="5"/>
  <c r="C18" i="30" s="1"/>
  <c r="D18" i="5"/>
  <c r="D18" i="30" s="1"/>
  <c r="C19" i="5"/>
  <c r="C19" i="30" s="1"/>
  <c r="D19" i="5"/>
  <c r="D19" i="30" s="1"/>
  <c r="C20" i="5"/>
  <c r="C20" i="30" s="1"/>
  <c r="F22" i="10" s="1"/>
  <c r="H22" i="10" s="1"/>
  <c r="E20" i="1" s="1"/>
  <c r="D20" i="5"/>
  <c r="D20" i="30" s="1"/>
  <c r="C21" i="5"/>
  <c r="C21" i="30" s="1"/>
  <c r="D21" i="5"/>
  <c r="D21" i="30" s="1"/>
  <c r="G23" i="10" s="1"/>
  <c r="I23" i="10" s="1"/>
  <c r="F21" i="1" s="1"/>
  <c r="C22" i="5"/>
  <c r="C22" i="30" s="1"/>
  <c r="F24" i="10" s="1"/>
  <c r="H24" i="10" s="1"/>
  <c r="E22" i="1" s="1"/>
  <c r="D22" i="5"/>
  <c r="D22" i="30" s="1"/>
  <c r="G24" i="10" s="1"/>
  <c r="I24" i="10" s="1"/>
  <c r="F22" i="1" s="1"/>
  <c r="C23" i="5"/>
  <c r="C23" i="30" s="1"/>
  <c r="D23" i="5"/>
  <c r="D23" i="30" s="1"/>
  <c r="D24" i="30"/>
  <c r="L17" i="30"/>
  <c r="AQ19" i="10" s="1"/>
  <c r="K17" i="30"/>
  <c r="AP19" i="10" s="1"/>
  <c r="L16" i="30"/>
  <c r="AQ18" i="10" s="1"/>
  <c r="K16" i="30"/>
  <c r="AP18" i="10" s="1"/>
  <c r="L15" i="30"/>
  <c r="AQ17" i="10" s="1"/>
  <c r="AS17" i="10" s="1"/>
  <c r="N15" i="1" s="1"/>
  <c r="K15" i="30"/>
  <c r="AP17" i="10" s="1"/>
  <c r="AR17" i="10" s="1"/>
  <c r="M15" i="1" s="1"/>
  <c r="L14" i="30"/>
  <c r="AQ16" i="10" s="1"/>
  <c r="AS16" i="10" s="1"/>
  <c r="N14" i="1" s="1"/>
  <c r="K14" i="30"/>
  <c r="AP16" i="10" s="1"/>
  <c r="AR16" i="10" s="1"/>
  <c r="M14" i="1" s="1"/>
  <c r="L13" i="30"/>
  <c r="AQ15" i="10" s="1"/>
  <c r="AS15" i="10" s="1"/>
  <c r="N13" i="1" s="1"/>
  <c r="K13" i="30"/>
  <c r="AP15" i="10" s="1"/>
  <c r="AR15" i="10" s="1"/>
  <c r="M13" i="1" s="1"/>
  <c r="L12" i="30"/>
  <c r="AQ14" i="10" s="1"/>
  <c r="K12" i="30"/>
  <c r="AP14" i="10" s="1"/>
  <c r="L11" i="30"/>
  <c r="AQ13" i="10" s="1"/>
  <c r="AS13" i="10" s="1"/>
  <c r="N11" i="1" s="1"/>
  <c r="K11" i="30"/>
  <c r="AP13" i="10" s="1"/>
  <c r="AR13" i="10" s="1"/>
  <c r="M11" i="1" s="1"/>
  <c r="L10" i="30"/>
  <c r="AQ12" i="10" s="1"/>
  <c r="AS12" i="10" s="1"/>
  <c r="N10" i="1" s="1"/>
  <c r="K10" i="30"/>
  <c r="AP12" i="10" s="1"/>
  <c r="AR12" i="10" s="1"/>
  <c r="M10" i="1" s="1"/>
  <c r="L9" i="30"/>
  <c r="AQ11" i="10" s="1"/>
  <c r="AS11" i="10" s="1"/>
  <c r="N9" i="1" s="1"/>
  <c r="K9" i="30"/>
  <c r="AP11" i="10" s="1"/>
  <c r="L8" i="30"/>
  <c r="AQ10" i="10" s="1"/>
  <c r="AS10" i="10" s="1"/>
  <c r="N8" i="1" s="1"/>
  <c r="K8" i="30"/>
  <c r="AP10" i="10" s="1"/>
  <c r="L7" i="30"/>
  <c r="AQ9" i="10" s="1"/>
  <c r="K7" i="30"/>
  <c r="AP9" i="10" s="1"/>
  <c r="L6" i="30"/>
  <c r="AQ8" i="10" s="1"/>
  <c r="K6" i="30"/>
  <c r="AP8" i="10" s="1"/>
  <c r="L5" i="30"/>
  <c r="AQ7" i="10" s="1"/>
  <c r="K5" i="30"/>
  <c r="AP7" i="10" s="1"/>
  <c r="L4" i="30"/>
  <c r="AQ6" i="10" s="1"/>
  <c r="K4" i="30"/>
  <c r="AP6" i="10" s="1"/>
  <c r="E3" i="4"/>
  <c r="J41" i="8"/>
  <c r="K41" i="8"/>
  <c r="L41" i="8"/>
  <c r="M41" i="8"/>
  <c r="N41" i="8"/>
  <c r="O41" i="8"/>
  <c r="P41" i="8"/>
  <c r="E41" i="8"/>
  <c r="F41" i="8"/>
  <c r="G41" i="8"/>
  <c r="H41" i="8"/>
  <c r="I41" i="8"/>
  <c r="C5" i="9"/>
  <c r="E5" i="30" s="1"/>
  <c r="O7" i="10" s="1"/>
  <c r="D5" i="9"/>
  <c r="F5" i="30" s="1"/>
  <c r="P7" i="10" s="1"/>
  <c r="C6" i="9"/>
  <c r="D6" i="9"/>
  <c r="C7" i="9"/>
  <c r="E7" i="30" s="1"/>
  <c r="O9" i="10" s="1"/>
  <c r="D7" i="9"/>
  <c r="F7" i="30" s="1"/>
  <c r="P9" i="10" s="1"/>
  <c r="C8" i="9"/>
  <c r="E8" i="30" s="1"/>
  <c r="O10" i="10" s="1"/>
  <c r="D8" i="9"/>
  <c r="C9" i="9"/>
  <c r="E9" i="30" s="1"/>
  <c r="O11" i="10" s="1"/>
  <c r="D9" i="9"/>
  <c r="F9" i="30" s="1"/>
  <c r="P11" i="10" s="1"/>
  <c r="C10" i="9"/>
  <c r="E10" i="30" s="1"/>
  <c r="O12" i="10" s="1"/>
  <c r="D10" i="9"/>
  <c r="F10" i="30" s="1"/>
  <c r="P12" i="10" s="1"/>
  <c r="C11" i="9"/>
  <c r="D11" i="9"/>
  <c r="F11" i="30" s="1"/>
  <c r="P13" i="10" s="1"/>
  <c r="R13" i="10" s="1"/>
  <c r="C12" i="9"/>
  <c r="E12" i="30" s="1"/>
  <c r="O14" i="10" s="1"/>
  <c r="D12" i="9"/>
  <c r="F12" i="30" s="1"/>
  <c r="P14" i="10" s="1"/>
  <c r="C13" i="9"/>
  <c r="E13" i="30" s="1"/>
  <c r="O15" i="10" s="1"/>
  <c r="D13" i="9"/>
  <c r="F13" i="30" s="1"/>
  <c r="P15" i="10" s="1"/>
  <c r="C14" i="9"/>
  <c r="D14" i="9"/>
  <c r="F14" i="30" s="1"/>
  <c r="P16" i="10" s="1"/>
  <c r="C15" i="9"/>
  <c r="E15" i="30" s="1"/>
  <c r="O17" i="10" s="1"/>
  <c r="D15" i="9"/>
  <c r="F15" i="30" s="1"/>
  <c r="P17" i="10" s="1"/>
  <c r="C16" i="9"/>
  <c r="E16" i="30" s="1"/>
  <c r="O18" i="10" s="1"/>
  <c r="D16" i="9"/>
  <c r="C17" i="9"/>
  <c r="E17" i="30" s="1"/>
  <c r="O19" i="10" s="1"/>
  <c r="D17" i="9"/>
  <c r="F17" i="30" s="1"/>
  <c r="P19" i="10" s="1"/>
  <c r="D4" i="9"/>
  <c r="F4" i="30" s="1"/>
  <c r="P6" i="10" s="1"/>
  <c r="C4" i="9"/>
  <c r="E4" i="30" s="1"/>
  <c r="O6" i="10" s="1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E41" i="9"/>
  <c r="C5" i="5"/>
  <c r="C5" i="30" s="1"/>
  <c r="F7" i="10" s="1"/>
  <c r="D5" i="5"/>
  <c r="D5" i="30" s="1"/>
  <c r="G7" i="10" s="1"/>
  <c r="C6" i="5"/>
  <c r="C6" i="30" s="1"/>
  <c r="F8" i="10" s="1"/>
  <c r="D6" i="5"/>
  <c r="D6" i="30" s="1"/>
  <c r="G8" i="10" s="1"/>
  <c r="C7" i="5"/>
  <c r="C7" i="30" s="1"/>
  <c r="F9" i="10" s="1"/>
  <c r="D7" i="5"/>
  <c r="D7" i="30" s="1"/>
  <c r="G9" i="10" s="1"/>
  <c r="C8" i="5"/>
  <c r="C8" i="30" s="1"/>
  <c r="F10" i="10" s="1"/>
  <c r="D8" i="5"/>
  <c r="D8" i="30" s="1"/>
  <c r="G10" i="10" s="1"/>
  <c r="C9" i="5"/>
  <c r="C9" i="30" s="1"/>
  <c r="F11" i="10" s="1"/>
  <c r="D9" i="5"/>
  <c r="D9" i="30" s="1"/>
  <c r="G11" i="10" s="1"/>
  <c r="C10" i="5"/>
  <c r="C10" i="30" s="1"/>
  <c r="F12" i="10" s="1"/>
  <c r="D10" i="5"/>
  <c r="D10" i="30" s="1"/>
  <c r="G12" i="10" s="1"/>
  <c r="C11" i="5"/>
  <c r="C11" i="30" s="1"/>
  <c r="F13" i="10" s="1"/>
  <c r="D11" i="5"/>
  <c r="D11" i="30" s="1"/>
  <c r="G13" i="10" s="1"/>
  <c r="C12" i="5"/>
  <c r="C12" i="30" s="1"/>
  <c r="F14" i="10" s="1"/>
  <c r="D12" i="5"/>
  <c r="D12" i="30" s="1"/>
  <c r="G14" i="10" s="1"/>
  <c r="C13" i="5"/>
  <c r="C13" i="30" s="1"/>
  <c r="F15" i="10" s="1"/>
  <c r="D13" i="5"/>
  <c r="D13" i="30" s="1"/>
  <c r="G15" i="10" s="1"/>
  <c r="C14" i="5"/>
  <c r="C14" i="30" s="1"/>
  <c r="F16" i="10" s="1"/>
  <c r="D14" i="5"/>
  <c r="D14" i="30" s="1"/>
  <c r="G16" i="10" s="1"/>
  <c r="C15" i="5"/>
  <c r="C15" i="30" s="1"/>
  <c r="F17" i="10" s="1"/>
  <c r="D15" i="5"/>
  <c r="D15" i="30" s="1"/>
  <c r="G17" i="10" s="1"/>
  <c r="C16" i="5"/>
  <c r="C16" i="30" s="1"/>
  <c r="F18" i="10" s="1"/>
  <c r="D16" i="5"/>
  <c r="D16" i="30" s="1"/>
  <c r="G18" i="10" s="1"/>
  <c r="C17" i="5"/>
  <c r="C17" i="30" s="1"/>
  <c r="F19" i="10" s="1"/>
  <c r="D17" i="5"/>
  <c r="D17" i="30" s="1"/>
  <c r="G19" i="10" s="1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E41" i="5"/>
  <c r="C5" i="7"/>
  <c r="I5" i="30" s="1"/>
  <c r="AG7" i="10" s="1"/>
  <c r="D5" i="7"/>
  <c r="J5" i="30" s="1"/>
  <c r="AH7" i="10" s="1"/>
  <c r="C6" i="7"/>
  <c r="I6" i="30" s="1"/>
  <c r="AG8" i="10" s="1"/>
  <c r="D6" i="7"/>
  <c r="J6" i="30" s="1"/>
  <c r="AH8" i="10" s="1"/>
  <c r="C7" i="7"/>
  <c r="I7" i="30" s="1"/>
  <c r="AG9" i="10" s="1"/>
  <c r="D7" i="7"/>
  <c r="J7" i="30" s="1"/>
  <c r="AH9" i="10" s="1"/>
  <c r="C8" i="7"/>
  <c r="I8" i="30" s="1"/>
  <c r="AG10" i="10" s="1"/>
  <c r="D8" i="7"/>
  <c r="J8" i="30" s="1"/>
  <c r="AH10" i="10" s="1"/>
  <c r="C9" i="7"/>
  <c r="I9" i="30" s="1"/>
  <c r="AG11" i="10" s="1"/>
  <c r="D9" i="7"/>
  <c r="J9" i="30" s="1"/>
  <c r="AH11" i="10" s="1"/>
  <c r="C10" i="7"/>
  <c r="I10" i="30" s="1"/>
  <c r="AG12" i="10" s="1"/>
  <c r="D10" i="7"/>
  <c r="J10" i="30" s="1"/>
  <c r="AH12" i="10" s="1"/>
  <c r="C11" i="7"/>
  <c r="I11" i="30" s="1"/>
  <c r="AG13" i="10" s="1"/>
  <c r="D11" i="7"/>
  <c r="J11" i="30" s="1"/>
  <c r="AH13" i="10" s="1"/>
  <c r="C12" i="7"/>
  <c r="I12" i="30" s="1"/>
  <c r="AG14" i="10" s="1"/>
  <c r="D12" i="7"/>
  <c r="J12" i="30" s="1"/>
  <c r="AH14" i="10" s="1"/>
  <c r="C13" i="7"/>
  <c r="I13" i="30" s="1"/>
  <c r="AG15" i="10" s="1"/>
  <c r="D13" i="7"/>
  <c r="J13" i="30" s="1"/>
  <c r="AH15" i="10" s="1"/>
  <c r="C14" i="7"/>
  <c r="I14" i="30" s="1"/>
  <c r="AG16" i="10" s="1"/>
  <c r="D14" i="7"/>
  <c r="J14" i="30" s="1"/>
  <c r="AH16" i="10" s="1"/>
  <c r="C15" i="7"/>
  <c r="I15" i="30" s="1"/>
  <c r="AG17" i="10" s="1"/>
  <c r="D15" i="7"/>
  <c r="J15" i="30" s="1"/>
  <c r="AH17" i="10" s="1"/>
  <c r="C16" i="7"/>
  <c r="I16" i="30" s="1"/>
  <c r="AG18" i="10" s="1"/>
  <c r="D16" i="7"/>
  <c r="J16" i="30" s="1"/>
  <c r="AH18" i="10" s="1"/>
  <c r="C17" i="7"/>
  <c r="I17" i="30" s="1"/>
  <c r="AG19" i="10" s="1"/>
  <c r="D17" i="7"/>
  <c r="J17" i="30" s="1"/>
  <c r="AH19" i="10" s="1"/>
  <c r="C5" i="8"/>
  <c r="G5" i="30" s="1"/>
  <c r="X7" i="10" s="1"/>
  <c r="D5" i="8"/>
  <c r="H5" i="30" s="1"/>
  <c r="Y7" i="10" s="1"/>
  <c r="C6" i="8"/>
  <c r="G6" i="30" s="1"/>
  <c r="X8" i="10" s="1"/>
  <c r="D6" i="8"/>
  <c r="H6" i="30" s="1"/>
  <c r="Y8" i="10" s="1"/>
  <c r="C7" i="8"/>
  <c r="G7" i="30" s="1"/>
  <c r="X9" i="10" s="1"/>
  <c r="D7" i="8"/>
  <c r="H7" i="30" s="1"/>
  <c r="Y9" i="10" s="1"/>
  <c r="C8" i="8"/>
  <c r="G8" i="30" s="1"/>
  <c r="X10" i="10" s="1"/>
  <c r="D8" i="8"/>
  <c r="H8" i="30" s="1"/>
  <c r="Y10" i="10" s="1"/>
  <c r="C9" i="8"/>
  <c r="G9" i="30" s="1"/>
  <c r="X11" i="10" s="1"/>
  <c r="D9" i="8"/>
  <c r="H9" i="30" s="1"/>
  <c r="Y11" i="10" s="1"/>
  <c r="C10" i="8"/>
  <c r="G10" i="30" s="1"/>
  <c r="X12" i="10" s="1"/>
  <c r="D10" i="8"/>
  <c r="H10" i="30" s="1"/>
  <c r="Y12" i="10" s="1"/>
  <c r="C11" i="8"/>
  <c r="G11" i="30" s="1"/>
  <c r="X13" i="10" s="1"/>
  <c r="D11" i="8"/>
  <c r="H11" i="30" s="1"/>
  <c r="Y13" i="10" s="1"/>
  <c r="C12" i="8"/>
  <c r="G12" i="30" s="1"/>
  <c r="X14" i="10" s="1"/>
  <c r="D12" i="8"/>
  <c r="H12" i="30" s="1"/>
  <c r="Y14" i="10" s="1"/>
  <c r="C13" i="8"/>
  <c r="G13" i="30" s="1"/>
  <c r="X15" i="10" s="1"/>
  <c r="D13" i="8"/>
  <c r="H13" i="30" s="1"/>
  <c r="Y15" i="10" s="1"/>
  <c r="C14" i="8"/>
  <c r="G14" i="30" s="1"/>
  <c r="X16" i="10" s="1"/>
  <c r="D14" i="8"/>
  <c r="H14" i="30" s="1"/>
  <c r="Y16" i="10" s="1"/>
  <c r="C15" i="8"/>
  <c r="G15" i="30" s="1"/>
  <c r="X17" i="10" s="1"/>
  <c r="D15" i="8"/>
  <c r="H15" i="30" s="1"/>
  <c r="Y17" i="10" s="1"/>
  <c r="C16" i="8"/>
  <c r="G16" i="30" s="1"/>
  <c r="X18" i="10" s="1"/>
  <c r="D16" i="8"/>
  <c r="H16" i="30" s="1"/>
  <c r="Y18" i="10" s="1"/>
  <c r="C17" i="8"/>
  <c r="G17" i="30" s="1"/>
  <c r="X19" i="10" s="1"/>
  <c r="D17" i="8"/>
  <c r="H17" i="30" s="1"/>
  <c r="Y19" i="10" s="1"/>
  <c r="M30" i="30" l="1"/>
  <c r="O29" i="1"/>
  <c r="M29" i="30"/>
  <c r="P35" i="1"/>
  <c r="P39" i="1"/>
  <c r="P38" i="1"/>
  <c r="O36" i="1"/>
  <c r="O35" i="1"/>
  <c r="O40" i="1"/>
  <c r="O39" i="1"/>
  <c r="O30" i="1"/>
  <c r="O31" i="1"/>
  <c r="O34" i="1"/>
  <c r="P34" i="1"/>
  <c r="O32" i="1"/>
  <c r="O28" i="10"/>
  <c r="Q28" i="10" s="1"/>
  <c r="G26" i="1" s="1"/>
  <c r="O26" i="1" s="1"/>
  <c r="M26" i="30"/>
  <c r="N28" i="30"/>
  <c r="M27" i="30"/>
  <c r="O29" i="10"/>
  <c r="Q29" i="10" s="1"/>
  <c r="G27" i="1" s="1"/>
  <c r="O27" i="1" s="1"/>
  <c r="N27" i="30"/>
  <c r="M28" i="30"/>
  <c r="G30" i="10"/>
  <c r="I30" i="10" s="1"/>
  <c r="F28" i="1" s="1"/>
  <c r="P28" i="1" s="1"/>
  <c r="M25" i="30"/>
  <c r="G29" i="10"/>
  <c r="I29" i="10" s="1"/>
  <c r="F27" i="1" s="1"/>
  <c r="P27" i="1" s="1"/>
  <c r="N25" i="30"/>
  <c r="N26" i="30"/>
  <c r="G28" i="10"/>
  <c r="I28" i="10" s="1"/>
  <c r="F26" i="1" s="1"/>
  <c r="P26" i="1" s="1"/>
  <c r="O25" i="1"/>
  <c r="O28" i="1"/>
  <c r="P25" i="1"/>
  <c r="M18" i="30"/>
  <c r="M22" i="30"/>
  <c r="N18" i="30"/>
  <c r="P22" i="1"/>
  <c r="P21" i="1"/>
  <c r="M19" i="30"/>
  <c r="N19" i="30"/>
  <c r="N23" i="30"/>
  <c r="G25" i="10"/>
  <c r="I25" i="10" s="1"/>
  <c r="F23" i="1" s="1"/>
  <c r="P23" i="1" s="1"/>
  <c r="M21" i="30"/>
  <c r="F23" i="10"/>
  <c r="H23" i="10" s="1"/>
  <c r="E21" i="1" s="1"/>
  <c r="O21" i="1" s="1"/>
  <c r="N20" i="30"/>
  <c r="G22" i="10"/>
  <c r="I22" i="10" s="1"/>
  <c r="F20" i="1" s="1"/>
  <c r="P20" i="1" s="1"/>
  <c r="M23" i="30"/>
  <c r="F25" i="10"/>
  <c r="H25" i="10" s="1"/>
  <c r="E23" i="1" s="1"/>
  <c r="O23" i="1" s="1"/>
  <c r="N24" i="30"/>
  <c r="G26" i="10"/>
  <c r="I26" i="10" s="1"/>
  <c r="F24" i="1" s="1"/>
  <c r="P24" i="1" s="1"/>
  <c r="G21" i="10"/>
  <c r="I21" i="10" s="1"/>
  <c r="F19" i="1" s="1"/>
  <c r="P19" i="1" s="1"/>
  <c r="F21" i="10"/>
  <c r="H21" i="10" s="1"/>
  <c r="E19" i="1" s="1"/>
  <c r="O19" i="1" s="1"/>
  <c r="F20" i="10"/>
  <c r="H20" i="10" s="1"/>
  <c r="E18" i="1" s="1"/>
  <c r="O18" i="1" s="1"/>
  <c r="M24" i="30"/>
  <c r="O22" i="1"/>
  <c r="O20" i="1"/>
  <c r="O24" i="1"/>
  <c r="M20" i="30"/>
  <c r="G20" i="10"/>
  <c r="I20" i="10" s="1"/>
  <c r="F18" i="1" s="1"/>
  <c r="P18" i="1" s="1"/>
  <c r="N21" i="30"/>
  <c r="N22" i="30"/>
  <c r="Q10" i="10"/>
  <c r="G8" i="1" s="1"/>
  <c r="Q15" i="10"/>
  <c r="G13" i="1" s="1"/>
  <c r="R17" i="10"/>
  <c r="H15" i="1" s="1"/>
  <c r="Q14" i="10"/>
  <c r="G12" i="1" s="1"/>
  <c r="N12" i="30"/>
  <c r="N11" i="30"/>
  <c r="N15" i="30"/>
  <c r="M13" i="30"/>
  <c r="M9" i="30"/>
  <c r="M12" i="30"/>
  <c r="M10" i="30"/>
  <c r="E6" i="30"/>
  <c r="N17" i="30"/>
  <c r="N9" i="30"/>
  <c r="F6" i="30"/>
  <c r="P8" i="10" s="1"/>
  <c r="R8" i="10" s="1"/>
  <c r="H6" i="1" s="1"/>
  <c r="F8" i="30"/>
  <c r="P10" i="10" s="1"/>
  <c r="R10" i="10" s="1"/>
  <c r="H8" i="1" s="1"/>
  <c r="M16" i="30"/>
  <c r="M5" i="30"/>
  <c r="M17" i="30"/>
  <c r="N10" i="30"/>
  <c r="M8" i="30"/>
  <c r="M7" i="30"/>
  <c r="F16" i="30"/>
  <c r="N14" i="30"/>
  <c r="E14" i="30"/>
  <c r="O16" i="10" s="1"/>
  <c r="Q16" i="10" s="1"/>
  <c r="G14" i="1" s="1"/>
  <c r="N13" i="30"/>
  <c r="N5" i="30"/>
  <c r="N7" i="30"/>
  <c r="E11" i="30"/>
  <c r="M15" i="30"/>
  <c r="AR7" i="10"/>
  <c r="M5" i="1" s="1"/>
  <c r="AR8" i="10"/>
  <c r="M6" i="1" s="1"/>
  <c r="R15" i="10"/>
  <c r="H13" i="1" s="1"/>
  <c r="AS8" i="10"/>
  <c r="N6" i="1" s="1"/>
  <c r="AS14" i="10"/>
  <c r="N12" i="1" s="1"/>
  <c r="AR14" i="10"/>
  <c r="M12" i="1" s="1"/>
  <c r="AS18" i="10"/>
  <c r="N16" i="1" s="1"/>
  <c r="AS7" i="10"/>
  <c r="N5" i="1" s="1"/>
  <c r="AR10" i="10"/>
  <c r="M8" i="1" s="1"/>
  <c r="R16" i="10"/>
  <c r="H14" i="1" s="1"/>
  <c r="AR18" i="10"/>
  <c r="M16" i="1" s="1"/>
  <c r="Q18" i="10"/>
  <c r="G16" i="1" s="1"/>
  <c r="Z11" i="10"/>
  <c r="I9" i="1" s="1"/>
  <c r="Q12" i="10"/>
  <c r="G10" i="1" s="1"/>
  <c r="AR11" i="10"/>
  <c r="M9" i="1" s="1"/>
  <c r="R7" i="10"/>
  <c r="H5" i="1" s="1"/>
  <c r="R19" i="10"/>
  <c r="H17" i="1" s="1"/>
  <c r="R11" i="10"/>
  <c r="H9" i="1" s="1"/>
  <c r="AS19" i="10"/>
  <c r="N17" i="1" s="1"/>
  <c r="AR19" i="10"/>
  <c r="M17" i="1" s="1"/>
  <c r="Q7" i="10"/>
  <c r="G5" i="1" s="1"/>
  <c r="R14" i="10"/>
  <c r="H12" i="1" s="1"/>
  <c r="Q19" i="10"/>
  <c r="G17" i="1" s="1"/>
  <c r="Q11" i="10"/>
  <c r="G9" i="1" s="1"/>
  <c r="Q17" i="10"/>
  <c r="G15" i="1" s="1"/>
  <c r="AJ10" i="10"/>
  <c r="L8" i="1" s="1"/>
  <c r="AJ17" i="10"/>
  <c r="L15" i="1" s="1"/>
  <c r="AJ13" i="10"/>
  <c r="L11" i="1" s="1"/>
  <c r="AJ14" i="10"/>
  <c r="L12" i="1" s="1"/>
  <c r="AA18" i="10"/>
  <c r="J16" i="1" s="1"/>
  <c r="Z19" i="10"/>
  <c r="I17" i="1" s="1"/>
  <c r="AA7" i="10"/>
  <c r="J5" i="1" s="1"/>
  <c r="R12" i="10"/>
  <c r="H10" i="1" s="1"/>
  <c r="AA15" i="10"/>
  <c r="J13" i="1" s="1"/>
  <c r="AA16" i="10"/>
  <c r="J14" i="1" s="1"/>
  <c r="Z12" i="10"/>
  <c r="I10" i="1" s="1"/>
  <c r="AI19" i="10"/>
  <c r="K17" i="1" s="1"/>
  <c r="AI16" i="10"/>
  <c r="K14" i="1" s="1"/>
  <c r="AI11" i="10"/>
  <c r="K9" i="1" s="1"/>
  <c r="AI7" i="10"/>
  <c r="K5" i="1" s="1"/>
  <c r="H10" i="10"/>
  <c r="E8" i="1" s="1"/>
  <c r="AI13" i="10"/>
  <c r="K11" i="1" s="1"/>
  <c r="AI12" i="10"/>
  <c r="K10" i="1" s="1"/>
  <c r="AA19" i="10"/>
  <c r="J17" i="1" s="1"/>
  <c r="AA11" i="10"/>
  <c r="J9" i="1" s="1"/>
  <c r="AI10" i="10"/>
  <c r="K8" i="1" s="1"/>
  <c r="AI18" i="10"/>
  <c r="K16" i="1" s="1"/>
  <c r="AI15" i="10"/>
  <c r="K13" i="1" s="1"/>
  <c r="AJ12" i="10"/>
  <c r="L10" i="1" s="1"/>
  <c r="AJ19" i="10"/>
  <c r="L17" i="1" s="1"/>
  <c r="AJ11" i="10"/>
  <c r="L9" i="1" s="1"/>
  <c r="AJ18" i="10"/>
  <c r="L16" i="1" s="1"/>
  <c r="AA14" i="10"/>
  <c r="J12" i="1" s="1"/>
  <c r="AA12" i="10"/>
  <c r="J10" i="1" s="1"/>
  <c r="Z13" i="10"/>
  <c r="I11" i="1" s="1"/>
  <c r="AA10" i="10"/>
  <c r="J8" i="1" s="1"/>
  <c r="Z18" i="10"/>
  <c r="I16" i="1" s="1"/>
  <c r="Z10" i="10"/>
  <c r="I8" i="1" s="1"/>
  <c r="Z15" i="10"/>
  <c r="I13" i="1" s="1"/>
  <c r="Z16" i="10"/>
  <c r="I14" i="1" s="1"/>
  <c r="Z8" i="10"/>
  <c r="I6" i="1" s="1"/>
  <c r="AA17" i="10"/>
  <c r="J15" i="1" s="1"/>
  <c r="AA8" i="10"/>
  <c r="J6" i="1" s="1"/>
  <c r="Z17" i="10"/>
  <c r="I15" i="1" s="1"/>
  <c r="AI17" i="10"/>
  <c r="K15" i="1" s="1"/>
  <c r="AA13" i="10"/>
  <c r="J11" i="1" s="1"/>
  <c r="AJ15" i="10"/>
  <c r="L13" i="1" s="1"/>
  <c r="AJ7" i="10"/>
  <c r="L5" i="1" s="1"/>
  <c r="I15" i="10"/>
  <c r="F13" i="1" s="1"/>
  <c r="I14" i="10"/>
  <c r="F12" i="1" s="1"/>
  <c r="H14" i="10"/>
  <c r="E12" i="1" s="1"/>
  <c r="I13" i="10"/>
  <c r="F11" i="1" s="1"/>
  <c r="I11" i="10"/>
  <c r="F9" i="1" s="1"/>
  <c r="I10" i="10"/>
  <c r="F8" i="1" s="1"/>
  <c r="H18" i="10"/>
  <c r="E16" i="1" s="1"/>
  <c r="I16" i="10"/>
  <c r="F14" i="1" s="1"/>
  <c r="I18" i="10"/>
  <c r="F16" i="1" s="1"/>
  <c r="I17" i="10"/>
  <c r="F15" i="1" s="1"/>
  <c r="H15" i="10"/>
  <c r="E13" i="1" s="1"/>
  <c r="H16" i="10"/>
  <c r="E14" i="1" s="1"/>
  <c r="H17" i="10"/>
  <c r="E15" i="1" s="1"/>
  <c r="I19" i="10"/>
  <c r="F17" i="1" s="1"/>
  <c r="I12" i="10"/>
  <c r="F10" i="1" s="1"/>
  <c r="H12" i="10"/>
  <c r="E10" i="1" s="1"/>
  <c r="H19" i="10"/>
  <c r="E17" i="1" s="1"/>
  <c r="H13" i="10"/>
  <c r="E11" i="1" s="1"/>
  <c r="H11" i="10"/>
  <c r="E9" i="1" s="1"/>
  <c r="H8" i="10"/>
  <c r="E6" i="1" s="1"/>
  <c r="I8" i="10"/>
  <c r="F6" i="1" s="1"/>
  <c r="I7" i="10"/>
  <c r="F5" i="1" s="1"/>
  <c r="H7" i="10"/>
  <c r="E5" i="1" s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N6" i="30" l="1"/>
  <c r="N16" i="30"/>
  <c r="P18" i="10"/>
  <c r="R18" i="10" s="1"/>
  <c r="H16" i="1" s="1"/>
  <c r="P16" i="1" s="1"/>
  <c r="N8" i="30"/>
  <c r="M11" i="30"/>
  <c r="O13" i="10"/>
  <c r="Q13" i="10" s="1"/>
  <c r="G11" i="1" s="1"/>
  <c r="O11" i="1" s="1"/>
  <c r="M14" i="30"/>
  <c r="M6" i="30"/>
  <c r="O8" i="10"/>
  <c r="Q8" i="10" s="1"/>
  <c r="G6" i="1" s="1"/>
  <c r="AI8" i="10"/>
  <c r="K6" i="1" s="1"/>
  <c r="AR9" i="10"/>
  <c r="M7" i="1" s="1"/>
  <c r="AS9" i="10"/>
  <c r="N7" i="1" s="1"/>
  <c r="Z14" i="10"/>
  <c r="I12" i="1" s="1"/>
  <c r="O10" i="1"/>
  <c r="K30" i="4" s="1"/>
  <c r="Z7" i="10"/>
  <c r="I5" i="1" s="1"/>
  <c r="O5" i="1" s="1"/>
  <c r="H11" i="1"/>
  <c r="P11" i="1" s="1"/>
  <c r="AI14" i="10"/>
  <c r="K12" i="1" s="1"/>
  <c r="O9" i="1"/>
  <c r="P15" i="1"/>
  <c r="O8" i="1"/>
  <c r="AJ16" i="10"/>
  <c r="L14" i="1" s="1"/>
  <c r="P14" i="1" s="1"/>
  <c r="AJ8" i="10"/>
  <c r="L6" i="1" s="1"/>
  <c r="P6" i="1" s="1"/>
  <c r="O16" i="1"/>
  <c r="O14" i="1"/>
  <c r="P10" i="1"/>
  <c r="J30" i="4" s="1"/>
  <c r="O17" i="1"/>
  <c r="P8" i="1"/>
  <c r="P9" i="1"/>
  <c r="P17" i="1"/>
  <c r="O13" i="1"/>
  <c r="P12" i="1"/>
  <c r="P13" i="1"/>
  <c r="O15" i="1"/>
  <c r="P5" i="1"/>
  <c r="D113" i="21"/>
  <c r="Y84" i="21"/>
  <c r="G112" i="21"/>
  <c r="F112" i="21"/>
  <c r="E112" i="21"/>
  <c r="D112" i="21" s="1"/>
  <c r="J112" i="21"/>
  <c r="O6" i="1" l="1"/>
  <c r="O12" i="1"/>
  <c r="AA84" i="21"/>
  <c r="Z84" i="21"/>
  <c r="AR6" i="10" l="1"/>
  <c r="M4" i="1" s="1"/>
  <c r="AS6" i="10"/>
  <c r="N4" i="1" s="1"/>
  <c r="C4" i="7"/>
  <c r="I4" i="30" s="1"/>
  <c r="AG6" i="10" s="1"/>
  <c r="D4" i="7"/>
  <c r="J4" i="30" s="1"/>
  <c r="AH6" i="10" s="1"/>
  <c r="C4" i="8"/>
  <c r="G4" i="30" s="1"/>
  <c r="X6" i="10" s="1"/>
  <c r="D4" i="8"/>
  <c r="H4" i="30" s="1"/>
  <c r="Y6" i="10" s="1"/>
  <c r="C4" i="5"/>
  <c r="C4" i="30" s="1"/>
  <c r="F6" i="10" s="1"/>
  <c r="D4" i="5"/>
  <c r="D4" i="30" s="1"/>
  <c r="G6" i="10" s="1"/>
  <c r="E45" i="21"/>
  <c r="J111" i="21"/>
  <c r="F45" i="21"/>
  <c r="N4" i="30" l="1"/>
  <c r="M4" i="30"/>
  <c r="H9" i="10"/>
  <c r="E7" i="1" s="1"/>
  <c r="J110" i="21"/>
  <c r="G45" i="21"/>
  <c r="AI6" i="10" l="1"/>
  <c r="K4" i="1" s="1"/>
  <c r="AI9" i="10"/>
  <c r="K7" i="1" s="1"/>
  <c r="AJ6" i="10"/>
  <c r="L4" i="1" s="1"/>
  <c r="AJ9" i="10"/>
  <c r="L7" i="1" s="1"/>
  <c r="I6" i="10"/>
  <c r="F4" i="1" s="1"/>
  <c r="I9" i="10"/>
  <c r="F7" i="1" s="1"/>
  <c r="Q6" i="10"/>
  <c r="G4" i="1" s="1"/>
  <c r="Q9" i="10"/>
  <c r="G7" i="1" s="1"/>
  <c r="R6" i="10"/>
  <c r="H4" i="1" s="1"/>
  <c r="R9" i="10"/>
  <c r="H7" i="1" s="1"/>
  <c r="Z6" i="10"/>
  <c r="I4" i="1" s="1"/>
  <c r="Z9" i="10"/>
  <c r="I7" i="1" s="1"/>
  <c r="AA6" i="10"/>
  <c r="J4" i="1" s="1"/>
  <c r="AA9" i="10"/>
  <c r="J7" i="1" s="1"/>
  <c r="H6" i="10"/>
  <c r="E4" i="1" s="1"/>
  <c r="L30" i="4"/>
  <c r="L32" i="4"/>
  <c r="L31" i="4"/>
  <c r="L29" i="4"/>
  <c r="L28" i="4"/>
  <c r="E31" i="4"/>
  <c r="E30" i="4"/>
  <c r="E29" i="4"/>
  <c r="E28" i="4"/>
  <c r="P4" i="1" l="1"/>
  <c r="O7" i="1"/>
  <c r="P7" i="1"/>
  <c r="O4" i="1"/>
  <c r="L24" i="4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<sst xmlns="http://schemas.openxmlformats.org/spreadsheetml/2006/main" count="2070" uniqueCount="402">
  <si>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</si>
  <si>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</si>
  <si>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</si>
  <si>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</si>
  <si>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</si>
  <si>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</si>
  <si>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</si>
  <si>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</si>
  <si>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</si>
  <si>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</si>
  <si>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</si>
  <si>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</si>
  <si>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</si>
  <si>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</si>
  <si>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</si>
  <si>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</si>
  <si>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</si>
  <si>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</si>
  <si>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</si>
  <si>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</si>
  <si>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</si>
  <si>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</si>
  <si>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</si>
  <si>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</si>
  <si>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</si>
  <si>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CAZORLA Santiago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</si>
  <si>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</si>
  <si>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</si>
  <si>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</si>
  <si>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</si>
  <si>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</si>
  <si>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</si>
  <si>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</si>
  <si>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</si>
  <si>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</si>
  <si>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</si>
  <si>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</si>
  <si>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</si>
  <si>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</si>
  <si>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</si>
  <si>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</si>
  <si>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</si>
  <si>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</si>
  <si>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</si>
  <si>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</si>
  <si>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</si>
  <si>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</si>
  <si>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</si>
  <si>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</si>
  <si>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</si>
  <si>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</si>
  <si>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</si>
  <si>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</si>
  <si>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</si>
  <si>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</si>
  <si>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</si>
  <si>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</si>
  <si>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</si>
  <si>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</si>
  <si>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</si>
  <si>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</si>
  <si>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</si>
  <si>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</si>
  <si>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</si>
  <si>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</si>
  <si>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</si>
  <si>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</si>
  <si>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</si>
  <si>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</si>
  <si>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</si>
  <si>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</si>
  <si>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</si>
  <si>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</si>
  <si>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</si>
  <si>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</si>
  <si>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</si>
  <si>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</si>
  <si>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</si>
  <si>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</si>
  <si>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</si>
  <si>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</si>
  <si>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</si>
  <si>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</si>
  <si>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</si>
  <si>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</si>
  <si>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</si>
  <si>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</si>
  <si>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A</t>
  </si>
  <si>
    <t>G</t>
  </si>
  <si>
    <t>FINAL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</si>
  <si>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</si>
  <si>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</si>
  <si>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</si>
  <si>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</si>
  <si>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</si>
  <si>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</si>
  <si>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</si>
  <si>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</si>
  <si>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Σ A</t>
  </si>
  <si>
    <t>Σ G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</si>
  <si>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</si>
  <si>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</si>
  <si>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</si>
  <si>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</si>
  <si>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</si>
  <si>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</si>
  <si>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</si>
  <si>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</si>
  <si>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</si>
  <si>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</si>
  <si>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</si>
  <si>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</si>
  <si>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</si>
  <si>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</si>
  <si>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</si>
  <si>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</si>
  <si>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</si>
  <si>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</si>
  <si>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</si>
  <si>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</si>
  <si>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</si>
  <si>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</si>
  <si>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</si>
  <si>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</si>
  <si>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</si>
  <si>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</si>
  <si>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</si>
  <si>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</si>
  <si>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</si>
  <si>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</si>
  <si>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</si>
  <si>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</si>
  <si>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</si>
  <si>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</si>
  <si>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</si>
  <si>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</si>
  <si>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</si>
  <si>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</si>
  <si>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AUBAMAYANG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</si>
  <si>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</si>
  <si>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</si>
  <si>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</si>
  <si>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</si>
  <si>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</si>
  <si>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</si>
  <si>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</si>
  <si>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</si>
  <si>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</si>
  <si>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</si>
  <si>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</si>
  <si>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</si>
  <si>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</si>
  <si>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</si>
  <si>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</si>
  <si>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</si>
  <si>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</si>
  <si>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</si>
  <si>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</si>
  <si>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</si>
  <si>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</si>
  <si>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</si>
  <si>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</si>
  <si>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</si>
  <si>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</si>
  <si>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</si>
  <si>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</si>
  <si>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</si>
  <si>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</si>
  <si>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</si>
  <si>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</si>
  <si>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</si>
  <si>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</si>
  <si>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</si>
  <si>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</si>
  <si>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</si>
  <si>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</si>
  <si>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</si>
  <si>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</si>
  <si>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</si>
  <si>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</si>
  <si>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PAPASTATOPULOS Sokratis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</si>
  <si>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</si>
  <si>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</si>
  <si>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</si>
  <si>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</si>
  <si>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</si>
  <si>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</si>
  <si>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</si>
  <si>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</si>
  <si>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</si>
  <si>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</si>
  <si>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</si>
  <si>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</si>
  <si>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</si>
  <si>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</si>
  <si>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</si>
  <si>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</si>
  <si>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</si>
  <si>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</si>
  <si>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</si>
  <si>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</si>
  <si>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</si>
  <si>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</si>
  <si>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</si>
  <si>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</si>
  <si>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</si>
  <si>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</si>
  <si>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</si>
  <si>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</si>
  <si>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</si>
  <si>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</si>
  <si>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</si>
  <si>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</si>
  <si>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</si>
  <si>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</si>
  <si>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</si>
  <si>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</si>
  <si>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</si>
  <si>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</si>
  <si>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</si>
  <si>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</si>
  <si>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</si>
  <si>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</si>
  <si>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</si>
  <si>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</si>
  <si>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</si>
  <si>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</si>
  <si>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</si>
  <si>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</si>
  <si>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</si>
  <si>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</si>
  <si>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</si>
  <si>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</si>
  <si>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</si>
  <si>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</si>
  <si>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</si>
  <si>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</si>
  <si>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</si>
  <si>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</si>
  <si>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</si>
  <si>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</si>
  <si>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</si>
  <si>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</si>
  <si>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</si>
  <si>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</si>
  <si>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</si>
  <si>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</si>
  <si>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</si>
  <si>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</si>
  <si>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</si>
  <si>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</si>
  <si>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</si>
  <si>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</si>
  <si>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</si>
  <si>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</si>
  <si>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</si>
  <si>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</si>
  <si>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</si>
  <si>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</si>
  <si>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</si>
  <si>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</si>
  <si>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</si>
  <si>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</si>
  <si>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</si>
  <si>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</si>
  <si>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</si>
  <si>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</si>
  <si>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</si>
  <si>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</si>
  <si>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</si>
  <si>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</si>
  <si>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</si>
  <si>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</si>
  <si>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</si>
  <si>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</si>
  <si>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</si>
  <si>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</si>
  <si>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</si>
  <si>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</si>
  <si>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</si>
  <si>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</si>
  <si>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</si>
  <si>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</si>
  <si>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</si>
  <si>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</si>
  <si>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</si>
  <si>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</si>
  <si>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</si>
  <si>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SAGOE Charles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</si>
  <si>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</si>
  <si>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</si>
  <si>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</si>
  <si>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</si>
  <si>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</si>
  <si>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</si>
  <si>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</si>
  <si>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</si>
  <si>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</si>
  <si>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</si>
  <si>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</si>
  <si>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</si>
  <si>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</si>
  <si>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</si>
  <si>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</si>
  <si>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</si>
  <si>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</si>
  <si>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</si>
  <si>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</si>
  <si>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</si>
  <si>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</si>
  <si>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</si>
  <si>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</si>
  <si>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</si>
  <si>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</si>
  <si>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</si>
  <si>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</si>
  <si>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</si>
  <si>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</si>
  <si>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</si>
  <si>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</si>
  <si>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</si>
  <si>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</si>
  <si>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</si>
  <si>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</si>
  <si>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</si>
  <si>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</si>
  <si>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</si>
  <si>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</si>
  <si>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</si>
  <si>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</si>
  <si>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</si>
  <si>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</si>
  <si>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</si>
  <si>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</si>
  <si>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</si>
  <si>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</si>
  <si>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</si>
  <si>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</si>
  <si>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</si>
  <si>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</si>
  <si>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</si>
  <si>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</si>
  <si>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</si>
  <si>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</si>
  <si>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</si>
  <si>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</si>
  <si>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</si>
  <si>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</si>
  <si>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</si>
  <si>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</si>
  <si>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</si>
  <si>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</si>
  <si>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</si>
  <si>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</si>
  <si>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</si>
  <si>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</si>
  <si>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</si>
  <si>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</si>
  <si>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</si>
  <si>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</si>
  <si>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</si>
  <si>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</si>
  <si>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</si>
  <si>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</si>
  <si>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</si>
  <si>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</si>
  <si>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</si>
  <si>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</si>
  <si>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</si>
  <si>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</si>
  <si>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</si>
  <si>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</si>
  <si>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</si>
  <si>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</si>
  <si>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</si>
  <si>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</si>
  <si>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</si>
  <si>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</si>
  <si>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</si>
  <si>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</si>
  <si>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</si>
  <si>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</si>
  <si>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</si>
  <si>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</si>
  <si>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</si>
  <si>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</si>
  <si>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</si>
  <si>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</si>
  <si>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</si>
  <si>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</si>
  <si>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JAP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</si>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</sst>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color rgb="FF006100"/>
      <name val="Segoe UI"/>
      <family val="2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7F7F7F"/>
      </right>
      <top style="medium">
        <color auto="1"/>
      </top>
      <bottom/>
      <diagonal/>
    </border>
    <border>
      <left style="thin">
        <color rgb="FF7F7F7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6" applyNumberFormat="0" applyAlignment="0" applyProtection="0"/>
    <xf numFmtId="0" fontId="7" fillId="9" borderId="17" applyNumberFormat="0" applyAlignment="0" applyProtection="0"/>
    <xf numFmtId="0" fontId="2" fillId="10" borderId="18" applyNumberFormat="0" applyFont="0" applyAlignment="0" applyProtection="0"/>
  </cellStyleXfs>
  <cellXfs count="334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6" xfId="4" applyAlignment="1">
      <alignment horizontal="center" vertical="center"/>
    </xf>
    <xf numFmtId="0" fontId="6" fillId="8" borderId="16" xfId="4"/>
    <xf numFmtId="0" fontId="0" fillId="0" borderId="25" xfId="0" applyBorder="1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5" fillId="7" borderId="34" xfId="3" applyBorder="1" applyAlignment="1">
      <alignment horizontal="center"/>
    </xf>
    <xf numFmtId="0" fontId="5" fillId="7" borderId="35" xfId="3" applyBorder="1" applyAlignment="1">
      <alignment horizontal="center"/>
    </xf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10" xfId="1" applyFont="1" applyFill="1" applyBorder="1" applyAlignment="1">
      <alignment horizontal="center" vertical="center"/>
    </xf>
    <xf numFmtId="0" fontId="13" fillId="0" borderId="10" xfId="3" applyFont="1" applyFill="1" applyBorder="1" applyAlignment="1">
      <alignment horizontal="center" vertical="center"/>
    </xf>
    <xf numFmtId="0" fontId="13" fillId="0" borderId="0" xfId="2" applyFont="1" applyFill="1"/>
    <xf numFmtId="0" fontId="2" fillId="0" borderId="0" xfId="0" applyFont="1"/>
    <xf numFmtId="0" fontId="13" fillId="0" borderId="0" xfId="3" applyFont="1" applyFill="1"/>
    <xf numFmtId="0" fontId="3" fillId="0" borderId="10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/>
    </xf>
    <xf numFmtId="0" fontId="3" fillId="0" borderId="15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6" fillId="0" borderId="10" xfId="4" applyFill="1" applyBorder="1" applyAlignment="1">
      <alignment horizontal="center" vertical="center"/>
    </xf>
    <xf numFmtId="0" fontId="5" fillId="7" borderId="41" xfId="3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1" fillId="0" borderId="15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4" fillId="6" borderId="14" xfId="2" applyBorder="1" applyAlignment="1">
      <alignment horizontal="center"/>
    </xf>
    <xf numFmtId="0" fontId="4" fillId="6" borderId="15" xfId="2" applyBorder="1" applyAlignment="1">
      <alignment horizontal="center"/>
    </xf>
    <xf numFmtId="0" fontId="5" fillId="7" borderId="7" xfId="3" applyBorder="1" applyAlignment="1">
      <alignment horizontal="center"/>
    </xf>
    <xf numFmtId="0" fontId="0" fillId="0" borderId="9" xfId="0" applyBorder="1"/>
    <xf numFmtId="0" fontId="6" fillId="0" borderId="19" xfId="4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 vertical="center"/>
    </xf>
    <xf numFmtId="0" fontId="11" fillId="0" borderId="10" xfId="3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6" xfId="4" applyAlignment="1">
      <alignment horizontal="center"/>
    </xf>
    <xf numFmtId="0" fontId="7" fillId="9" borderId="9" xfId="5" applyBorder="1" applyAlignment="1">
      <alignment horizontal="center" vertical="center"/>
    </xf>
    <xf numFmtId="0" fontId="0" fillId="0" borderId="14" xfId="0" applyBorder="1"/>
    <xf numFmtId="0" fontId="6" fillId="8" borderId="16" xfId="4" applyAlignment="1"/>
    <xf numFmtId="0" fontId="7" fillId="9" borderId="1" xfId="5" applyBorder="1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56" xfId="0" applyFont="1" applyBorder="1"/>
    <xf numFmtId="0" fontId="4" fillId="6" borderId="20" xfId="2" applyBorder="1" applyAlignment="1">
      <alignment horizontal="center" vertical="center"/>
    </xf>
    <xf numFmtId="0" fontId="13" fillId="0" borderId="20" xfId="1" applyFont="1" applyFill="1" applyBorder="1" applyAlignment="1">
      <alignment horizontal="center" vertical="center"/>
    </xf>
    <xf numFmtId="0" fontId="11" fillId="0" borderId="9" xfId="2" applyFont="1" applyFill="1" applyBorder="1"/>
    <xf numFmtId="0" fontId="6" fillId="8" borderId="2" xfId="4" applyBorder="1"/>
    <xf numFmtId="0" fontId="0" fillId="0" borderId="15" xfId="0" applyBorder="1"/>
    <xf numFmtId="0" fontId="18" fillId="0" borderId="57" xfId="0" applyFont="1" applyBorder="1"/>
    <xf numFmtId="0" fontId="18" fillId="0" borderId="58" xfId="0" applyFont="1" applyBorder="1"/>
    <xf numFmtId="0" fontId="6" fillId="8" borderId="45" xfId="4" applyBorder="1"/>
    <xf numFmtId="0" fontId="6" fillId="8" borderId="55" xfId="4" applyBorder="1"/>
    <xf numFmtId="0" fontId="6" fillId="8" borderId="46" xfId="4" applyBorder="1"/>
    <xf numFmtId="0" fontId="0" fillId="0" borderId="7" xfId="0" applyBorder="1"/>
    <xf numFmtId="0" fontId="18" fillId="0" borderId="59" xfId="0" applyFont="1" applyBorder="1"/>
    <xf numFmtId="0" fontId="6" fillId="8" borderId="60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52" xfId="0" applyFont="1" applyFill="1" applyBorder="1"/>
    <xf numFmtId="0" fontId="21" fillId="12" borderId="54" xfId="2" applyFont="1" applyFill="1" applyBorder="1"/>
    <xf numFmtId="0" fontId="21" fillId="12" borderId="54" xfId="0" applyFont="1" applyFill="1" applyBorder="1"/>
    <xf numFmtId="0" fontId="20" fillId="0" borderId="14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4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45" xfId="0" applyFont="1" applyBorder="1"/>
    <xf numFmtId="0" fontId="21" fillId="0" borderId="55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31" xfId="0" applyFont="1" applyBorder="1"/>
    <xf numFmtId="0" fontId="21" fillId="0" borderId="5" xfId="0" applyFont="1" applyBorder="1"/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18" fillId="0" borderId="64" xfId="0" applyFont="1" applyBorder="1"/>
    <xf numFmtId="0" fontId="18" fillId="0" borderId="65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5" xfId="1" applyFill="1" applyBorder="1"/>
    <xf numFmtId="0" fontId="11" fillId="0" borderId="15" xfId="2" applyFont="1" applyFill="1" applyBorder="1"/>
    <xf numFmtId="0" fontId="16" fillId="0" borderId="0" xfId="0" applyFont="1"/>
    <xf numFmtId="0" fontId="16" fillId="0" borderId="20" xfId="0" applyFont="1" applyBorder="1"/>
    <xf numFmtId="0" fontId="18" fillId="0" borderId="61" xfId="1" applyFont="1" applyFill="1" applyBorder="1"/>
    <xf numFmtId="0" fontId="18" fillId="0" borderId="6" xfId="1" applyFont="1" applyFill="1" applyBorder="1"/>
    <xf numFmtId="0" fontId="0" fillId="0" borderId="52" xfId="0" applyBorder="1"/>
    <xf numFmtId="0" fontId="0" fillId="0" borderId="54" xfId="0" applyBorder="1"/>
    <xf numFmtId="0" fontId="0" fillId="0" borderId="53" xfId="0" applyBorder="1"/>
    <xf numFmtId="0" fontId="6" fillId="8" borderId="66" xfId="4" applyBorder="1"/>
    <xf numFmtId="0" fontId="20" fillId="12" borderId="1" xfId="0" applyFont="1" applyFill="1" applyBorder="1"/>
    <xf numFmtId="0" fontId="0" fillId="0" borderId="68" xfId="0" applyBorder="1"/>
    <xf numFmtId="0" fontId="3" fillId="0" borderId="1" xfId="1" applyFill="1" applyBorder="1"/>
    <xf numFmtId="0" fontId="11" fillId="0" borderId="1" xfId="2" applyFont="1" applyFill="1" applyBorder="1"/>
    <xf numFmtId="0" fontId="13" fillId="0" borderId="20" xfId="2" applyFont="1" applyFill="1" applyBorder="1" applyAlignment="1">
      <alignment horizontal="center" vertical="center"/>
    </xf>
    <xf numFmtId="0" fontId="3" fillId="0" borderId="20" xfId="1" applyFill="1" applyBorder="1" applyAlignment="1">
      <alignment horizontal="center"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7" xfId="0" applyFont="1" applyFill="1" applyBorder="1"/>
    <xf numFmtId="0" fontId="20" fillId="12" borderId="72" xfId="0" applyFont="1" applyFill="1" applyBorder="1"/>
    <xf numFmtId="0" fontId="20" fillId="12" borderId="47" xfId="0" applyFont="1" applyFill="1" applyBorder="1"/>
    <xf numFmtId="0" fontId="20" fillId="0" borderId="52" xfId="0" applyFont="1" applyBorder="1"/>
    <xf numFmtId="0" fontId="21" fillId="0" borderId="54" xfId="0" applyFont="1" applyBorder="1"/>
    <xf numFmtId="0" fontId="17" fillId="0" borderId="0" xfId="0" applyFont="1" applyAlignment="1">
      <alignment vertical="center"/>
    </xf>
    <xf numFmtId="0" fontId="21" fillId="12" borderId="71" xfId="2" applyFont="1" applyFill="1" applyBorder="1"/>
    <xf numFmtId="0" fontId="21" fillId="12" borderId="2" xfId="0" applyFont="1" applyFill="1" applyBorder="1"/>
    <xf numFmtId="0" fontId="21" fillId="0" borderId="42" xfId="0" applyFont="1" applyBorder="1"/>
    <xf numFmtId="0" fontId="21" fillId="12" borderId="71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9" xfId="0" applyFont="1" applyBorder="1"/>
    <xf numFmtId="0" fontId="22" fillId="0" borderId="0" xfId="0" applyFont="1" applyAlignment="1">
      <alignment vertical="center" textRotation="180"/>
    </xf>
    <xf numFmtId="0" fontId="18" fillId="0" borderId="73" xfId="0" applyFont="1" applyBorder="1"/>
    <xf numFmtId="0" fontId="0" fillId="0" borderId="34" xfId="0" applyBorder="1"/>
    <xf numFmtId="0" fontId="0" fillId="0" borderId="60" xfId="0" applyBorder="1"/>
    <xf numFmtId="0" fontId="0" fillId="0" borderId="1" xfId="0" applyBorder="1" applyAlignment="1">
      <alignment horizontal="center"/>
    </xf>
    <xf numFmtId="0" fontId="11" fillId="0" borderId="52" xfId="2" applyFont="1" applyFill="1" applyBorder="1" applyAlignment="1">
      <alignment horizontal="center"/>
    </xf>
    <xf numFmtId="0" fontId="11" fillId="0" borderId="53" xfId="2" applyFont="1" applyFill="1" applyBorder="1" applyAlignment="1">
      <alignment horizontal="center"/>
    </xf>
    <xf numFmtId="0" fontId="11" fillId="0" borderId="20" xfId="2" applyFont="1" applyFill="1" applyBorder="1" applyAlignment="1">
      <alignment horizontal="center" vertical="center"/>
    </xf>
    <xf numFmtId="0" fontId="11" fillId="0" borderId="45" xfId="2" applyFont="1" applyFill="1" applyBorder="1" applyAlignment="1">
      <alignment horizontal="center"/>
    </xf>
    <xf numFmtId="0" fontId="11" fillId="0" borderId="46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 vertical="center"/>
    </xf>
    <xf numFmtId="0" fontId="11" fillId="0" borderId="24" xfId="2" applyFont="1" applyFill="1" applyBorder="1" applyAlignment="1">
      <alignment horizontal="center" vertical="center"/>
    </xf>
    <xf numFmtId="0" fontId="11" fillId="0" borderId="70" xfId="2" applyFont="1" applyFill="1" applyBorder="1" applyAlignment="1">
      <alignment horizontal="center"/>
    </xf>
    <xf numFmtId="0" fontId="11" fillId="0" borderId="4" xfId="2" applyFont="1" applyFill="1" applyBorder="1" applyAlignment="1">
      <alignment horizontal="center"/>
    </xf>
    <xf numFmtId="0" fontId="3" fillId="0" borderId="11" xfId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53" xfId="0" applyFont="1" applyBorder="1"/>
    <xf numFmtId="0" fontId="18" fillId="0" borderId="74" xfId="1" applyFont="1" applyFill="1" applyBorder="1"/>
    <xf numFmtId="0" fontId="18" fillId="0" borderId="9" xfId="1" applyFont="1" applyFill="1" applyBorder="1"/>
    <xf numFmtId="0" fontId="18" fillId="0" borderId="75" xfId="1" applyFont="1" applyFill="1" applyBorder="1"/>
    <xf numFmtId="0" fontId="20" fillId="12" borderId="2" xfId="0" applyFont="1" applyFill="1" applyBorder="1"/>
    <xf numFmtId="0" fontId="11" fillId="0" borderId="43" xfId="2" applyFont="1" applyFill="1" applyBorder="1" applyAlignment="1">
      <alignment horizontal="center"/>
    </xf>
    <xf numFmtId="0" fontId="11" fillId="0" borderId="20" xfId="3" applyFont="1" applyFill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0" xfId="6" applyFont="1" applyFill="1" applyBorder="1" applyAlignment="1">
      <alignment horizontal="center" vertical="center"/>
    </xf>
    <xf numFmtId="0" fontId="3" fillId="0" borderId="12" xfId="1" applyFill="1" applyBorder="1" applyAlignment="1">
      <alignment horizontal="center" vertical="center"/>
    </xf>
    <xf numFmtId="0" fontId="6" fillId="0" borderId="20" xfId="4" applyFill="1" applyBorder="1" applyAlignment="1">
      <alignment horizontal="center" vertical="center"/>
    </xf>
    <xf numFmtId="0" fontId="5" fillId="7" borderId="2" xfId="3" applyBorder="1" applyAlignment="1">
      <alignment horizontal="center" vertical="center"/>
    </xf>
    <xf numFmtId="0" fontId="3" fillId="0" borderId="31" xfId="1" applyFill="1" applyBorder="1" applyAlignment="1">
      <alignment horizontal="center"/>
    </xf>
    <xf numFmtId="0" fontId="3" fillId="0" borderId="32" xfId="1" applyFill="1" applyBorder="1" applyAlignment="1">
      <alignment horizontal="center"/>
    </xf>
    <xf numFmtId="0" fontId="11" fillId="0" borderId="31" xfId="2" applyFont="1" applyFill="1" applyBorder="1" applyAlignment="1">
      <alignment horizontal="center"/>
    </xf>
    <xf numFmtId="0" fontId="11" fillId="0" borderId="32" xfId="2" applyFont="1" applyFill="1" applyBorder="1" applyAlignment="1">
      <alignment horizontal="center"/>
    </xf>
    <xf numFmtId="0" fontId="11" fillId="0" borderId="30" xfId="2" applyFont="1" applyFill="1" applyBorder="1" applyAlignment="1">
      <alignment horizontal="center"/>
    </xf>
    <xf numFmtId="0" fontId="28" fillId="7" borderId="1" xfId="3" applyFont="1" applyBorder="1"/>
    <xf numFmtId="0" fontId="28" fillId="7" borderId="2" xfId="3" applyFont="1" applyBorder="1"/>
    <xf numFmtId="0" fontId="7" fillId="9" borderId="9" xfId="5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3" fillId="0" borderId="19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19" xfId="1" applyFont="1" applyFill="1" applyBorder="1" applyAlignment="1">
      <alignment horizontal="center" vertical="center"/>
    </xf>
    <xf numFmtId="0" fontId="13" fillId="0" borderId="13" xfId="1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13" fillId="0" borderId="19" xfId="3" applyFont="1" applyFill="1" applyBorder="1" applyAlignment="1">
      <alignment horizontal="center" vertical="center"/>
    </xf>
    <xf numFmtId="0" fontId="13" fillId="0" borderId="13" xfId="3" applyFont="1" applyFill="1" applyBorder="1" applyAlignment="1">
      <alignment horizontal="center" vertical="center"/>
    </xf>
    <xf numFmtId="0" fontId="13" fillId="0" borderId="11" xfId="1" applyFont="1" applyFill="1" applyBorder="1" applyAlignment="1">
      <alignment horizontal="center" vertical="center"/>
    </xf>
    <xf numFmtId="0" fontId="13" fillId="0" borderId="12" xfId="1" applyFont="1" applyFill="1" applyBorder="1" applyAlignment="1">
      <alignment horizontal="center" vertical="center"/>
    </xf>
    <xf numFmtId="0" fontId="13" fillId="0" borderId="11" xfId="3" applyFont="1" applyFill="1" applyBorder="1" applyAlignment="1">
      <alignment horizontal="center" vertical="center"/>
    </xf>
    <xf numFmtId="0" fontId="13" fillId="0" borderId="12" xfId="3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/>
    </xf>
    <xf numFmtId="0" fontId="13" fillId="0" borderId="5" xfId="1" applyFont="1" applyFill="1" applyBorder="1" applyAlignment="1">
      <alignment horizontal="center"/>
    </xf>
    <xf numFmtId="0" fontId="13" fillId="0" borderId="5" xfId="3" applyFont="1" applyFill="1" applyBorder="1" applyAlignment="1">
      <alignment horizontal="center"/>
    </xf>
    <xf numFmtId="0" fontId="13" fillId="0" borderId="42" xfId="3" applyFont="1" applyFill="1" applyBorder="1" applyAlignment="1">
      <alignment horizontal="center"/>
    </xf>
    <xf numFmtId="0" fontId="13" fillId="0" borderId="43" xfId="3" applyFont="1" applyFill="1" applyBorder="1" applyAlignment="1">
      <alignment horizontal="center"/>
    </xf>
    <xf numFmtId="0" fontId="13" fillId="0" borderId="1" xfId="2" applyFont="1" applyFill="1" applyBorder="1" applyAlignment="1">
      <alignment horizontal="center"/>
    </xf>
    <xf numFmtId="0" fontId="5" fillId="7" borderId="20" xfId="3" applyBorder="1" applyAlignment="1">
      <alignment horizontal="center"/>
    </xf>
    <xf numFmtId="0" fontId="5" fillId="7" borderId="33" xfId="3" applyBorder="1" applyAlignment="1">
      <alignment horizontal="center"/>
    </xf>
    <xf numFmtId="0" fontId="4" fillId="0" borderId="19" xfId="2" applyFill="1" applyBorder="1" applyAlignment="1">
      <alignment horizontal="center" vertical="center"/>
    </xf>
    <xf numFmtId="0" fontId="4" fillId="0" borderId="24" xfId="2" applyFill="1" applyBorder="1" applyAlignment="1">
      <alignment horizontal="center" vertical="center"/>
    </xf>
    <xf numFmtId="0" fontId="4" fillId="0" borderId="13" xfId="2" applyFill="1" applyBorder="1" applyAlignment="1">
      <alignment horizontal="center" vertical="center"/>
    </xf>
    <xf numFmtId="0" fontId="3" fillId="0" borderId="19" xfId="1" applyFill="1" applyBorder="1" applyAlignment="1">
      <alignment horizontal="center" vertical="center"/>
    </xf>
    <xf numFmtId="0" fontId="3" fillId="0" borderId="24" xfId="1" applyFill="1" applyBorder="1" applyAlignment="1">
      <alignment horizontal="center" vertical="center"/>
    </xf>
    <xf numFmtId="0" fontId="3" fillId="0" borderId="13" xfId="1" applyFill="1" applyBorder="1" applyAlignment="1">
      <alignment horizontal="center" vertical="center"/>
    </xf>
    <xf numFmtId="0" fontId="5" fillId="0" borderId="19" xfId="3" applyFill="1" applyBorder="1" applyAlignment="1">
      <alignment horizontal="center" vertical="center"/>
    </xf>
    <xf numFmtId="0" fontId="5" fillId="0" borderId="24" xfId="3" applyFill="1" applyBorder="1" applyAlignment="1">
      <alignment horizontal="center" vertical="center"/>
    </xf>
    <xf numFmtId="0" fontId="5" fillId="0" borderId="13" xfId="3" applyFill="1" applyBorder="1" applyAlignment="1">
      <alignment horizontal="center" vertical="center"/>
    </xf>
    <xf numFmtId="0" fontId="12" fillId="0" borderId="25" xfId="5" applyFont="1" applyFill="1" applyBorder="1" applyAlignment="1">
      <alignment horizontal="center" vertical="center"/>
    </xf>
    <xf numFmtId="0" fontId="12" fillId="0" borderId="26" xfId="5" applyFont="1" applyFill="1" applyBorder="1" applyAlignment="1">
      <alignment horizontal="center" vertical="center"/>
    </xf>
    <xf numFmtId="0" fontId="14" fillId="0" borderId="11" xfId="5" applyFont="1" applyFill="1" applyBorder="1" applyAlignment="1">
      <alignment horizontal="center"/>
    </xf>
    <xf numFmtId="0" fontId="7" fillId="0" borderId="12" xfId="5" applyFill="1" applyBorder="1" applyAlignment="1">
      <alignment horizontal="center"/>
    </xf>
    <xf numFmtId="0" fontId="8" fillId="0" borderId="19" xfId="1" applyFont="1" applyFill="1" applyBorder="1" applyAlignment="1">
      <alignment horizontal="center"/>
    </xf>
    <xf numFmtId="0" fontId="8" fillId="0" borderId="24" xfId="1" applyFont="1" applyFill="1" applyBorder="1" applyAlignment="1">
      <alignment horizontal="center"/>
    </xf>
    <xf numFmtId="0" fontId="8" fillId="0" borderId="13" xfId="1" applyFont="1" applyFill="1" applyBorder="1" applyAlignment="1">
      <alignment horizontal="center"/>
    </xf>
    <xf numFmtId="0" fontId="9" fillId="0" borderId="69" xfId="3" applyFont="1" applyFill="1" applyBorder="1" applyAlignment="1">
      <alignment horizontal="center"/>
    </xf>
    <xf numFmtId="0" fontId="9" fillId="0" borderId="30" xfId="3" applyFont="1" applyFill="1" applyBorder="1" applyAlignment="1">
      <alignment horizontal="center"/>
    </xf>
    <xf numFmtId="16" fontId="10" fillId="0" borderId="69" xfId="2" applyNumberFormat="1" applyFont="1" applyFill="1" applyBorder="1" applyAlignment="1">
      <alignment horizontal="center"/>
    </xf>
    <xf numFmtId="0" fontId="24" fillId="0" borderId="19" xfId="1" applyFont="1" applyFill="1" applyBorder="1" applyAlignment="1">
      <alignment horizontal="left" vertical="center"/>
    </xf>
    <xf numFmtId="0" fontId="24" fillId="0" borderId="13" xfId="1" applyFont="1" applyFill="1" applyBorder="1" applyAlignment="1">
      <alignment horizontal="left" vertical="center"/>
    </xf>
    <xf numFmtId="0" fontId="11" fillId="0" borderId="39" xfId="4" applyFont="1" applyFill="1" applyBorder="1" applyAlignment="1">
      <alignment horizontal="center"/>
    </xf>
    <xf numFmtId="0" fontId="11" fillId="0" borderId="40" xfId="4" applyFont="1" applyFill="1" applyBorder="1" applyAlignment="1">
      <alignment horizontal="center"/>
    </xf>
    <xf numFmtId="0" fontId="6" fillId="0" borderId="37" xfId="4" applyFill="1" applyBorder="1" applyAlignment="1">
      <alignment horizontal="center" vertical="center"/>
    </xf>
    <xf numFmtId="0" fontId="6" fillId="0" borderId="38" xfId="4" applyFill="1" applyBorder="1" applyAlignment="1">
      <alignment horizontal="center" vertical="center"/>
    </xf>
    <xf numFmtId="0" fontId="11" fillId="0" borderId="30" xfId="1" quotePrefix="1" applyFont="1" applyFill="1" applyBorder="1" applyAlignment="1">
      <alignment horizontal="center"/>
    </xf>
    <xf numFmtId="0" fontId="11" fillId="0" borderId="29" xfId="1" applyFont="1" applyFill="1" applyBorder="1" applyAlignment="1">
      <alignment horizontal="center"/>
    </xf>
    <xf numFmtId="0" fontId="25" fillId="0" borderId="19" xfId="2" applyFont="1" applyFill="1" applyBorder="1" applyAlignment="1">
      <alignment horizontal="center" vertical="center"/>
    </xf>
    <xf numFmtId="0" fontId="25" fillId="0" borderId="13" xfId="2" applyFont="1" applyFill="1" applyBorder="1" applyAlignment="1">
      <alignment horizontal="center" vertical="center"/>
    </xf>
    <xf numFmtId="0" fontId="11" fillId="0" borderId="19" xfId="3" applyFont="1" applyFill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7" fillId="0" borderId="25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11" fillId="0" borderId="5" xfId="2" applyFont="1" applyFill="1" applyBorder="1" applyAlignment="1">
      <alignment horizontal="center"/>
    </xf>
    <xf numFmtId="0" fontId="11" fillId="0" borderId="5" xfId="3" applyFont="1" applyFill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16" fontId="15" fillId="0" borderId="5" xfId="6" quotePrefix="1" applyNumberFormat="1" applyFont="1" applyFill="1" applyBorder="1" applyAlignment="1">
      <alignment horizontal="center"/>
    </xf>
    <xf numFmtId="0" fontId="15" fillId="0" borderId="5" xfId="6" applyFont="1" applyFill="1" applyBorder="1" applyAlignment="1">
      <alignment horizontal="center"/>
    </xf>
    <xf numFmtId="0" fontId="11" fillId="0" borderId="25" xfId="2" applyFont="1" applyFill="1" applyBorder="1" applyAlignment="1">
      <alignment horizontal="center" vertical="center"/>
    </xf>
    <xf numFmtId="0" fontId="11" fillId="0" borderId="48" xfId="2" applyFont="1" applyFill="1" applyBorder="1" applyAlignment="1">
      <alignment horizontal="center" vertical="center"/>
    </xf>
    <xf numFmtId="0" fontId="11" fillId="0" borderId="25" xfId="3" applyFont="1" applyFill="1" applyBorder="1" applyAlignment="1">
      <alignment horizontal="center" vertical="center"/>
    </xf>
    <xf numFmtId="0" fontId="11" fillId="0" borderId="26" xfId="3" applyFont="1" applyFill="1" applyBorder="1" applyAlignment="1">
      <alignment horizontal="center" vertical="center"/>
    </xf>
    <xf numFmtId="0" fontId="11" fillId="0" borderId="44" xfId="2" applyFont="1" applyFill="1" applyBorder="1" applyAlignment="1">
      <alignment horizontal="center" vertical="center"/>
    </xf>
    <xf numFmtId="0" fontId="11" fillId="0" borderId="28" xfId="2" applyFont="1" applyFill="1" applyBorder="1" applyAlignment="1">
      <alignment horizontal="center" vertical="center"/>
    </xf>
    <xf numFmtId="0" fontId="6" fillId="0" borderId="25" xfId="4" applyFill="1" applyBorder="1" applyAlignment="1">
      <alignment horizontal="center" vertical="center"/>
    </xf>
    <xf numFmtId="0" fontId="6" fillId="0" borderId="48" xfId="4" applyFill="1" applyBorder="1" applyAlignment="1">
      <alignment horizontal="center" vertical="center"/>
    </xf>
    <xf numFmtId="0" fontId="6" fillId="0" borderId="26" xfId="4" applyFill="1" applyBorder="1" applyAlignment="1">
      <alignment horizontal="center" vertical="center"/>
    </xf>
    <xf numFmtId="0" fontId="11" fillId="0" borderId="27" xfId="2" applyFont="1" applyFill="1" applyBorder="1" applyAlignment="1">
      <alignment horizontal="center"/>
    </xf>
    <xf numFmtId="0" fontId="11" fillId="0" borderId="47" xfId="2" applyFont="1" applyFill="1" applyBorder="1" applyAlignment="1">
      <alignment horizontal="center"/>
    </xf>
    <xf numFmtId="0" fontId="11" fillId="0" borderId="27" xfId="3" applyFont="1" applyFill="1" applyBorder="1" applyAlignment="1">
      <alignment horizontal="center"/>
    </xf>
    <xf numFmtId="0" fontId="11" fillId="0" borderId="28" xfId="3" applyFont="1" applyFill="1" applyBorder="1" applyAlignment="1">
      <alignment horizontal="center"/>
    </xf>
    <xf numFmtId="49" fontId="11" fillId="0" borderId="44" xfId="5" quotePrefix="1" applyNumberFormat="1" applyFont="1" applyFill="1" applyBorder="1" applyAlignment="1">
      <alignment horizontal="center"/>
    </xf>
    <xf numFmtId="49" fontId="11" fillId="0" borderId="28" xfId="5" applyNumberFormat="1" applyFont="1" applyFill="1" applyBorder="1" applyAlignment="1">
      <alignment horizontal="center"/>
    </xf>
    <xf numFmtId="0" fontId="3" fillId="0" borderId="44" xfId="1" applyFill="1" applyBorder="1" applyAlignment="1">
      <alignment horizontal="center"/>
    </xf>
    <xf numFmtId="0" fontId="3" fillId="0" borderId="28" xfId="1" applyFill="1" applyBorder="1" applyAlignment="1">
      <alignment horizontal="center"/>
    </xf>
    <xf numFmtId="49" fontId="6" fillId="0" borderId="19" xfId="4" quotePrefix="1" applyNumberFormat="1" applyFill="1" applyBorder="1" applyAlignment="1">
      <alignment horizontal="center"/>
    </xf>
    <xf numFmtId="49" fontId="6" fillId="0" borderId="24" xfId="4" quotePrefix="1" applyNumberFormat="1" applyFill="1" applyBorder="1" applyAlignment="1">
      <alignment horizontal="center"/>
    </xf>
    <xf numFmtId="49" fontId="6" fillId="0" borderId="13" xfId="4" quotePrefix="1" applyNumberFormat="1" applyFill="1" applyBorder="1" applyAlignment="1">
      <alignment horizontal="center"/>
    </xf>
    <xf numFmtId="0" fontId="4" fillId="6" borderId="25" xfId="2" applyBorder="1" applyAlignment="1">
      <alignment horizontal="center" vertical="center"/>
    </xf>
    <xf numFmtId="0" fontId="4" fillId="6" borderId="26" xfId="2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50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24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1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 textRotation="180"/>
    </xf>
    <xf numFmtId="0" fontId="22" fillId="0" borderId="50" xfId="0" applyFont="1" applyBorder="1" applyAlignment="1">
      <alignment horizontal="center" vertical="center" textRotation="180"/>
    </xf>
    <xf numFmtId="0" fontId="22" fillId="0" borderId="12" xfId="0" applyFont="1" applyBorder="1" applyAlignment="1">
      <alignment horizontal="center" vertical="center" textRotation="180"/>
    </xf>
    <xf numFmtId="0" fontId="22" fillId="0" borderId="67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51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3" xfId="0" applyFont="1" applyBorder="1" applyAlignment="1">
      <alignment horizontal="center" vertical="center" textRotation="180"/>
    </xf>
    <xf numFmtId="0" fontId="17" fillId="0" borderId="1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6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AUBAMAYANG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Santiago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26-27'!$M$4:$M$35</c:f>
              <c:numCache>
                <c:formatCode>General</c:formatCode>
                <c:ptCount val="3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26-27'!$N$4:$N$35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Goals'!$O$3:$P$3</c:f>
              <c:strCache>
                <c:ptCount val="1"/>
                <c:pt idx="0">
                  <c:v>Apps Goals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40AE18E-E1ED-4DC5-B0B3-BA150D9E28BF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497C102-2185-4BA1-8BAC-D671D9F6578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529E15-0B64-479F-99FD-D8C7CE348DF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530108E-7AFF-480A-8165-94334D681D9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5F8F137-BF69-4019-A7F0-83A010292BC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E26B725-E7FC-4579-9E7B-7335D9C62C6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A264298-14B4-4431-A9F0-243AA69920D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15D507A-90F0-447B-A0F6-D27F41CD8F9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2448F93-3352-4E9B-BE2A-612F82A3C53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99E97FF-452A-4A2B-9954-E9403002A84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8309B2F-8D9C-430A-8EAF-B72AE09D9A7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7DEAAB-5AFD-4C14-AFAD-126F806E674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0FAD991-2387-4BD8-A9FB-314BF0E6DFC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550078E-F4E1-413C-9AF7-0A55230F8021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AD48B4F-803F-4B45-84C9-1F8DE550F6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0587ABE-6E64-4234-8FC7-728869F6435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4992C1C-1B84-473B-8AC3-97E5200A65A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08030A8-F59F-4997-A68A-CEF229A3FFF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8E2C3A9-82BA-45A1-A974-8ED7C36F705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FFFC594-3ECE-4149-B28D-7EA07587937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E69E41A-FC98-45FC-B3B8-37E7202E631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Goals'!$O$7:$O$27</c:f>
              <c:numCache>
                <c:formatCode>General</c:formatCode>
                <c:ptCount val="21"/>
                <c:pt idx="0">
                  <c:v>191</c:v>
                </c:pt>
                <c:pt idx="1">
                  <c:v>40</c:v>
                </c:pt>
                <c:pt idx="2">
                  <c:v>262</c:v>
                </c:pt>
                <c:pt idx="3">
                  <c:v>313</c:v>
                </c:pt>
                <c:pt idx="4">
                  <c:v>235</c:v>
                </c:pt>
                <c:pt idx="5">
                  <c:v>123</c:v>
                </c:pt>
                <c:pt idx="6">
                  <c:v>53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1</c:v>
                </c:pt>
                <c:pt idx="12">
                  <c:v>43</c:v>
                </c:pt>
                <c:pt idx="13">
                  <c:v>49</c:v>
                </c:pt>
                <c:pt idx="14">
                  <c:v>51</c:v>
                </c:pt>
                <c:pt idx="15">
                  <c:v>78</c:v>
                </c:pt>
                <c:pt idx="16">
                  <c:v>90</c:v>
                </c:pt>
                <c:pt idx="17">
                  <c:v>112</c:v>
                </c:pt>
                <c:pt idx="18">
                  <c:v>0</c:v>
                </c:pt>
                <c:pt idx="19">
                  <c:v>66</c:v>
                </c:pt>
                <c:pt idx="20">
                  <c:v>2</c:v>
                </c:pt>
              </c:numCache>
            </c:numRef>
          </c:xVal>
          <c:yVal>
            <c:numRef>
              <c:f>'Apps &amp; Goals'!$P$7:$P$27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81</c:v>
                </c:pt>
                <c:pt idx="4">
                  <c:v>43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37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Goals'!$P$7:$P$27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81</c:v>
                      </c:pt>
                      <c:pt idx="4">
                        <c:v>43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37</c:v>
                      </c:pt>
                      <c:pt idx="18">
                        <c:v>0</c:v>
                      </c:pt>
                      <c:pt idx="19">
                        <c:v>5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3" t="s">
        <v>4</v>
      </c>
      <c r="D1" s="203"/>
      <c r="E1" s="205" t="s">
        <v>126</v>
      </c>
      <c r="F1" s="205"/>
      <c r="G1" s="203" t="s">
        <v>114</v>
      </c>
      <c r="H1" s="203"/>
      <c r="I1" s="205" t="s">
        <v>116</v>
      </c>
      <c r="J1" s="205"/>
      <c r="K1" s="203" t="s">
        <v>40</v>
      </c>
      <c r="L1" s="203"/>
      <c r="M1" s="206" t="s">
        <v>7</v>
      </c>
      <c r="N1" s="207"/>
    </row>
    <row r="2" spans="1:14" x14ac:dyDescent="0.25">
      <c r="A2" s="3" t="s">
        <v>49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76" t="s">
        <v>3</v>
      </c>
    </row>
    <row r="3" spans="1:14" x14ac:dyDescent="0.25">
      <c r="A3" s="27">
        <v>1</v>
      </c>
      <c r="B3" s="37" t="s">
        <v>96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77">
        <v>0</v>
      </c>
    </row>
    <row r="4" spans="1:14" x14ac:dyDescent="0.25">
      <c r="A4" s="28">
        <v>2</v>
      </c>
      <c r="B4" s="38" t="s">
        <v>37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77">
        <v>7</v>
      </c>
    </row>
    <row r="5" spans="1:14" x14ac:dyDescent="0.25">
      <c r="A5" s="27">
        <v>4</v>
      </c>
      <c r="B5" s="40" t="s">
        <v>106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77">
        <v>2</v>
      </c>
    </row>
    <row r="6" spans="1:14" x14ac:dyDescent="0.25">
      <c r="A6" s="27">
        <v>6</v>
      </c>
      <c r="B6" s="35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77">
        <v>24</v>
      </c>
    </row>
    <row r="7" spans="1:14" x14ac:dyDescent="0.25">
      <c r="A7" s="27">
        <v>7</v>
      </c>
      <c r="B7" s="36" t="s">
        <v>136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77">
        <v>3</v>
      </c>
    </row>
    <row r="8" spans="1:14" x14ac:dyDescent="0.25">
      <c r="A8" s="27">
        <v>8</v>
      </c>
      <c r="B8" s="40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77">
        <v>58</v>
      </c>
    </row>
    <row r="9" spans="1:14" x14ac:dyDescent="0.25">
      <c r="A9" s="27">
        <v>9</v>
      </c>
      <c r="B9" s="40" t="s">
        <v>118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77">
        <v>16</v>
      </c>
    </row>
    <row r="10" spans="1:14" x14ac:dyDescent="0.25">
      <c r="A10" s="27">
        <v>10</v>
      </c>
      <c r="B10" s="40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77">
        <v>14</v>
      </c>
    </row>
    <row r="11" spans="1:14" x14ac:dyDescent="0.25">
      <c r="A11" s="27">
        <v>11</v>
      </c>
      <c r="B11" s="40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77">
        <v>37</v>
      </c>
    </row>
    <row r="12" spans="1:14" x14ac:dyDescent="0.25">
      <c r="A12" s="27">
        <v>12</v>
      </c>
      <c r="B12" s="40" t="s">
        <v>175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77">
        <v>0</v>
      </c>
    </row>
    <row r="13" spans="1:14" x14ac:dyDescent="0.25">
      <c r="A13" s="27">
        <v>13</v>
      </c>
      <c r="B13" s="37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77">
        <v>0</v>
      </c>
    </row>
    <row r="14" spans="1:14" x14ac:dyDescent="0.25">
      <c r="A14" s="27">
        <v>14</v>
      </c>
      <c r="B14" s="37" t="s">
        <v>137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77">
        <v>10</v>
      </c>
    </row>
    <row r="15" spans="1:14" x14ac:dyDescent="0.25">
      <c r="A15" s="27">
        <v>16</v>
      </c>
      <c r="B15" s="40" t="s">
        <v>109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77">
        <v>1</v>
      </c>
    </row>
    <row r="16" spans="1:14" x14ac:dyDescent="0.25">
      <c r="A16" s="28">
        <v>17</v>
      </c>
      <c r="B16" s="38" t="s">
        <v>101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77">
        <v>9</v>
      </c>
    </row>
    <row r="17" spans="1:14" x14ac:dyDescent="0.25">
      <c r="A17" s="27">
        <v>18</v>
      </c>
      <c r="B17" s="35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77">
        <v>9</v>
      </c>
    </row>
    <row r="18" spans="1:14" x14ac:dyDescent="0.25">
      <c r="A18" s="27">
        <v>20</v>
      </c>
      <c r="B18" s="40" t="s">
        <v>113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77">
        <v>5</v>
      </c>
    </row>
    <row r="19" spans="1:14" x14ac:dyDescent="0.25">
      <c r="A19" s="27">
        <v>21</v>
      </c>
      <c r="B19" s="35" t="s">
        <v>27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77">
        <v>3</v>
      </c>
    </row>
    <row r="20" spans="1:14" x14ac:dyDescent="0.25">
      <c r="A20" s="28">
        <v>22</v>
      </c>
      <c r="B20" s="36" t="s">
        <v>111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77">
        <v>0</v>
      </c>
    </row>
    <row r="21" spans="1:14" x14ac:dyDescent="0.25">
      <c r="A21" s="27">
        <v>23</v>
      </c>
      <c r="B21" s="36" t="s">
        <v>29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77">
        <v>27</v>
      </c>
    </row>
    <row r="22" spans="1:14" x14ac:dyDescent="0.25">
      <c r="A22" s="27">
        <v>25</v>
      </c>
      <c r="B22" s="35" t="s">
        <v>42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77">
        <v>1</v>
      </c>
    </row>
    <row r="23" spans="1:14" x14ac:dyDescent="0.25">
      <c r="A23" s="27">
        <v>26</v>
      </c>
      <c r="B23" s="37" t="s">
        <v>31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77">
        <v>0</v>
      </c>
    </row>
    <row r="24" spans="1:14" x14ac:dyDescent="0.25">
      <c r="A24" s="27">
        <v>27</v>
      </c>
      <c r="B24" s="37" t="s">
        <v>174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77">
        <v>0</v>
      </c>
    </row>
    <row r="25" spans="1:14" x14ac:dyDescent="0.25">
      <c r="A25" s="28" t="s">
        <v>173</v>
      </c>
      <c r="B25" s="36" t="s">
        <v>33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77">
        <v>4</v>
      </c>
    </row>
    <row r="26" spans="1:14" x14ac:dyDescent="0.25">
      <c r="A26" s="27">
        <v>28</v>
      </c>
      <c r="B26" s="36" t="s">
        <v>112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77">
        <v>7</v>
      </c>
    </row>
    <row r="27" spans="1:14" x14ac:dyDescent="0.25">
      <c r="A27" s="28">
        <v>30</v>
      </c>
      <c r="B27" s="38" t="s">
        <v>44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77">
        <v>0</v>
      </c>
    </row>
    <row r="28" spans="1:14" x14ac:dyDescent="0.25">
      <c r="A28" s="27">
        <v>31</v>
      </c>
      <c r="B28" s="36" t="s">
        <v>120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77">
        <v>5</v>
      </c>
    </row>
    <row r="29" spans="1:14" x14ac:dyDescent="0.25">
      <c r="A29" s="28">
        <v>32</v>
      </c>
      <c r="B29" s="39" t="s">
        <v>36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77">
        <v>0</v>
      </c>
    </row>
    <row r="30" spans="1:14" x14ac:dyDescent="0.25">
      <c r="A30" s="27">
        <v>34</v>
      </c>
      <c r="B30" s="36" t="s">
        <v>110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77">
        <v>6</v>
      </c>
    </row>
    <row r="31" spans="1:14" x14ac:dyDescent="0.25">
      <c r="A31" s="28">
        <v>37</v>
      </c>
      <c r="B31" s="41" t="s">
        <v>86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77">
        <v>0</v>
      </c>
    </row>
    <row r="32" spans="1:14" x14ac:dyDescent="0.25">
      <c r="A32" s="28">
        <v>40</v>
      </c>
      <c r="B32" s="41" t="s">
        <v>35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77">
        <v>0</v>
      </c>
    </row>
    <row r="33" spans="1:14" x14ac:dyDescent="0.25">
      <c r="A33" s="28">
        <v>43</v>
      </c>
      <c r="B33" s="41" t="s">
        <v>124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77">
        <v>0</v>
      </c>
    </row>
    <row r="34" spans="1:14" x14ac:dyDescent="0.25">
      <c r="A34" s="28">
        <v>54</v>
      </c>
      <c r="B34" s="41" t="s">
        <v>130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77">
        <v>0</v>
      </c>
    </row>
    <row r="35" spans="1:14" x14ac:dyDescent="0.25">
      <c r="A35" s="28">
        <v>61</v>
      </c>
      <c r="B35" s="41" t="s">
        <v>121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77">
        <v>0</v>
      </c>
    </row>
    <row r="36" spans="1:14" x14ac:dyDescent="0.25">
      <c r="A36" s="28">
        <v>62</v>
      </c>
      <c r="B36" s="41" t="s">
        <v>129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77">
        <v>2</v>
      </c>
    </row>
    <row r="37" spans="1:14" x14ac:dyDescent="0.25">
      <c r="A37" s="28">
        <v>65</v>
      </c>
      <c r="B37" s="41" t="s">
        <v>127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77">
        <v>0</v>
      </c>
    </row>
    <row r="38" spans="1:14" x14ac:dyDescent="0.25">
      <c r="A38" s="28">
        <v>69</v>
      </c>
      <c r="B38" s="41" t="s">
        <v>123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77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AS42"/>
  <sheetViews>
    <sheetView zoomScale="70" zoomScaleNormal="70" zoomScalePageLayoutView="140" workbookViewId="0">
      <selection activeCell="K48" sqref="K48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4" width="5.7109375" customWidth="1"/>
    <col min="6" max="9" width="5.7109375" customWidth="1"/>
    <col min="11" max="11" width="25" bestFit="1" customWidth="1"/>
    <col min="12" max="13" width="5.7109375" customWidth="1"/>
    <col min="15" max="18" width="5.7109375" customWidth="1"/>
    <col min="20" max="20" width="25" bestFit="1" customWidth="1"/>
    <col min="21" max="22" width="5.7109375" customWidth="1"/>
    <col min="24" max="27" width="5.7109375" customWidth="1"/>
    <col min="29" max="29" width="26.85546875" bestFit="1" customWidth="1"/>
    <col min="30" max="31" width="5.7109375" customWidth="1"/>
    <col min="33" max="36" width="5.7109375" customWidth="1"/>
    <col min="38" max="38" width="25" bestFit="1" customWidth="1"/>
    <col min="39" max="40" width="5.7109375" customWidth="1"/>
    <col min="42" max="45" width="5.7109375" customWidth="1"/>
  </cols>
  <sheetData>
    <row r="3" spans="1:45" x14ac:dyDescent="0.25">
      <c r="B3" s="88" t="s">
        <v>94</v>
      </c>
      <c r="C3" s="88"/>
      <c r="D3" s="88"/>
      <c r="E3" s="88"/>
      <c r="F3" s="88"/>
      <c r="G3" s="88"/>
      <c r="H3" s="88"/>
      <c r="I3" s="88"/>
      <c r="K3" s="87" t="s">
        <v>122</v>
      </c>
      <c r="L3" s="87"/>
      <c r="M3" s="87"/>
      <c r="N3" s="87"/>
      <c r="O3" s="87"/>
      <c r="P3" s="87"/>
      <c r="Q3" s="87"/>
      <c r="R3" s="87"/>
      <c r="T3" s="86" t="s">
        <v>95</v>
      </c>
      <c r="U3" s="86"/>
      <c r="V3" s="86"/>
      <c r="W3" s="86"/>
      <c r="X3" s="86"/>
      <c r="Y3" s="86"/>
      <c r="Z3" s="86"/>
      <c r="AA3" s="86"/>
      <c r="AC3" s="85" t="s">
        <v>125</v>
      </c>
      <c r="AD3" s="85"/>
      <c r="AE3" s="85"/>
      <c r="AF3" s="85"/>
      <c r="AG3" s="85"/>
      <c r="AH3" s="85"/>
      <c r="AI3" s="85"/>
      <c r="AJ3" s="85"/>
    </row>
    <row r="4" spans="1:45" x14ac:dyDescent="0.25">
      <c r="B4" s="88"/>
      <c r="C4" s="88"/>
      <c r="D4" s="88"/>
      <c r="E4" s="88"/>
      <c r="F4" s="88"/>
      <c r="G4" s="88"/>
      <c r="H4" s="88"/>
      <c r="I4" s="88"/>
      <c r="K4" s="87"/>
      <c r="L4" s="87"/>
      <c r="M4" s="87"/>
      <c r="N4" s="87"/>
      <c r="O4" s="87"/>
      <c r="P4" s="87"/>
      <c r="Q4" s="87"/>
      <c r="R4" s="87"/>
      <c r="T4" s="86"/>
      <c r="U4" s="86"/>
      <c r="V4" s="86"/>
      <c r="W4" s="86"/>
      <c r="X4" s="86"/>
      <c r="Y4" s="86"/>
      <c r="Z4" s="86"/>
      <c r="AA4" s="86"/>
      <c r="AC4" s="85"/>
      <c r="AD4" s="85"/>
      <c r="AE4" s="85"/>
      <c r="AF4" s="85"/>
      <c r="AG4" s="85"/>
      <c r="AH4" s="85"/>
      <c r="AI4" s="85"/>
      <c r="AJ4" s="85"/>
      <c r="AL4" s="84" t="s">
        <v>97</v>
      </c>
      <c r="AM4" s="84"/>
      <c r="AN4" s="84"/>
      <c r="AO4" s="84"/>
      <c r="AP4" s="84"/>
      <c r="AQ4" s="84"/>
      <c r="AR4" s="84"/>
      <c r="AS4" s="84"/>
    </row>
    <row r="5" spans="1:45" x14ac:dyDescent="0.25">
      <c r="A5" t="s">
        <v>107</v>
      </c>
      <c r="B5" s="49" t="s">
        <v>108</v>
      </c>
      <c r="C5" s="49"/>
      <c r="D5" s="49"/>
      <c r="E5" s="49"/>
      <c r="F5" s="49"/>
      <c r="G5" s="49"/>
      <c r="H5" s="49"/>
      <c r="I5" s="49"/>
      <c r="K5" s="50"/>
      <c r="L5" s="50"/>
      <c r="M5" s="50"/>
      <c r="N5" s="50"/>
      <c r="O5" s="50"/>
      <c r="P5" s="50"/>
      <c r="Q5" s="50"/>
      <c r="R5" s="50"/>
      <c r="T5" s="79" t="s">
        <v>108</v>
      </c>
      <c r="U5" s="79"/>
      <c r="V5" s="79"/>
      <c r="W5" s="79"/>
      <c r="X5" s="79"/>
      <c r="Y5" s="79"/>
      <c r="Z5" s="79"/>
      <c r="AA5" s="79"/>
      <c r="AC5" s="80" t="s">
        <v>108</v>
      </c>
      <c r="AD5" s="80"/>
      <c r="AE5" s="80"/>
      <c r="AF5" s="80"/>
      <c r="AG5" s="80"/>
      <c r="AH5" s="80"/>
      <c r="AI5" s="80"/>
      <c r="AJ5" s="80"/>
      <c r="AL5" s="84"/>
      <c r="AM5" s="84"/>
      <c r="AN5" s="84"/>
      <c r="AO5" s="84"/>
      <c r="AP5" s="84"/>
      <c r="AQ5" s="84"/>
      <c r="AR5" s="84"/>
      <c r="AS5" s="84"/>
    </row>
    <row r="6" spans="1:45" x14ac:dyDescent="0.25">
      <c r="A6" s="27">
        <v>1</v>
      </c>
      <c r="B6" s="21" t="s">
        <v>287</v>
      </c>
      <c r="C6" s="25">
        <v>107</v>
      </c>
      <c r="D6" s="25">
        <v>0</v>
      </c>
      <c r="E6" s="25"/>
      <c r="F6" s="21">
        <f>'Apps &amp; Goals 26-27'!C4</f>
        <v>0</v>
      </c>
      <c r="G6" s="21">
        <f>'Apps &amp; Goals 26-27'!D4</f>
        <v>0</v>
      </c>
      <c r="H6" s="25">
        <f>F6+C6</f>
        <v>107</v>
      </c>
      <c r="I6" s="25">
        <f>G6+D6</f>
        <v>0</v>
      </c>
      <c r="K6" s="20" t="s">
        <v>287</v>
      </c>
      <c r="L6" s="26">
        <v>36</v>
      </c>
      <c r="M6" s="26">
        <v>0</v>
      </c>
      <c r="N6" s="26"/>
      <c r="O6" s="20">
        <f>'Apps &amp; Goals 26-27'!E4</f>
        <v>0</v>
      </c>
      <c r="P6" s="20">
        <f>'Apps &amp; Goals 26-27'!F4</f>
        <v>0</v>
      </c>
      <c r="Q6" s="26">
        <f>O6+L6</f>
        <v>36</v>
      </c>
      <c r="R6" s="26">
        <f>P6+M6</f>
        <v>0</v>
      </c>
      <c r="T6" s="23" t="s">
        <v>287</v>
      </c>
      <c r="U6" s="24">
        <v>1</v>
      </c>
      <c r="V6" s="24">
        <v>0</v>
      </c>
      <c r="W6" s="24"/>
      <c r="X6" s="68">
        <f>'Apps &amp; Goals 26-27'!G4</f>
        <v>0</v>
      </c>
      <c r="Y6" s="68">
        <f>'Apps &amp; Goals 26-27'!H4</f>
        <v>0</v>
      </c>
      <c r="Z6" s="24">
        <f>X6+U6</f>
        <v>1</v>
      </c>
      <c r="AA6" s="24">
        <f>Y6+V6</f>
        <v>0</v>
      </c>
      <c r="AC6" s="82" t="s">
        <v>287</v>
      </c>
      <c r="AD6" s="18">
        <v>3</v>
      </c>
      <c r="AE6" s="18">
        <v>0</v>
      </c>
      <c r="AF6" s="18"/>
      <c r="AG6" s="80">
        <f>'Apps &amp; Goals 26-27'!I4</f>
        <v>0</v>
      </c>
      <c r="AH6" s="80">
        <f>'Apps &amp; Goals 26-27'!J4</f>
        <v>0</v>
      </c>
      <c r="AI6" s="18">
        <f>AG6+AD6</f>
        <v>3</v>
      </c>
      <c r="AJ6" s="18">
        <f>AH6+AE6</f>
        <v>0</v>
      </c>
      <c r="AL6" s="81" t="s">
        <v>287</v>
      </c>
      <c r="AM6" s="33">
        <v>0</v>
      </c>
      <c r="AN6" s="33">
        <v>0</v>
      </c>
      <c r="AO6" s="33"/>
      <c r="AP6" s="81">
        <f>'Apps &amp; Goals 26-27'!K4</f>
        <v>1</v>
      </c>
      <c r="AQ6" s="81">
        <f>'Apps &amp; Goals 26-27'!L4</f>
        <v>0</v>
      </c>
      <c r="AR6" s="33">
        <f>AP6+AM6</f>
        <v>1</v>
      </c>
      <c r="AS6" s="33">
        <f>AQ6+AN6</f>
        <v>0</v>
      </c>
    </row>
    <row r="7" spans="1:45" x14ac:dyDescent="0.25">
      <c r="A7" s="27">
        <v>2</v>
      </c>
      <c r="B7" s="22" t="s">
        <v>204</v>
      </c>
      <c r="C7" s="25">
        <v>131</v>
      </c>
      <c r="D7" s="25">
        <v>7</v>
      </c>
      <c r="E7" s="25"/>
      <c r="F7" s="21">
        <f>'Apps &amp; Goals 26-27'!C5</f>
        <v>0</v>
      </c>
      <c r="G7" s="21">
        <f>'Apps &amp; Goals 26-27'!D5</f>
        <v>0</v>
      </c>
      <c r="H7" s="25">
        <f t="shared" ref="H7:H9" si="0">F7+C7</f>
        <v>131</v>
      </c>
      <c r="I7" s="25">
        <f t="shared" ref="I7:I9" si="1">G7+D7</f>
        <v>7</v>
      </c>
      <c r="K7" s="48" t="s">
        <v>204</v>
      </c>
      <c r="L7" s="26">
        <v>37</v>
      </c>
      <c r="M7" s="26">
        <v>1</v>
      </c>
      <c r="N7" s="26"/>
      <c r="O7" s="20">
        <f>'Apps &amp; Goals 26-27'!E5</f>
        <v>0</v>
      </c>
      <c r="P7" s="20">
        <f>'Apps &amp; Goals 26-27'!F5</f>
        <v>0</v>
      </c>
      <c r="Q7" s="26">
        <f t="shared" ref="Q7:Q19" si="2">O7+L7</f>
        <v>37</v>
      </c>
      <c r="R7" s="26">
        <f t="shared" ref="R7:R19" si="3">P7+M7</f>
        <v>1</v>
      </c>
      <c r="T7" s="23" t="s">
        <v>204</v>
      </c>
      <c r="U7" s="24">
        <v>5</v>
      </c>
      <c r="V7" s="24">
        <v>0</v>
      </c>
      <c r="W7" s="24"/>
      <c r="X7" s="68">
        <f>'Apps &amp; Goals 26-27'!G5</f>
        <v>0</v>
      </c>
      <c r="Y7" s="68">
        <f>'Apps &amp; Goals 26-27'!H5</f>
        <v>0</v>
      </c>
      <c r="Z7" s="24">
        <f t="shared" ref="Z7:Z19" si="4">X7+U7</f>
        <v>5</v>
      </c>
      <c r="AA7" s="24">
        <f t="shared" ref="AA7:AA19" si="5">Y7+V7</f>
        <v>0</v>
      </c>
      <c r="AC7" s="80" t="s">
        <v>204</v>
      </c>
      <c r="AD7" s="18">
        <v>10</v>
      </c>
      <c r="AE7" s="18">
        <v>0</v>
      </c>
      <c r="AF7" s="18"/>
      <c r="AG7" s="80">
        <f>'Apps &amp; Goals 26-27'!I5</f>
        <v>0</v>
      </c>
      <c r="AH7" s="80">
        <f>'Apps &amp; Goals 26-27'!J5</f>
        <v>0</v>
      </c>
      <c r="AI7" s="18">
        <f t="shared" ref="AI7:AI19" si="6">AG7+AD7</f>
        <v>10</v>
      </c>
      <c r="AJ7" s="18">
        <f t="shared" ref="AJ7:AJ19" si="7">AH7+AE7</f>
        <v>0</v>
      </c>
      <c r="AL7" s="32" t="s">
        <v>204</v>
      </c>
      <c r="AM7" s="33">
        <v>1</v>
      </c>
      <c r="AN7" s="33">
        <v>0</v>
      </c>
      <c r="AO7" s="33"/>
      <c r="AP7" s="81">
        <f>'Apps &amp; Goals 26-27'!K5</f>
        <v>0</v>
      </c>
      <c r="AQ7" s="81">
        <f>'Apps &amp; Goals 26-27'!L5</f>
        <v>0</v>
      </c>
      <c r="AR7" s="33">
        <f t="shared" ref="AR7:AR19" si="8">AP7+AM7</f>
        <v>1</v>
      </c>
      <c r="AS7" s="33">
        <f t="shared" ref="AS7:AS19" si="9">AQ7+AN7</f>
        <v>0</v>
      </c>
    </row>
    <row r="8" spans="1:45" x14ac:dyDescent="0.25">
      <c r="A8" s="27">
        <v>3</v>
      </c>
      <c r="B8" s="22" t="s">
        <v>326</v>
      </c>
      <c r="C8" s="25">
        <v>20</v>
      </c>
      <c r="D8" s="25">
        <v>0</v>
      </c>
      <c r="E8" s="25"/>
      <c r="F8" s="21">
        <f>'Apps &amp; Goals 26-27'!C6</f>
        <v>0</v>
      </c>
      <c r="G8" s="21">
        <f>'Apps &amp; Goals 26-27'!D6</f>
        <v>0</v>
      </c>
      <c r="H8" s="25">
        <f t="shared" si="0"/>
        <v>20</v>
      </c>
      <c r="I8" s="25">
        <f t="shared" si="1"/>
        <v>0</v>
      </c>
      <c r="K8" s="48" t="s">
        <v>326</v>
      </c>
      <c r="L8" s="26">
        <v>10</v>
      </c>
      <c r="M8" s="26">
        <v>0</v>
      </c>
      <c r="N8" s="26"/>
      <c r="O8" s="20">
        <f>'Apps &amp; Goals 26-27'!E6</f>
        <v>0</v>
      </c>
      <c r="P8" s="20">
        <f>'Apps &amp; Goals 26-27'!F6</f>
        <v>0</v>
      </c>
      <c r="Q8" s="26">
        <f t="shared" si="2"/>
        <v>10</v>
      </c>
      <c r="R8" s="26">
        <f t="shared" si="3"/>
        <v>0</v>
      </c>
      <c r="T8" s="23" t="s">
        <v>326</v>
      </c>
      <c r="U8" s="24">
        <v>3</v>
      </c>
      <c r="V8" s="24">
        <v>0</v>
      </c>
      <c r="W8" s="24"/>
      <c r="X8" s="68">
        <f>'Apps &amp; Goals 26-27'!G6</f>
        <v>0</v>
      </c>
      <c r="Y8" s="68">
        <f>'Apps &amp; Goals 26-27'!H6</f>
        <v>0</v>
      </c>
      <c r="Z8" s="24">
        <f t="shared" si="4"/>
        <v>3</v>
      </c>
      <c r="AA8" s="24">
        <f t="shared" si="5"/>
        <v>0</v>
      </c>
      <c r="AC8" s="80" t="s">
        <v>326</v>
      </c>
      <c r="AD8" s="18">
        <v>2</v>
      </c>
      <c r="AE8" s="18">
        <v>0</v>
      </c>
      <c r="AF8" s="18"/>
      <c r="AG8" s="80">
        <f>'Apps &amp; Goals 26-27'!I6</f>
        <v>0</v>
      </c>
      <c r="AH8" s="80">
        <f>'Apps &amp; Goals 26-27'!J6</f>
        <v>0</v>
      </c>
      <c r="AI8" s="18">
        <f t="shared" si="6"/>
        <v>2</v>
      </c>
      <c r="AJ8" s="18">
        <f t="shared" si="7"/>
        <v>0</v>
      </c>
      <c r="AL8" s="32" t="s">
        <v>326</v>
      </c>
      <c r="AM8" s="33">
        <v>0</v>
      </c>
      <c r="AN8" s="33">
        <v>0</v>
      </c>
      <c r="AO8" s="33"/>
      <c r="AP8" s="81">
        <f>'Apps &amp; Goals 26-27'!K6</f>
        <v>1</v>
      </c>
      <c r="AQ8" s="81">
        <f>'Apps &amp; Goals 26-27'!L6</f>
        <v>0</v>
      </c>
      <c r="AR8" s="33">
        <f t="shared" si="8"/>
        <v>1</v>
      </c>
      <c r="AS8" s="33">
        <f t="shared" si="9"/>
        <v>0</v>
      </c>
    </row>
    <row r="9" spans="1:45" x14ac:dyDescent="0.25">
      <c r="A9" s="27">
        <v>4</v>
      </c>
      <c r="B9" s="21" t="s">
        <v>229</v>
      </c>
      <c r="C9" s="25">
        <v>136</v>
      </c>
      <c r="D9" s="25">
        <v>6</v>
      </c>
      <c r="E9" s="25"/>
      <c r="F9" s="21">
        <f>'Apps &amp; Goals 26-27'!C7</f>
        <v>0</v>
      </c>
      <c r="G9" s="21">
        <f>'Apps &amp; Goals 26-27'!D7</f>
        <v>0</v>
      </c>
      <c r="H9" s="25">
        <f t="shared" si="0"/>
        <v>136</v>
      </c>
      <c r="I9" s="25">
        <f t="shared" si="1"/>
        <v>6</v>
      </c>
      <c r="K9" s="20" t="s">
        <v>229</v>
      </c>
      <c r="L9" s="26">
        <v>37</v>
      </c>
      <c r="M9" s="26">
        <v>0</v>
      </c>
      <c r="N9" s="26"/>
      <c r="O9" s="20">
        <f>'Apps &amp; Goals 26-27'!E7</f>
        <v>0</v>
      </c>
      <c r="P9" s="20">
        <f>'Apps &amp; Goals 26-27'!F7</f>
        <v>0</v>
      </c>
      <c r="Q9" s="26">
        <f t="shared" si="2"/>
        <v>37</v>
      </c>
      <c r="R9" s="26">
        <f t="shared" si="3"/>
        <v>0</v>
      </c>
      <c r="T9" s="68" t="s">
        <v>229</v>
      </c>
      <c r="U9" s="24">
        <v>6</v>
      </c>
      <c r="V9" s="24">
        <v>0</v>
      </c>
      <c r="W9" s="24"/>
      <c r="X9" s="68">
        <f>'Apps &amp; Goals 26-27'!G7</f>
        <v>0</v>
      </c>
      <c r="Y9" s="68">
        <f>'Apps &amp; Goals 26-27'!H7</f>
        <v>0</v>
      </c>
      <c r="Z9" s="24">
        <f t="shared" si="4"/>
        <v>6</v>
      </c>
      <c r="AA9" s="24">
        <f t="shared" si="5"/>
        <v>0</v>
      </c>
      <c r="AC9" s="80" t="s">
        <v>229</v>
      </c>
      <c r="AD9" s="18">
        <v>10</v>
      </c>
      <c r="AE9" s="18">
        <v>1</v>
      </c>
      <c r="AF9" s="18"/>
      <c r="AG9" s="80">
        <f>'Apps &amp; Goals 26-27'!I7</f>
        <v>0</v>
      </c>
      <c r="AH9" s="80">
        <f>'Apps &amp; Goals 26-27'!J7</f>
        <v>0</v>
      </c>
      <c r="AI9" s="18">
        <f t="shared" si="6"/>
        <v>10</v>
      </c>
      <c r="AJ9" s="18">
        <f t="shared" si="7"/>
        <v>1</v>
      </c>
      <c r="AL9" s="81" t="s">
        <v>229</v>
      </c>
      <c r="AM9" s="33">
        <v>1</v>
      </c>
      <c r="AN9" s="33">
        <v>0</v>
      </c>
      <c r="AO9" s="33"/>
      <c r="AP9" s="81">
        <f>'Apps &amp; Goals 26-27'!K7</f>
        <v>1</v>
      </c>
      <c r="AQ9" s="81">
        <f>'Apps &amp; Goals 26-27'!L7</f>
        <v>0</v>
      </c>
      <c r="AR9" s="33">
        <f t="shared" si="8"/>
        <v>2</v>
      </c>
      <c r="AS9" s="33">
        <f t="shared" si="9"/>
        <v>0</v>
      </c>
    </row>
    <row r="10" spans="1:45" x14ac:dyDescent="0.25">
      <c r="A10" s="27">
        <v>5</v>
      </c>
      <c r="B10" s="21" t="s">
        <v>328</v>
      </c>
      <c r="C10" s="25">
        <v>25</v>
      </c>
      <c r="D10" s="25">
        <v>1</v>
      </c>
      <c r="E10" s="25"/>
      <c r="F10" s="21">
        <f>'Apps &amp; Goals 26-27'!C8</f>
        <v>0</v>
      </c>
      <c r="G10" s="21">
        <f>'Apps &amp; Goals 26-27'!D8</f>
        <v>0</v>
      </c>
      <c r="H10" s="25">
        <f t="shared" ref="H10:H19" si="10">F10+C10</f>
        <v>25</v>
      </c>
      <c r="I10" s="25">
        <f t="shared" ref="I10:I19" si="11">G10+D10</f>
        <v>1</v>
      </c>
      <c r="K10" s="20" t="s">
        <v>328</v>
      </c>
      <c r="L10" s="26">
        <v>10</v>
      </c>
      <c r="M10" s="26">
        <v>0</v>
      </c>
      <c r="N10" s="26"/>
      <c r="O10" s="20">
        <f>'Apps &amp; Goals 26-27'!E8</f>
        <v>0</v>
      </c>
      <c r="P10" s="20">
        <f>'Apps &amp; Goals 26-27'!F8</f>
        <v>0</v>
      </c>
      <c r="Q10" s="26">
        <f t="shared" si="2"/>
        <v>10</v>
      </c>
      <c r="R10" s="26">
        <f t="shared" si="3"/>
        <v>0</v>
      </c>
      <c r="T10" s="68" t="s">
        <v>328</v>
      </c>
      <c r="U10" s="24">
        <v>1</v>
      </c>
      <c r="V10" s="24">
        <v>0</v>
      </c>
      <c r="W10" s="24"/>
      <c r="X10" s="68">
        <f>'Apps &amp; Goals 26-27'!G8</f>
        <v>0</v>
      </c>
      <c r="Y10" s="68">
        <f>'Apps &amp; Goals 26-27'!H8</f>
        <v>0</v>
      </c>
      <c r="Z10" s="24">
        <f t="shared" si="4"/>
        <v>1</v>
      </c>
      <c r="AA10" s="24">
        <f t="shared" si="5"/>
        <v>0</v>
      </c>
      <c r="AC10" s="80" t="s">
        <v>328</v>
      </c>
      <c r="AD10" s="18">
        <v>3</v>
      </c>
      <c r="AE10" s="18">
        <v>0</v>
      </c>
      <c r="AF10" s="18"/>
      <c r="AG10" s="80">
        <f>'Apps &amp; Goals 26-27'!I8</f>
        <v>0</v>
      </c>
      <c r="AH10" s="80">
        <f>'Apps &amp; Goals 26-27'!J8</f>
        <v>0</v>
      </c>
      <c r="AI10" s="18">
        <f t="shared" si="6"/>
        <v>3</v>
      </c>
      <c r="AJ10" s="18">
        <f t="shared" si="7"/>
        <v>0</v>
      </c>
      <c r="AL10" s="81" t="s">
        <v>328</v>
      </c>
      <c r="AM10" s="33">
        <v>0</v>
      </c>
      <c r="AN10" s="33">
        <v>0</v>
      </c>
      <c r="AO10" s="33"/>
      <c r="AP10" s="81">
        <f>'Apps &amp; Goals 26-27'!K8</f>
        <v>1</v>
      </c>
      <c r="AQ10" s="81">
        <f>'Apps &amp; Goals 26-27'!L8</f>
        <v>0</v>
      </c>
      <c r="AR10" s="33">
        <f t="shared" si="8"/>
        <v>1</v>
      </c>
      <c r="AS10" s="33">
        <f t="shared" si="9"/>
        <v>0</v>
      </c>
    </row>
    <row r="11" spans="1:45" x14ac:dyDescent="0.25">
      <c r="A11" s="27">
        <v>6</v>
      </c>
      <c r="B11" s="21" t="s">
        <v>206</v>
      </c>
      <c r="C11" s="25">
        <v>192</v>
      </c>
      <c r="D11" s="25">
        <v>20</v>
      </c>
      <c r="E11" s="25"/>
      <c r="F11" s="21">
        <f>'Apps &amp; Goals 26-27'!C9</f>
        <v>0</v>
      </c>
      <c r="G11" s="21">
        <f>'Apps &amp; Goals 26-27'!D9</f>
        <v>0</v>
      </c>
      <c r="H11" s="25">
        <f t="shared" si="10"/>
        <v>192</v>
      </c>
      <c r="I11" s="25">
        <f t="shared" si="11"/>
        <v>20</v>
      </c>
      <c r="K11" s="20" t="s">
        <v>206</v>
      </c>
      <c r="L11" s="26">
        <v>44</v>
      </c>
      <c r="M11" s="26">
        <v>3</v>
      </c>
      <c r="N11" s="26"/>
      <c r="O11" s="20">
        <f>'Apps &amp; Goals 26-27'!E9</f>
        <v>0</v>
      </c>
      <c r="P11" s="20">
        <f>'Apps &amp; Goals 26-27'!F9</f>
        <v>0</v>
      </c>
      <c r="Q11" s="26">
        <f t="shared" si="2"/>
        <v>44</v>
      </c>
      <c r="R11" s="26">
        <f t="shared" si="3"/>
        <v>3</v>
      </c>
      <c r="T11" s="68" t="s">
        <v>206</v>
      </c>
      <c r="U11" s="24">
        <v>7</v>
      </c>
      <c r="V11" s="24">
        <v>1</v>
      </c>
      <c r="W11" s="24"/>
      <c r="X11" s="68">
        <f>'Apps &amp; Goals 26-27'!G9</f>
        <v>0</v>
      </c>
      <c r="Y11" s="68">
        <f>'Apps &amp; Goals 26-27'!H9</f>
        <v>0</v>
      </c>
      <c r="Z11" s="24">
        <f t="shared" si="4"/>
        <v>7</v>
      </c>
      <c r="AA11" s="24">
        <f t="shared" si="5"/>
        <v>1</v>
      </c>
      <c r="AC11" s="80" t="s">
        <v>206</v>
      </c>
      <c r="AD11" s="18">
        <v>17</v>
      </c>
      <c r="AE11" s="18">
        <v>0</v>
      </c>
      <c r="AF11" s="18"/>
      <c r="AG11" s="80">
        <f>'Apps &amp; Goals 26-27'!I9</f>
        <v>0</v>
      </c>
      <c r="AH11" s="80">
        <f>'Apps &amp; Goals 26-27'!J9</f>
        <v>0</v>
      </c>
      <c r="AI11" s="18">
        <f t="shared" si="6"/>
        <v>17</v>
      </c>
      <c r="AJ11" s="18">
        <f t="shared" si="7"/>
        <v>0</v>
      </c>
      <c r="AL11" s="81" t="s">
        <v>206</v>
      </c>
      <c r="AM11" s="33">
        <v>1</v>
      </c>
      <c r="AN11" s="33">
        <v>0</v>
      </c>
      <c r="AO11" s="33"/>
      <c r="AP11" s="81">
        <f>'Apps &amp; Goals 26-27'!K9</f>
        <v>1</v>
      </c>
      <c r="AQ11" s="81">
        <f>'Apps &amp; Goals 26-27'!L9</f>
        <v>0</v>
      </c>
      <c r="AR11" s="33">
        <f t="shared" si="8"/>
        <v>2</v>
      </c>
      <c r="AS11" s="33">
        <f t="shared" si="9"/>
        <v>0</v>
      </c>
    </row>
    <row r="12" spans="1:45" x14ac:dyDescent="0.25">
      <c r="A12" s="27">
        <v>7</v>
      </c>
      <c r="B12" s="22" t="s">
        <v>188</v>
      </c>
      <c r="C12" s="25">
        <v>226</v>
      </c>
      <c r="D12" s="25">
        <v>60</v>
      </c>
      <c r="E12" s="25"/>
      <c r="F12" s="21">
        <f>'Apps &amp; Goals 26-27'!C10</f>
        <v>0</v>
      </c>
      <c r="G12" s="21">
        <f>'Apps &amp; Goals 26-27'!D10</f>
        <v>0</v>
      </c>
      <c r="H12" s="25">
        <f t="shared" si="10"/>
        <v>226</v>
      </c>
      <c r="I12" s="25">
        <f t="shared" si="11"/>
        <v>60</v>
      </c>
      <c r="K12" s="20" t="s">
        <v>188</v>
      </c>
      <c r="L12" s="26">
        <v>54</v>
      </c>
      <c r="M12" s="26">
        <v>18</v>
      </c>
      <c r="N12" s="26"/>
      <c r="O12" s="20">
        <f>'Apps &amp; Goals 26-27'!E10</f>
        <v>0</v>
      </c>
      <c r="P12" s="20">
        <f>'Apps &amp; Goals 26-27'!F10</f>
        <v>0</v>
      </c>
      <c r="Q12" s="26">
        <f t="shared" si="2"/>
        <v>54</v>
      </c>
      <c r="R12" s="26">
        <f t="shared" si="3"/>
        <v>18</v>
      </c>
      <c r="T12" s="68" t="s">
        <v>188</v>
      </c>
      <c r="U12" s="24">
        <v>13</v>
      </c>
      <c r="V12" s="24">
        <v>1</v>
      </c>
      <c r="W12" s="24"/>
      <c r="X12" s="68">
        <f>'Apps &amp; Goals 26-27'!G10</f>
        <v>0</v>
      </c>
      <c r="Y12" s="68">
        <f>'Apps &amp; Goals 26-27'!H10</f>
        <v>0</v>
      </c>
      <c r="Z12" s="24">
        <f t="shared" si="4"/>
        <v>13</v>
      </c>
      <c r="AA12" s="24">
        <f t="shared" si="5"/>
        <v>1</v>
      </c>
      <c r="AC12" s="80" t="s">
        <v>188</v>
      </c>
      <c r="AD12" s="18">
        <v>17</v>
      </c>
      <c r="AE12" s="18">
        <v>2</v>
      </c>
      <c r="AF12" s="18"/>
      <c r="AG12" s="80">
        <f>'Apps &amp; Goals 26-27'!I10</f>
        <v>0</v>
      </c>
      <c r="AH12" s="80">
        <f>'Apps &amp; Goals 26-27'!J10</f>
        <v>0</v>
      </c>
      <c r="AI12" s="18">
        <f t="shared" si="6"/>
        <v>17</v>
      </c>
      <c r="AJ12" s="18">
        <f t="shared" si="7"/>
        <v>2</v>
      </c>
      <c r="AL12" s="32" t="s">
        <v>188</v>
      </c>
      <c r="AM12" s="33">
        <v>2</v>
      </c>
      <c r="AN12" s="33">
        <v>0</v>
      </c>
      <c r="AO12" s="32"/>
      <c r="AP12" s="81">
        <f>'Apps &amp; Goals 26-27'!K10</f>
        <v>1</v>
      </c>
      <c r="AQ12" s="81">
        <f>'Apps &amp; Goals 26-27'!L10</f>
        <v>0</v>
      </c>
      <c r="AR12" s="33">
        <f t="shared" si="8"/>
        <v>3</v>
      </c>
      <c r="AS12" s="33">
        <f t="shared" si="9"/>
        <v>0</v>
      </c>
    </row>
    <row r="13" spans="1:45" x14ac:dyDescent="0.25">
      <c r="A13" s="27">
        <v>8</v>
      </c>
      <c r="B13" s="21" t="s">
        <v>227</v>
      </c>
      <c r="C13" s="25">
        <v>176</v>
      </c>
      <c r="D13" s="25">
        <v>35</v>
      </c>
      <c r="E13" s="25"/>
      <c r="F13" s="21">
        <f>'Apps &amp; Goals 26-27'!C11</f>
        <v>0</v>
      </c>
      <c r="G13" s="21">
        <f>'Apps &amp; Goals 26-27'!D11</f>
        <v>0</v>
      </c>
      <c r="H13" s="25">
        <f t="shared" si="10"/>
        <v>176</v>
      </c>
      <c r="I13" s="25">
        <f t="shared" si="11"/>
        <v>35</v>
      </c>
      <c r="K13" s="20" t="s">
        <v>227</v>
      </c>
      <c r="L13" s="26">
        <v>41</v>
      </c>
      <c r="M13" s="26">
        <v>6</v>
      </c>
      <c r="N13" s="26"/>
      <c r="O13" s="20">
        <f>'Apps &amp; Goals 26-27'!E11</f>
        <v>0</v>
      </c>
      <c r="P13" s="20">
        <f>'Apps &amp; Goals 26-27'!F11</f>
        <v>0</v>
      </c>
      <c r="Q13" s="26">
        <f t="shared" si="2"/>
        <v>41</v>
      </c>
      <c r="R13" s="26">
        <f t="shared" si="3"/>
        <v>6</v>
      </c>
      <c r="T13" s="23" t="s">
        <v>227</v>
      </c>
      <c r="U13" s="24">
        <v>6</v>
      </c>
      <c r="V13" s="24">
        <v>0</v>
      </c>
      <c r="W13" s="24"/>
      <c r="X13" s="68">
        <f>'Apps &amp; Goals 26-27'!G11</f>
        <v>0</v>
      </c>
      <c r="Y13" s="68">
        <f>'Apps &amp; Goals 26-27'!H11</f>
        <v>0</v>
      </c>
      <c r="Z13" s="24">
        <f t="shared" si="4"/>
        <v>6</v>
      </c>
      <c r="AA13" s="24">
        <f t="shared" si="5"/>
        <v>0</v>
      </c>
      <c r="AC13" s="19" t="s">
        <v>227</v>
      </c>
      <c r="AD13" s="18">
        <v>10</v>
      </c>
      <c r="AE13" s="18">
        <v>1</v>
      </c>
      <c r="AF13" s="18"/>
      <c r="AG13" s="80">
        <f>'Apps &amp; Goals 26-27'!I11</f>
        <v>0</v>
      </c>
      <c r="AH13" s="80">
        <f>'Apps &amp; Goals 26-27'!J11</f>
        <v>0</v>
      </c>
      <c r="AI13" s="18">
        <f t="shared" si="6"/>
        <v>10</v>
      </c>
      <c r="AJ13" s="18">
        <f t="shared" si="7"/>
        <v>1</v>
      </c>
      <c r="AL13" s="32" t="s">
        <v>227</v>
      </c>
      <c r="AM13" s="33">
        <v>1</v>
      </c>
      <c r="AN13" s="33">
        <v>0</v>
      </c>
      <c r="AO13" s="33"/>
      <c r="AP13" s="81">
        <f>'Apps &amp; Goals 26-27'!K11</f>
        <v>1</v>
      </c>
      <c r="AQ13" s="81">
        <f>'Apps &amp; Goals 26-27'!L11</f>
        <v>1</v>
      </c>
      <c r="AR13" s="33">
        <f t="shared" si="8"/>
        <v>2</v>
      </c>
      <c r="AS13" s="33">
        <f t="shared" si="9"/>
        <v>1</v>
      </c>
    </row>
    <row r="14" spans="1:45" x14ac:dyDescent="0.25">
      <c r="A14" s="27">
        <v>9</v>
      </c>
      <c r="B14" s="21" t="s">
        <v>268</v>
      </c>
      <c r="C14" s="25">
        <v>84</v>
      </c>
      <c r="D14" s="25">
        <v>21</v>
      </c>
      <c r="E14" s="25"/>
      <c r="F14" s="21">
        <f>'Apps &amp; Goals 26-27'!C12</f>
        <v>0</v>
      </c>
      <c r="G14" s="21">
        <f>'Apps &amp; Goals 26-27'!D12</f>
        <v>0</v>
      </c>
      <c r="H14" s="25">
        <f t="shared" si="10"/>
        <v>84</v>
      </c>
      <c r="I14" s="25">
        <f t="shared" si="11"/>
        <v>21</v>
      </c>
      <c r="K14" s="20" t="s">
        <v>268</v>
      </c>
      <c r="L14" s="26">
        <v>25</v>
      </c>
      <c r="M14" s="26">
        <v>6</v>
      </c>
      <c r="N14" s="26"/>
      <c r="O14" s="20">
        <f>'Apps &amp; Goals 26-27'!E12</f>
        <v>0</v>
      </c>
      <c r="P14" s="20">
        <f>'Apps &amp; Goals 26-27'!F12</f>
        <v>0</v>
      </c>
      <c r="Q14" s="26">
        <f t="shared" si="2"/>
        <v>25</v>
      </c>
      <c r="R14" s="26">
        <f t="shared" si="3"/>
        <v>6</v>
      </c>
      <c r="T14" s="23" t="s">
        <v>268</v>
      </c>
      <c r="U14" s="24">
        <v>5</v>
      </c>
      <c r="V14" s="24">
        <v>1</v>
      </c>
      <c r="W14" s="24"/>
      <c r="X14" s="68">
        <f>'Apps &amp; Goals 26-27'!G12</f>
        <v>0</v>
      </c>
      <c r="Y14" s="68">
        <f>'Apps &amp; Goals 26-27'!H12</f>
        <v>0</v>
      </c>
      <c r="Z14" s="24">
        <f t="shared" si="4"/>
        <v>5</v>
      </c>
      <c r="AA14" s="24">
        <f t="shared" si="5"/>
        <v>1</v>
      </c>
      <c r="AC14" s="19" t="s">
        <v>268</v>
      </c>
      <c r="AD14" s="18">
        <v>9</v>
      </c>
      <c r="AE14" s="18">
        <v>4</v>
      </c>
      <c r="AF14" s="18"/>
      <c r="AG14" s="80">
        <f>'Apps &amp; Goals 26-27'!I12</f>
        <v>0</v>
      </c>
      <c r="AH14" s="80">
        <f>'Apps &amp; Goals 26-27'!J12</f>
        <v>0</v>
      </c>
      <c r="AI14" s="18">
        <f t="shared" si="6"/>
        <v>9</v>
      </c>
      <c r="AJ14" s="18">
        <f t="shared" si="7"/>
        <v>4</v>
      </c>
      <c r="AL14" s="32" t="s">
        <v>268</v>
      </c>
      <c r="AM14" s="33">
        <v>0</v>
      </c>
      <c r="AN14" s="33">
        <v>0</v>
      </c>
      <c r="AO14" s="33"/>
      <c r="AP14" s="81">
        <f>'Apps &amp; Goals 26-27'!K12</f>
        <v>0</v>
      </c>
      <c r="AQ14" s="81">
        <f>'Apps &amp; Goals 26-27'!L12</f>
        <v>0</v>
      </c>
      <c r="AR14" s="33">
        <f t="shared" si="8"/>
        <v>0</v>
      </c>
      <c r="AS14" s="33">
        <f t="shared" si="9"/>
        <v>0</v>
      </c>
    </row>
    <row r="15" spans="1:45" x14ac:dyDescent="0.25">
      <c r="A15" s="27">
        <v>10</v>
      </c>
      <c r="B15" s="21" t="s">
        <v>329</v>
      </c>
      <c r="C15" s="25">
        <v>32</v>
      </c>
      <c r="D15" s="25">
        <v>7</v>
      </c>
      <c r="E15" s="25"/>
      <c r="F15" s="21">
        <f>'Apps &amp; Goals 26-27'!C13</f>
        <v>0</v>
      </c>
      <c r="G15" s="21">
        <f>'Apps &amp; Goals 26-27'!D13</f>
        <v>0</v>
      </c>
      <c r="H15" s="25">
        <f t="shared" si="10"/>
        <v>32</v>
      </c>
      <c r="I15" s="25">
        <f t="shared" si="11"/>
        <v>7</v>
      </c>
      <c r="K15" s="20" t="s">
        <v>329</v>
      </c>
      <c r="L15" s="26">
        <v>13</v>
      </c>
      <c r="M15" s="26">
        <v>1</v>
      </c>
      <c r="N15" s="26"/>
      <c r="O15" s="20">
        <f>'Apps &amp; Goals 26-27'!E13</f>
        <v>0</v>
      </c>
      <c r="P15" s="20">
        <f>'Apps &amp; Goals 26-27'!F13</f>
        <v>0</v>
      </c>
      <c r="Q15" s="26">
        <f t="shared" si="2"/>
        <v>13</v>
      </c>
      <c r="R15" s="26">
        <f t="shared" si="3"/>
        <v>1</v>
      </c>
      <c r="T15" s="23" t="s">
        <v>329</v>
      </c>
      <c r="U15" s="24">
        <v>3</v>
      </c>
      <c r="V15" s="24">
        <v>1</v>
      </c>
      <c r="W15" s="24"/>
      <c r="X15" s="68">
        <f>'Apps &amp; Goals 26-27'!G13</f>
        <v>0</v>
      </c>
      <c r="Y15" s="68">
        <f>'Apps &amp; Goals 26-27'!H13</f>
        <v>0</v>
      </c>
      <c r="Z15" s="24">
        <f t="shared" si="4"/>
        <v>3</v>
      </c>
      <c r="AA15" s="24">
        <f t="shared" si="5"/>
        <v>1</v>
      </c>
      <c r="AC15" s="19" t="s">
        <v>329</v>
      </c>
      <c r="AD15" s="18">
        <v>4</v>
      </c>
      <c r="AE15" s="18">
        <v>1</v>
      </c>
      <c r="AF15" s="18"/>
      <c r="AG15" s="80">
        <f>'Apps &amp; Goals 26-27'!I13</f>
        <v>0</v>
      </c>
      <c r="AH15" s="80">
        <f>'Apps &amp; Goals 26-27'!J13</f>
        <v>0</v>
      </c>
      <c r="AI15" s="18">
        <f t="shared" si="6"/>
        <v>4</v>
      </c>
      <c r="AJ15" s="18">
        <f t="shared" si="7"/>
        <v>1</v>
      </c>
      <c r="AL15" s="32" t="s">
        <v>329</v>
      </c>
      <c r="AM15" s="33">
        <v>0</v>
      </c>
      <c r="AN15" s="33">
        <v>0</v>
      </c>
      <c r="AO15" s="33"/>
      <c r="AP15" s="81">
        <f>'Apps &amp; Goals 26-27'!K13</f>
        <v>1</v>
      </c>
      <c r="AQ15" s="81">
        <f>'Apps &amp; Goals 26-27'!L13</f>
        <v>0</v>
      </c>
      <c r="AR15" s="33">
        <f t="shared" si="8"/>
        <v>1</v>
      </c>
      <c r="AS15" s="33">
        <f t="shared" si="9"/>
        <v>0</v>
      </c>
    </row>
    <row r="16" spans="1:45" x14ac:dyDescent="0.25">
      <c r="A16" s="27">
        <v>11</v>
      </c>
      <c r="B16" s="22" t="s">
        <v>196</v>
      </c>
      <c r="C16" s="25">
        <v>191</v>
      </c>
      <c r="D16" s="25">
        <v>41</v>
      </c>
      <c r="E16" s="25"/>
      <c r="F16" s="21">
        <f>'Apps &amp; Goals 26-27'!C14</f>
        <v>0</v>
      </c>
      <c r="G16" s="21">
        <f>'Apps &amp; Goals 26-27'!D14</f>
        <v>0</v>
      </c>
      <c r="H16" s="25">
        <f t="shared" si="10"/>
        <v>191</v>
      </c>
      <c r="I16" s="25">
        <f t="shared" si="11"/>
        <v>41</v>
      </c>
      <c r="K16" s="48" t="s">
        <v>196</v>
      </c>
      <c r="L16" s="26">
        <v>53</v>
      </c>
      <c r="M16" s="26">
        <v>13</v>
      </c>
      <c r="N16" s="26"/>
      <c r="O16" s="20">
        <f>'Apps &amp; Goals 26-27'!E14</f>
        <v>0</v>
      </c>
      <c r="P16" s="20">
        <f>'Apps &amp; Goals 26-27'!F14</f>
        <v>0</v>
      </c>
      <c r="Q16" s="26">
        <f t="shared" si="2"/>
        <v>53</v>
      </c>
      <c r="R16" s="26">
        <f t="shared" si="3"/>
        <v>13</v>
      </c>
      <c r="T16" s="68" t="s">
        <v>196</v>
      </c>
      <c r="U16" s="24">
        <v>13</v>
      </c>
      <c r="V16" s="24">
        <v>4</v>
      </c>
      <c r="W16" s="24"/>
      <c r="X16" s="68">
        <f>'Apps &amp; Goals 26-27'!G14</f>
        <v>0</v>
      </c>
      <c r="Y16" s="68">
        <f>'Apps &amp; Goals 26-27'!H14</f>
        <v>0</v>
      </c>
      <c r="Z16" s="24">
        <f t="shared" si="4"/>
        <v>13</v>
      </c>
      <c r="AA16" s="24">
        <f t="shared" si="5"/>
        <v>4</v>
      </c>
      <c r="AC16" s="80" t="s">
        <v>196</v>
      </c>
      <c r="AD16" s="18">
        <v>20</v>
      </c>
      <c r="AE16" s="18">
        <v>4</v>
      </c>
      <c r="AF16" s="18"/>
      <c r="AG16" s="80">
        <f>'Apps &amp; Goals 26-27'!I14</f>
        <v>0</v>
      </c>
      <c r="AH16" s="80">
        <f>'Apps &amp; Goals 26-27'!J14</f>
        <v>0</v>
      </c>
      <c r="AI16" s="18">
        <f t="shared" si="6"/>
        <v>20</v>
      </c>
      <c r="AJ16" s="18">
        <f t="shared" si="7"/>
        <v>4</v>
      </c>
      <c r="AL16" s="32" t="s">
        <v>196</v>
      </c>
      <c r="AM16" s="33">
        <v>1</v>
      </c>
      <c r="AN16" s="33">
        <v>0</v>
      </c>
      <c r="AO16" s="33"/>
      <c r="AP16" s="81">
        <f>'Apps &amp; Goals 26-27'!K14</f>
        <v>0</v>
      </c>
      <c r="AQ16" s="81">
        <f>'Apps &amp; Goals 26-27'!L14</f>
        <v>0</v>
      </c>
      <c r="AR16" s="33">
        <f t="shared" si="8"/>
        <v>1</v>
      </c>
      <c r="AS16" s="33">
        <f t="shared" si="9"/>
        <v>0</v>
      </c>
    </row>
    <row r="17" spans="1:45" x14ac:dyDescent="0.25">
      <c r="A17" s="27">
        <v>12</v>
      </c>
      <c r="B17" s="22" t="s">
        <v>285</v>
      </c>
      <c r="C17" s="25">
        <v>62</v>
      </c>
      <c r="D17" s="25">
        <v>4</v>
      </c>
      <c r="E17" s="25"/>
      <c r="F17" s="21">
        <f>'Apps &amp; Goals 26-27'!C15</f>
        <v>0</v>
      </c>
      <c r="G17" s="21">
        <f>'Apps &amp; Goals 26-27'!D15</f>
        <v>0</v>
      </c>
      <c r="H17" s="25">
        <f t="shared" si="10"/>
        <v>62</v>
      </c>
      <c r="I17" s="25">
        <f t="shared" si="11"/>
        <v>4</v>
      </c>
      <c r="K17" s="48" t="s">
        <v>285</v>
      </c>
      <c r="L17" s="26">
        <v>21</v>
      </c>
      <c r="M17" s="26">
        <v>2</v>
      </c>
      <c r="N17" s="26"/>
      <c r="O17" s="20">
        <f>'Apps &amp; Goals 26-27'!E15</f>
        <v>0</v>
      </c>
      <c r="P17" s="20">
        <f>'Apps &amp; Goals 26-27'!F15</f>
        <v>0</v>
      </c>
      <c r="Q17" s="26">
        <f t="shared" si="2"/>
        <v>21</v>
      </c>
      <c r="R17" s="26">
        <f t="shared" si="3"/>
        <v>2</v>
      </c>
      <c r="T17" s="68" t="s">
        <v>285</v>
      </c>
      <c r="U17" s="24">
        <v>3</v>
      </c>
      <c r="V17" s="24">
        <v>0</v>
      </c>
      <c r="W17" s="24"/>
      <c r="X17" s="68">
        <f>'Apps &amp; Goals 26-27'!G15</f>
        <v>0</v>
      </c>
      <c r="Y17" s="68">
        <f>'Apps &amp; Goals 26-27'!H15</f>
        <v>0</v>
      </c>
      <c r="Z17" s="24">
        <f t="shared" si="4"/>
        <v>3</v>
      </c>
      <c r="AA17" s="24">
        <f t="shared" si="5"/>
        <v>0</v>
      </c>
      <c r="AC17" s="80" t="s">
        <v>285</v>
      </c>
      <c r="AD17" s="18">
        <v>8</v>
      </c>
      <c r="AE17" s="18">
        <v>0</v>
      </c>
      <c r="AF17" s="18"/>
      <c r="AG17" s="80">
        <f>'Apps &amp; Goals 26-27'!I15</f>
        <v>0</v>
      </c>
      <c r="AH17" s="80">
        <f>'Apps &amp; Goals 26-27'!J15</f>
        <v>0</v>
      </c>
      <c r="AI17" s="18">
        <f t="shared" si="6"/>
        <v>8</v>
      </c>
      <c r="AJ17" s="18">
        <f t="shared" si="7"/>
        <v>0</v>
      </c>
      <c r="AL17" s="32" t="s">
        <v>285</v>
      </c>
      <c r="AM17" s="33">
        <v>1</v>
      </c>
      <c r="AN17" s="33">
        <v>0</v>
      </c>
      <c r="AO17" s="33"/>
      <c r="AP17" s="81">
        <f>'Apps &amp; Goals 26-27'!K15</f>
        <v>0</v>
      </c>
      <c r="AQ17" s="81">
        <f>'Apps &amp; Goals 26-27'!L15</f>
        <v>0</v>
      </c>
      <c r="AR17" s="33">
        <f t="shared" si="8"/>
        <v>1</v>
      </c>
      <c r="AS17" s="33">
        <f t="shared" si="9"/>
        <v>0</v>
      </c>
    </row>
    <row r="18" spans="1:45" x14ac:dyDescent="0.25">
      <c r="A18" s="27">
        <v>13</v>
      </c>
      <c r="B18" s="22" t="s">
        <v>322</v>
      </c>
      <c r="C18" s="25">
        <v>1</v>
      </c>
      <c r="D18" s="25">
        <v>0</v>
      </c>
      <c r="E18" s="25"/>
      <c r="F18" s="21">
        <f>'Apps &amp; Goals 26-27'!C16</f>
        <v>0</v>
      </c>
      <c r="G18" s="21">
        <f>'Apps &amp; Goals 26-27'!D16</f>
        <v>0</v>
      </c>
      <c r="H18" s="25">
        <f t="shared" si="10"/>
        <v>1</v>
      </c>
      <c r="I18" s="25">
        <f t="shared" si="11"/>
        <v>0</v>
      </c>
      <c r="K18" s="48" t="s">
        <v>322</v>
      </c>
      <c r="L18" s="26">
        <v>1</v>
      </c>
      <c r="M18" s="26">
        <v>0</v>
      </c>
      <c r="N18" s="26"/>
      <c r="O18" s="20">
        <f>'Apps &amp; Goals 26-27'!E16</f>
        <v>0</v>
      </c>
      <c r="P18" s="20">
        <f>'Apps &amp; Goals 26-27'!F16</f>
        <v>0</v>
      </c>
      <c r="Q18" s="26">
        <f t="shared" si="2"/>
        <v>1</v>
      </c>
      <c r="R18" s="26">
        <f t="shared" si="3"/>
        <v>0</v>
      </c>
      <c r="T18" s="68" t="s">
        <v>322</v>
      </c>
      <c r="U18" s="24">
        <v>4</v>
      </c>
      <c r="V18" s="24">
        <v>0</v>
      </c>
      <c r="W18" s="24"/>
      <c r="X18" s="68">
        <f>'Apps &amp; Goals 26-27'!G16</f>
        <v>0</v>
      </c>
      <c r="Y18" s="68">
        <f>'Apps &amp; Goals 26-27'!H16</f>
        <v>0</v>
      </c>
      <c r="Z18" s="24">
        <f t="shared" si="4"/>
        <v>4</v>
      </c>
      <c r="AA18" s="24">
        <f t="shared" si="5"/>
        <v>0</v>
      </c>
      <c r="AC18" s="80" t="s">
        <v>322</v>
      </c>
      <c r="AD18" s="18">
        <v>6</v>
      </c>
      <c r="AE18" s="18">
        <v>0</v>
      </c>
      <c r="AF18" s="18"/>
      <c r="AG18" s="80">
        <f>'Apps &amp; Goals 26-27'!I16</f>
        <v>0</v>
      </c>
      <c r="AH18" s="80">
        <f>'Apps &amp; Goals 26-27'!J16</f>
        <v>0</v>
      </c>
      <c r="AI18" s="18">
        <f t="shared" si="6"/>
        <v>6</v>
      </c>
      <c r="AJ18" s="18">
        <f t="shared" si="7"/>
        <v>0</v>
      </c>
      <c r="AL18" s="32" t="s">
        <v>322</v>
      </c>
      <c r="AM18" s="33">
        <v>0</v>
      </c>
      <c r="AN18" s="33">
        <v>0</v>
      </c>
      <c r="AO18" s="33"/>
      <c r="AP18" s="81">
        <f>'Apps &amp; Goals 26-27'!K16</f>
        <v>0</v>
      </c>
      <c r="AQ18" s="81">
        <f>'Apps &amp; Goals 26-27'!L16</f>
        <v>0</v>
      </c>
      <c r="AR18" s="33">
        <f t="shared" si="8"/>
        <v>0</v>
      </c>
      <c r="AS18" s="33">
        <f t="shared" si="9"/>
        <v>0</v>
      </c>
    </row>
    <row r="19" spans="1:45" x14ac:dyDescent="0.25">
      <c r="A19" s="27">
        <v>14</v>
      </c>
      <c r="B19" s="22" t="s">
        <v>327</v>
      </c>
      <c r="C19" s="25">
        <v>36</v>
      </c>
      <c r="D19" s="25">
        <v>14</v>
      </c>
      <c r="E19" s="25"/>
      <c r="F19" s="21">
        <f>'Apps &amp; Goals 26-27'!C17</f>
        <v>0</v>
      </c>
      <c r="G19" s="21">
        <f>'Apps &amp; Goals 26-27'!D17</f>
        <v>0</v>
      </c>
      <c r="H19" s="25">
        <f t="shared" si="10"/>
        <v>36</v>
      </c>
      <c r="I19" s="25">
        <f t="shared" si="11"/>
        <v>14</v>
      </c>
      <c r="K19" s="48" t="s">
        <v>327</v>
      </c>
      <c r="L19" s="26">
        <v>13</v>
      </c>
      <c r="M19" s="26">
        <v>5</v>
      </c>
      <c r="N19" s="26"/>
      <c r="O19" s="20">
        <f>'Apps &amp; Goals 26-27'!E17</f>
        <v>0</v>
      </c>
      <c r="P19" s="20">
        <f>'Apps &amp; Goals 26-27'!F17</f>
        <v>0</v>
      </c>
      <c r="Q19" s="26">
        <f t="shared" si="2"/>
        <v>13</v>
      </c>
      <c r="R19" s="26">
        <f t="shared" si="3"/>
        <v>5</v>
      </c>
      <c r="T19" s="68" t="s">
        <v>327</v>
      </c>
      <c r="U19" s="24">
        <v>2</v>
      </c>
      <c r="V19" s="24">
        <v>1</v>
      </c>
      <c r="W19" s="24"/>
      <c r="X19" s="68">
        <f>'Apps &amp; Goals 26-27'!G17</f>
        <v>0</v>
      </c>
      <c r="Y19" s="68">
        <f>'Apps &amp; Goals 26-27'!H17</f>
        <v>0</v>
      </c>
      <c r="Z19" s="24">
        <f t="shared" si="4"/>
        <v>2</v>
      </c>
      <c r="AA19" s="24">
        <f t="shared" si="5"/>
        <v>1</v>
      </c>
      <c r="AC19" s="80" t="s">
        <v>327</v>
      </c>
      <c r="AD19" s="18">
        <v>4</v>
      </c>
      <c r="AE19" s="18">
        <v>1</v>
      </c>
      <c r="AF19" s="18"/>
      <c r="AG19" s="80">
        <f>'Apps &amp; Goals 26-27'!I17</f>
        <v>0</v>
      </c>
      <c r="AH19" s="80">
        <f>'Apps &amp; Goals 26-27'!J17</f>
        <v>0</v>
      </c>
      <c r="AI19" s="18">
        <f t="shared" si="6"/>
        <v>4</v>
      </c>
      <c r="AJ19" s="18">
        <f t="shared" si="7"/>
        <v>1</v>
      </c>
      <c r="AL19" s="32" t="s">
        <v>327</v>
      </c>
      <c r="AM19" s="33">
        <v>0</v>
      </c>
      <c r="AN19" s="33">
        <v>0</v>
      </c>
      <c r="AO19" s="33"/>
      <c r="AP19" s="81">
        <f>'Apps &amp; Goals 26-27'!K17</f>
        <v>1</v>
      </c>
      <c r="AQ19" s="81">
        <f>'Apps &amp; Goals 26-27'!L17</f>
        <v>0</v>
      </c>
      <c r="AR19" s="33">
        <f t="shared" si="8"/>
        <v>1</v>
      </c>
      <c r="AS19" s="33">
        <f t="shared" si="9"/>
        <v>0</v>
      </c>
    </row>
    <row r="20" spans="1:45" x14ac:dyDescent="0.25">
      <c r="A20" s="27">
        <v>17</v>
      </c>
      <c r="B20" s="21" t="s">
        <v>353</v>
      </c>
      <c r="C20" s="25">
        <v>0</v>
      </c>
      <c r="D20" s="25">
        <v>0</v>
      </c>
      <c r="E20" s="25"/>
      <c r="F20" s="21">
        <f>'Apps &amp; Goals 26-27'!C18</f>
        <v>0</v>
      </c>
      <c r="G20" s="21">
        <f>'Apps &amp; Goals 26-27'!D18</f>
        <v>0</v>
      </c>
      <c r="H20" s="25">
        <f t="shared" ref="H20:H26" si="12">F20+C20</f>
        <v>0</v>
      </c>
      <c r="I20" s="25">
        <f t="shared" ref="I20:I26" si="13">G20+D20</f>
        <v>0</v>
      </c>
      <c r="K20" s="48" t="s">
        <v>353</v>
      </c>
      <c r="L20" s="26">
        <v>0</v>
      </c>
      <c r="M20" s="26">
        <v>0</v>
      </c>
      <c r="N20" s="26"/>
      <c r="O20" s="20">
        <f>'Apps &amp; Goals 26-27'!E18</f>
        <v>0</v>
      </c>
      <c r="P20" s="20">
        <f>'Apps &amp; Goals 26-27'!F18</f>
        <v>0</v>
      </c>
      <c r="Q20" s="26">
        <f t="shared" ref="Q20:Q26" si="14">O20+L20</f>
        <v>0</v>
      </c>
      <c r="R20" s="26">
        <f t="shared" ref="R20:R26" si="15">P20+M20</f>
        <v>0</v>
      </c>
      <c r="T20" s="23" t="s">
        <v>353</v>
      </c>
      <c r="U20" s="24">
        <v>0</v>
      </c>
      <c r="V20" s="24">
        <v>0</v>
      </c>
      <c r="W20" s="24"/>
      <c r="X20" s="68">
        <f>'Apps &amp; Goals 26-27'!G18</f>
        <v>0</v>
      </c>
      <c r="Y20" s="68">
        <f>'Apps &amp; Goals 26-27'!H18</f>
        <v>0</v>
      </c>
      <c r="Z20" s="24">
        <f t="shared" ref="Z20:Z26" si="16">X20+U20</f>
        <v>0</v>
      </c>
      <c r="AA20" s="24">
        <f t="shared" ref="AA20:AA26" si="17">Y20+V20</f>
        <v>0</v>
      </c>
      <c r="AC20" s="201" t="s">
        <v>353</v>
      </c>
      <c r="AD20" s="18">
        <v>0</v>
      </c>
      <c r="AE20" s="18">
        <v>0</v>
      </c>
      <c r="AF20" s="18"/>
      <c r="AG20" s="80">
        <f>'Apps &amp; Goals 26-27'!I18</f>
        <v>0</v>
      </c>
      <c r="AH20" s="80">
        <f>'Apps &amp; Goals 26-27'!J18</f>
        <v>0</v>
      </c>
      <c r="AI20" s="18">
        <f t="shared" ref="AI20:AI26" si="18">AG20+AD20</f>
        <v>0</v>
      </c>
      <c r="AJ20" s="18">
        <f t="shared" ref="AJ20:AJ26" si="19">AH20+AE20</f>
        <v>0</v>
      </c>
      <c r="AL20" s="32" t="s">
        <v>353</v>
      </c>
      <c r="AM20" s="33">
        <v>0</v>
      </c>
      <c r="AN20" s="33">
        <v>0</v>
      </c>
      <c r="AO20" s="33"/>
      <c r="AP20" s="81">
        <f>'Apps &amp; Goals 26-27'!K18</f>
        <v>1</v>
      </c>
      <c r="AQ20" s="81">
        <f>'Apps &amp; Goals 26-27'!L18</f>
        <v>0</v>
      </c>
      <c r="AR20" s="33">
        <f t="shared" ref="AR20:AR26" si="20">AP20+AM20</f>
        <v>1</v>
      </c>
      <c r="AS20" s="33">
        <f t="shared" ref="AS20:AS26" si="21">AQ20+AN20</f>
        <v>0</v>
      </c>
    </row>
    <row r="21" spans="1:45" x14ac:dyDescent="0.25">
      <c r="A21" s="27">
        <v>20</v>
      </c>
      <c r="B21" s="21" t="s">
        <v>325</v>
      </c>
      <c r="C21" s="25">
        <v>26</v>
      </c>
      <c r="D21" s="25">
        <v>3</v>
      </c>
      <c r="E21" s="25"/>
      <c r="F21" s="21">
        <f>'Apps &amp; Goals 26-27'!C19</f>
        <v>0</v>
      </c>
      <c r="G21" s="21">
        <f>'Apps &amp; Goals 26-27'!D19</f>
        <v>0</v>
      </c>
      <c r="H21" s="25">
        <f t="shared" si="12"/>
        <v>26</v>
      </c>
      <c r="I21" s="25">
        <f t="shared" si="13"/>
        <v>3</v>
      </c>
      <c r="K21" s="20" t="s">
        <v>325</v>
      </c>
      <c r="L21" s="26">
        <v>9</v>
      </c>
      <c r="M21" s="26">
        <v>3</v>
      </c>
      <c r="N21" s="26"/>
      <c r="O21" s="20">
        <f>'Apps &amp; Goals 26-27'!E19</f>
        <v>0</v>
      </c>
      <c r="P21" s="20">
        <f>'Apps &amp; Goals 26-27'!F19</f>
        <v>0</v>
      </c>
      <c r="Q21" s="26">
        <f t="shared" si="14"/>
        <v>9</v>
      </c>
      <c r="R21" s="26">
        <f t="shared" si="15"/>
        <v>3</v>
      </c>
      <c r="T21" s="23" t="s">
        <v>325</v>
      </c>
      <c r="U21" s="24">
        <v>4</v>
      </c>
      <c r="V21" s="24">
        <v>2</v>
      </c>
      <c r="W21" s="24"/>
      <c r="X21" s="68">
        <f>'Apps &amp; Goals 26-27'!G19</f>
        <v>0</v>
      </c>
      <c r="Y21" s="68">
        <f>'Apps &amp; Goals 26-27'!H19</f>
        <v>0</v>
      </c>
      <c r="Z21" s="24">
        <f t="shared" si="16"/>
        <v>4</v>
      </c>
      <c r="AA21" s="24">
        <f t="shared" si="17"/>
        <v>2</v>
      </c>
      <c r="AC21" s="82" t="s">
        <v>325</v>
      </c>
      <c r="AD21" s="18">
        <v>3</v>
      </c>
      <c r="AE21" s="18">
        <v>0</v>
      </c>
      <c r="AF21" s="18"/>
      <c r="AG21" s="80">
        <f>'Apps &amp; Goals 26-27'!I19</f>
        <v>0</v>
      </c>
      <c r="AH21" s="80">
        <f>'Apps &amp; Goals 26-27'!J19</f>
        <v>0</v>
      </c>
      <c r="AI21" s="18">
        <f t="shared" si="18"/>
        <v>3</v>
      </c>
      <c r="AJ21" s="18">
        <f t="shared" si="19"/>
        <v>0</v>
      </c>
      <c r="AL21" s="81" t="s">
        <v>325</v>
      </c>
      <c r="AM21" s="33">
        <v>0</v>
      </c>
      <c r="AN21" s="33">
        <v>0</v>
      </c>
      <c r="AO21" s="33"/>
      <c r="AP21" s="81">
        <f>'Apps &amp; Goals 26-27'!K19</f>
        <v>1</v>
      </c>
      <c r="AQ21" s="81">
        <f>'Apps &amp; Goals 26-27'!L19</f>
        <v>0</v>
      </c>
      <c r="AR21" s="33">
        <f t="shared" si="20"/>
        <v>1</v>
      </c>
      <c r="AS21" s="33">
        <f t="shared" si="21"/>
        <v>0</v>
      </c>
    </row>
    <row r="22" spans="1:45" x14ac:dyDescent="0.25">
      <c r="A22" s="27">
        <v>21</v>
      </c>
      <c r="B22" s="21" t="s">
        <v>267</v>
      </c>
      <c r="C22" s="25">
        <v>33</v>
      </c>
      <c r="D22" s="25">
        <v>2</v>
      </c>
      <c r="E22" s="25"/>
      <c r="F22" s="21">
        <f>'Apps &amp; Goals 26-27'!C20</f>
        <v>0</v>
      </c>
      <c r="G22" s="21">
        <f>'Apps &amp; Goals 26-27'!D20</f>
        <v>0</v>
      </c>
      <c r="H22" s="25">
        <f t="shared" si="12"/>
        <v>33</v>
      </c>
      <c r="I22" s="25">
        <f t="shared" si="13"/>
        <v>2</v>
      </c>
      <c r="K22" s="20" t="s">
        <v>267</v>
      </c>
      <c r="L22" s="26">
        <v>11</v>
      </c>
      <c r="M22" s="26">
        <v>1</v>
      </c>
      <c r="N22" s="26"/>
      <c r="O22" s="20">
        <f>'Apps &amp; Goals 26-27'!E20</f>
        <v>0</v>
      </c>
      <c r="P22" s="20">
        <f>'Apps &amp; Goals 26-27'!F20</f>
        <v>0</v>
      </c>
      <c r="Q22" s="26">
        <f t="shared" si="14"/>
        <v>11</v>
      </c>
      <c r="R22" s="26">
        <f t="shared" si="15"/>
        <v>1</v>
      </c>
      <c r="T22" s="23" t="s">
        <v>267</v>
      </c>
      <c r="U22" s="24">
        <v>2</v>
      </c>
      <c r="V22" s="24">
        <v>0</v>
      </c>
      <c r="W22" s="24"/>
      <c r="X22" s="68">
        <f>'Apps &amp; Goals 26-27'!G20</f>
        <v>0</v>
      </c>
      <c r="Y22" s="68">
        <f>'Apps &amp; Goals 26-27'!H20</f>
        <v>0</v>
      </c>
      <c r="Z22" s="24">
        <f t="shared" si="16"/>
        <v>2</v>
      </c>
      <c r="AA22" s="24">
        <f t="shared" si="17"/>
        <v>0</v>
      </c>
      <c r="AC22" s="82" t="s">
        <v>267</v>
      </c>
      <c r="AD22" s="18">
        <v>2</v>
      </c>
      <c r="AE22" s="18">
        <v>0</v>
      </c>
      <c r="AF22" s="18"/>
      <c r="AG22" s="80">
        <f>'Apps &amp; Goals 26-27'!I20</f>
        <v>0</v>
      </c>
      <c r="AH22" s="80">
        <f>'Apps &amp; Goals 26-27'!J20</f>
        <v>0</v>
      </c>
      <c r="AI22" s="18">
        <f t="shared" si="18"/>
        <v>2</v>
      </c>
      <c r="AJ22" s="18">
        <f t="shared" si="19"/>
        <v>0</v>
      </c>
      <c r="AL22" s="81" t="s">
        <v>267</v>
      </c>
      <c r="AM22" s="33">
        <v>1</v>
      </c>
      <c r="AN22" s="33">
        <v>0</v>
      </c>
      <c r="AO22" s="33"/>
      <c r="AP22" s="81">
        <f>'Apps &amp; Goals 26-27'!K20</f>
        <v>0</v>
      </c>
      <c r="AQ22" s="81">
        <f>'Apps &amp; Goals 26-27'!L20</f>
        <v>0</v>
      </c>
      <c r="AR22" s="33">
        <f t="shared" si="20"/>
        <v>1</v>
      </c>
      <c r="AS22" s="33">
        <f t="shared" si="21"/>
        <v>0</v>
      </c>
    </row>
    <row r="23" spans="1:45" x14ac:dyDescent="0.25">
      <c r="A23" s="28">
        <v>22</v>
      </c>
      <c r="B23" s="22" t="s">
        <v>272</v>
      </c>
      <c r="C23" s="25">
        <v>34</v>
      </c>
      <c r="D23" s="25">
        <v>4</v>
      </c>
      <c r="E23" s="25"/>
      <c r="F23" s="21">
        <f>'Apps &amp; Goals 26-27'!C21</f>
        <v>0</v>
      </c>
      <c r="G23" s="21">
        <f>'Apps &amp; Goals 26-27'!D21</f>
        <v>0</v>
      </c>
      <c r="H23" s="25">
        <f t="shared" si="12"/>
        <v>34</v>
      </c>
      <c r="I23" s="25">
        <f t="shared" si="13"/>
        <v>4</v>
      </c>
      <c r="K23" s="48" t="s">
        <v>272</v>
      </c>
      <c r="L23" s="26">
        <v>10</v>
      </c>
      <c r="M23" s="26">
        <v>2</v>
      </c>
      <c r="N23" s="26"/>
      <c r="O23" s="20">
        <f>'Apps &amp; Goals 26-27'!E21</f>
        <v>0</v>
      </c>
      <c r="P23" s="20">
        <f>'Apps &amp; Goals 26-27'!F21</f>
        <v>0</v>
      </c>
      <c r="Q23" s="26">
        <f t="shared" si="14"/>
        <v>10</v>
      </c>
      <c r="R23" s="26">
        <f t="shared" si="15"/>
        <v>2</v>
      </c>
      <c r="T23" s="23" t="s">
        <v>272</v>
      </c>
      <c r="U23" s="24">
        <v>1</v>
      </c>
      <c r="V23" s="24">
        <v>0</v>
      </c>
      <c r="W23" s="24"/>
      <c r="X23" s="68">
        <f>'Apps &amp; Goals 26-27'!G21</f>
        <v>0</v>
      </c>
      <c r="Y23" s="68">
        <f>'Apps &amp; Goals 26-27'!H21</f>
        <v>0</v>
      </c>
      <c r="Z23" s="24">
        <f t="shared" si="16"/>
        <v>1</v>
      </c>
      <c r="AA23" s="24">
        <f t="shared" si="17"/>
        <v>0</v>
      </c>
      <c r="AC23" s="19" t="s">
        <v>272</v>
      </c>
      <c r="AD23" s="18">
        <v>6</v>
      </c>
      <c r="AE23" s="18">
        <v>4</v>
      </c>
      <c r="AF23" s="18"/>
      <c r="AG23" s="80">
        <f>'Apps &amp; Goals 26-27'!I21</f>
        <v>0</v>
      </c>
      <c r="AH23" s="80">
        <f>'Apps &amp; Goals 26-27'!J21</f>
        <v>0</v>
      </c>
      <c r="AI23" s="18">
        <f t="shared" si="18"/>
        <v>6</v>
      </c>
      <c r="AJ23" s="18">
        <f t="shared" si="19"/>
        <v>4</v>
      </c>
      <c r="AL23" s="32" t="s">
        <v>272</v>
      </c>
      <c r="AM23" s="33">
        <v>0</v>
      </c>
      <c r="AN23" s="33">
        <v>0</v>
      </c>
      <c r="AO23" s="33"/>
      <c r="AP23" s="81">
        <f>'Apps &amp; Goals 26-27'!K21</f>
        <v>0</v>
      </c>
      <c r="AQ23" s="81">
        <f>'Apps &amp; Goals 26-27'!L21</f>
        <v>0</v>
      </c>
      <c r="AR23" s="33">
        <f t="shared" si="20"/>
        <v>0</v>
      </c>
      <c r="AS23" s="33">
        <f t="shared" si="21"/>
        <v>0</v>
      </c>
    </row>
    <row r="24" spans="1:45" x14ac:dyDescent="0.25">
      <c r="A24" s="27">
        <v>23</v>
      </c>
      <c r="B24" s="21" t="s">
        <v>303</v>
      </c>
      <c r="C24" s="25">
        <v>50</v>
      </c>
      <c r="D24" s="25">
        <v>11</v>
      </c>
      <c r="E24" s="25"/>
      <c r="F24" s="21">
        <f>'Apps &amp; Goals 26-27'!C22</f>
        <v>0</v>
      </c>
      <c r="G24" s="21">
        <f>'Apps &amp; Goals 26-27'!D22</f>
        <v>0</v>
      </c>
      <c r="H24" s="25">
        <f t="shared" si="12"/>
        <v>50</v>
      </c>
      <c r="I24" s="25">
        <f t="shared" si="13"/>
        <v>11</v>
      </c>
      <c r="K24" s="20" t="s">
        <v>303</v>
      </c>
      <c r="L24" s="26">
        <v>19</v>
      </c>
      <c r="M24" s="26">
        <v>4</v>
      </c>
      <c r="N24" s="26"/>
      <c r="O24" s="20">
        <f>'Apps &amp; Goals 26-27'!E22</f>
        <v>0</v>
      </c>
      <c r="P24" s="20">
        <f>'Apps &amp; Goals 26-27'!F22</f>
        <v>0</v>
      </c>
      <c r="Q24" s="26">
        <f t="shared" si="14"/>
        <v>19</v>
      </c>
      <c r="R24" s="26">
        <f t="shared" si="15"/>
        <v>4</v>
      </c>
      <c r="T24" s="23" t="s">
        <v>303</v>
      </c>
      <c r="U24" s="24">
        <v>2</v>
      </c>
      <c r="V24" s="24">
        <v>0</v>
      </c>
      <c r="W24" s="24"/>
      <c r="X24" s="68">
        <f>'Apps &amp; Goals 26-27'!G22</f>
        <v>0</v>
      </c>
      <c r="Y24" s="68">
        <f>'Apps &amp; Goals 26-27'!H22</f>
        <v>0</v>
      </c>
      <c r="Z24" s="24">
        <f t="shared" si="16"/>
        <v>2</v>
      </c>
      <c r="AA24" s="24">
        <f t="shared" si="17"/>
        <v>0</v>
      </c>
      <c r="AC24" s="82" t="s">
        <v>303</v>
      </c>
      <c r="AD24" s="18">
        <v>7</v>
      </c>
      <c r="AE24" s="18">
        <v>0</v>
      </c>
      <c r="AF24" s="18"/>
      <c r="AG24" s="80">
        <f>'Apps &amp; Goals 26-27'!I22</f>
        <v>0</v>
      </c>
      <c r="AH24" s="80">
        <f>'Apps &amp; Goals 26-27'!J22</f>
        <v>0</v>
      </c>
      <c r="AI24" s="18">
        <f t="shared" si="18"/>
        <v>7</v>
      </c>
      <c r="AJ24" s="18">
        <f t="shared" si="19"/>
        <v>0</v>
      </c>
      <c r="AL24" s="81" t="s">
        <v>303</v>
      </c>
      <c r="AM24" s="33">
        <v>0</v>
      </c>
      <c r="AN24" s="33">
        <v>0</v>
      </c>
      <c r="AO24" s="33"/>
      <c r="AP24" s="81">
        <f>'Apps &amp; Goals 26-27'!K22</f>
        <v>0</v>
      </c>
      <c r="AQ24" s="81">
        <f>'Apps &amp; Goals 26-27'!L22</f>
        <v>0</v>
      </c>
      <c r="AR24" s="33">
        <f t="shared" si="20"/>
        <v>0</v>
      </c>
      <c r="AS24" s="33">
        <f t="shared" si="21"/>
        <v>0</v>
      </c>
    </row>
    <row r="25" spans="1:45" x14ac:dyDescent="0.25">
      <c r="A25" s="28">
        <v>24</v>
      </c>
      <c r="B25" s="22" t="s">
        <v>121</v>
      </c>
      <c r="C25" s="25">
        <v>50</v>
      </c>
      <c r="D25" s="25">
        <v>4</v>
      </c>
      <c r="E25" s="25"/>
      <c r="F25" s="21">
        <f>'Apps &amp; Goals 26-27'!C23</f>
        <v>0</v>
      </c>
      <c r="G25" s="21">
        <f>'Apps &amp; Goals 26-27'!D23</f>
        <v>0</v>
      </c>
      <c r="H25" s="25">
        <f t="shared" si="12"/>
        <v>50</v>
      </c>
      <c r="I25" s="25">
        <f t="shared" si="13"/>
        <v>4</v>
      </c>
      <c r="K25" s="48" t="s">
        <v>121</v>
      </c>
      <c r="L25" s="26">
        <v>25</v>
      </c>
      <c r="M25" s="26">
        <v>1</v>
      </c>
      <c r="N25" s="26"/>
      <c r="O25" s="20">
        <f>'Apps &amp; Goals 26-27'!E23</f>
        <v>0</v>
      </c>
      <c r="P25" s="20">
        <f>'Apps &amp; Goals 26-27'!F23</f>
        <v>0</v>
      </c>
      <c r="Q25" s="26">
        <f t="shared" si="14"/>
        <v>25</v>
      </c>
      <c r="R25" s="26">
        <f t="shared" si="15"/>
        <v>1</v>
      </c>
      <c r="T25" s="23" t="s">
        <v>121</v>
      </c>
      <c r="U25" s="24">
        <v>5</v>
      </c>
      <c r="V25" s="24">
        <v>1</v>
      </c>
      <c r="W25" s="24"/>
      <c r="X25" s="68">
        <f>'Apps &amp; Goals 26-27'!G23</f>
        <v>0</v>
      </c>
      <c r="Y25" s="68">
        <f>'Apps &amp; Goals 26-27'!H23</f>
        <v>0</v>
      </c>
      <c r="Z25" s="24">
        <f t="shared" si="16"/>
        <v>5</v>
      </c>
      <c r="AA25" s="24">
        <f t="shared" si="17"/>
        <v>1</v>
      </c>
      <c r="AC25" s="19" t="s">
        <v>121</v>
      </c>
      <c r="AD25" s="18">
        <v>8</v>
      </c>
      <c r="AE25" s="18">
        <v>2</v>
      </c>
      <c r="AF25" s="18"/>
      <c r="AG25" s="80">
        <f>'Apps &amp; Goals 26-27'!I23</f>
        <v>0</v>
      </c>
      <c r="AH25" s="80">
        <f>'Apps &amp; Goals 26-27'!J23</f>
        <v>0</v>
      </c>
      <c r="AI25" s="18">
        <f t="shared" si="18"/>
        <v>8</v>
      </c>
      <c r="AJ25" s="18">
        <f t="shared" si="19"/>
        <v>2</v>
      </c>
      <c r="AL25" s="32" t="s">
        <v>121</v>
      </c>
      <c r="AM25" s="33">
        <v>2</v>
      </c>
      <c r="AN25" s="33">
        <v>0</v>
      </c>
      <c r="AO25" s="33"/>
      <c r="AP25" s="81">
        <f>'Apps &amp; Goals 26-27'!K23</f>
        <v>0</v>
      </c>
      <c r="AQ25" s="81">
        <f>'Apps &amp; Goals 26-27'!L23</f>
        <v>0</v>
      </c>
      <c r="AR25" s="33">
        <f t="shared" si="20"/>
        <v>2</v>
      </c>
      <c r="AS25" s="33">
        <f t="shared" si="21"/>
        <v>0</v>
      </c>
    </row>
    <row r="26" spans="1:45" x14ac:dyDescent="0.25">
      <c r="A26" s="28">
        <v>29</v>
      </c>
      <c r="B26" s="22" t="s">
        <v>284</v>
      </c>
      <c r="C26" s="25">
        <v>72</v>
      </c>
      <c r="D26" s="25">
        <v>24</v>
      </c>
      <c r="E26" s="25"/>
      <c r="F26" s="21">
        <f>'Apps &amp; Goals 26-27'!C24</f>
        <v>0</v>
      </c>
      <c r="G26" s="21">
        <f>'Apps &amp; Goals 26-27'!D24</f>
        <v>0</v>
      </c>
      <c r="H26" s="25">
        <f t="shared" si="12"/>
        <v>72</v>
      </c>
      <c r="I26" s="25">
        <f t="shared" si="13"/>
        <v>24</v>
      </c>
      <c r="K26" s="20" t="s">
        <v>284</v>
      </c>
      <c r="L26" s="26">
        <v>24</v>
      </c>
      <c r="M26" s="26">
        <v>9</v>
      </c>
      <c r="N26" s="26"/>
      <c r="O26" s="20">
        <f>'Apps &amp; Goals 26-27'!E24</f>
        <v>0</v>
      </c>
      <c r="P26" s="20">
        <f>'Apps &amp; Goals 26-27'!F24</f>
        <v>0</v>
      </c>
      <c r="Q26" s="26">
        <f t="shared" si="14"/>
        <v>24</v>
      </c>
      <c r="R26" s="26">
        <f t="shared" si="15"/>
        <v>9</v>
      </c>
      <c r="T26" s="68" t="s">
        <v>284</v>
      </c>
      <c r="U26" s="24">
        <v>5</v>
      </c>
      <c r="V26" s="24">
        <v>0</v>
      </c>
      <c r="W26" s="24"/>
      <c r="X26" s="68">
        <f>'Apps &amp; Goals 26-27'!G24</f>
        <v>0</v>
      </c>
      <c r="Y26" s="68">
        <f>'Apps &amp; Goals 26-27'!H24</f>
        <v>0</v>
      </c>
      <c r="Z26" s="24">
        <f t="shared" si="16"/>
        <v>5</v>
      </c>
      <c r="AA26" s="24">
        <f t="shared" si="17"/>
        <v>0</v>
      </c>
      <c r="AC26" s="80" t="s">
        <v>284</v>
      </c>
      <c r="AD26" s="18">
        <v>9</v>
      </c>
      <c r="AE26" s="18">
        <v>3</v>
      </c>
      <c r="AF26" s="18"/>
      <c r="AG26" s="80">
        <f>'Apps &amp; Goals 26-27'!I24</f>
        <v>0</v>
      </c>
      <c r="AH26" s="80">
        <f>'Apps &amp; Goals 26-27'!J24</f>
        <v>0</v>
      </c>
      <c r="AI26" s="18">
        <f t="shared" si="18"/>
        <v>9</v>
      </c>
      <c r="AJ26" s="18">
        <f t="shared" si="19"/>
        <v>3</v>
      </c>
      <c r="AL26" s="81" t="s">
        <v>284</v>
      </c>
      <c r="AM26" s="33">
        <v>1</v>
      </c>
      <c r="AN26" s="33">
        <v>0</v>
      </c>
      <c r="AO26" s="33"/>
      <c r="AP26" s="81">
        <f>'Apps &amp; Goals 26-27'!K24</f>
        <v>1</v>
      </c>
      <c r="AQ26" s="81">
        <f>'Apps &amp; Goals 26-27'!L24</f>
        <v>1</v>
      </c>
      <c r="AR26" s="33">
        <f t="shared" si="20"/>
        <v>2</v>
      </c>
      <c r="AS26" s="33">
        <f t="shared" si="21"/>
        <v>1</v>
      </c>
    </row>
    <row r="27" spans="1:45" x14ac:dyDescent="0.25">
      <c r="A27" s="28">
        <v>30</v>
      </c>
      <c r="B27" s="22" t="s">
        <v>354</v>
      </c>
      <c r="C27" s="25">
        <v>0</v>
      </c>
      <c r="D27" s="25">
        <v>0</v>
      </c>
      <c r="E27" s="25"/>
      <c r="F27" s="21">
        <f>'Apps &amp; Goals 26-27'!C25</f>
        <v>0</v>
      </c>
      <c r="G27" s="21">
        <f>'Apps &amp; Goals 26-27'!D25</f>
        <v>0</v>
      </c>
      <c r="H27" s="25">
        <f t="shared" ref="H27:H30" si="22">F27+C27</f>
        <v>0</v>
      </c>
      <c r="I27" s="25">
        <f t="shared" ref="I27:I30" si="23">G27+D27</f>
        <v>0</v>
      </c>
      <c r="K27" s="20" t="s">
        <v>354</v>
      </c>
      <c r="L27" s="26">
        <v>0</v>
      </c>
      <c r="M27" s="26">
        <v>0</v>
      </c>
      <c r="N27" s="26"/>
      <c r="O27" s="20">
        <f>'Apps &amp; Goals 26-27'!E25</f>
        <v>0</v>
      </c>
      <c r="P27" s="20">
        <f>'Apps &amp; Goals 26-27'!F25</f>
        <v>0</v>
      </c>
      <c r="Q27" s="26">
        <f t="shared" ref="Q27:Q30" si="24">O27+L27</f>
        <v>0</v>
      </c>
      <c r="R27" s="26">
        <f t="shared" ref="R27:R30" si="25">P27+M27</f>
        <v>0</v>
      </c>
      <c r="T27" s="68" t="s">
        <v>354</v>
      </c>
      <c r="U27" s="24">
        <v>0</v>
      </c>
      <c r="V27" s="24">
        <v>0</v>
      </c>
      <c r="W27" s="24"/>
      <c r="X27" s="68">
        <f>'Apps &amp; Goals 26-27'!G25</f>
        <v>0</v>
      </c>
      <c r="Y27" s="68">
        <f>'Apps &amp; Goals 26-27'!H25</f>
        <v>0</v>
      </c>
      <c r="Z27" s="24">
        <f t="shared" ref="Z27:Z30" si="26">X27+U27</f>
        <v>0</v>
      </c>
      <c r="AA27" s="24">
        <f t="shared" ref="AA27:AA30" si="27">Y27+V27</f>
        <v>0</v>
      </c>
      <c r="AC27" s="80" t="s">
        <v>354</v>
      </c>
      <c r="AD27" s="18">
        <v>0</v>
      </c>
      <c r="AE27" s="18">
        <v>0</v>
      </c>
      <c r="AF27" s="18"/>
      <c r="AG27" s="80">
        <f>'Apps &amp; Goals 26-27'!I25</f>
        <v>0</v>
      </c>
      <c r="AH27" s="80">
        <f>'Apps &amp; Goals 26-27'!J25</f>
        <v>0</v>
      </c>
      <c r="AI27" s="18">
        <f t="shared" ref="AI27:AI30" si="28">AG27+AD27</f>
        <v>0</v>
      </c>
      <c r="AJ27" s="18">
        <f t="shared" ref="AJ27:AJ30" si="29">AH27+AE27</f>
        <v>0</v>
      </c>
      <c r="AL27" s="81" t="s">
        <v>354</v>
      </c>
      <c r="AM27" s="33">
        <v>0</v>
      </c>
      <c r="AN27" s="33">
        <v>0</v>
      </c>
      <c r="AO27" s="33"/>
      <c r="AP27" s="81">
        <f>'Apps &amp; Goals 26-27'!K25</f>
        <v>0</v>
      </c>
      <c r="AQ27" s="81">
        <f>'Apps &amp; Goals 26-27'!L25</f>
        <v>0</v>
      </c>
      <c r="AR27" s="33">
        <f t="shared" ref="AR27:AR30" si="30">AP27+AM27</f>
        <v>0</v>
      </c>
      <c r="AS27" s="33">
        <f t="shared" ref="AS27:AS30" si="31">AQ27+AN27</f>
        <v>0</v>
      </c>
    </row>
    <row r="28" spans="1:45" ht="15.6" customHeight="1" x14ac:dyDescent="0.25">
      <c r="A28" s="28">
        <v>33</v>
      </c>
      <c r="B28" s="22" t="s">
        <v>301</v>
      </c>
      <c r="C28" s="25">
        <v>45</v>
      </c>
      <c r="D28" s="25">
        <v>3</v>
      </c>
      <c r="E28" s="25"/>
      <c r="F28" s="21">
        <f>'Apps &amp; Goals 26-27'!C26</f>
        <v>0</v>
      </c>
      <c r="G28" s="21">
        <f>'Apps &amp; Goals 26-27'!D26</f>
        <v>0</v>
      </c>
      <c r="H28" s="25">
        <f t="shared" si="22"/>
        <v>45</v>
      </c>
      <c r="I28" s="25">
        <f t="shared" si="23"/>
        <v>3</v>
      </c>
      <c r="K28" s="20" t="s">
        <v>301</v>
      </c>
      <c r="L28" s="26">
        <v>14</v>
      </c>
      <c r="M28" s="26">
        <v>1</v>
      </c>
      <c r="N28" s="26"/>
      <c r="O28" s="20">
        <f>'Apps &amp; Goals 26-27'!E26</f>
        <v>0</v>
      </c>
      <c r="P28" s="20">
        <f>'Apps &amp; Goals 26-27'!F26</f>
        <v>0</v>
      </c>
      <c r="Q28" s="26">
        <f t="shared" si="24"/>
        <v>14</v>
      </c>
      <c r="R28" s="26">
        <f t="shared" si="25"/>
        <v>1</v>
      </c>
      <c r="T28" s="68" t="s">
        <v>301</v>
      </c>
      <c r="U28" s="24">
        <v>2</v>
      </c>
      <c r="V28" s="24">
        <v>0</v>
      </c>
      <c r="W28" s="24"/>
      <c r="X28" s="68">
        <f>'Apps &amp; Goals 26-27'!G26</f>
        <v>0</v>
      </c>
      <c r="Y28" s="68">
        <f>'Apps &amp; Goals 26-27'!H26</f>
        <v>0</v>
      </c>
      <c r="Z28" s="24">
        <f t="shared" si="26"/>
        <v>2</v>
      </c>
      <c r="AA28" s="24">
        <f t="shared" si="27"/>
        <v>0</v>
      </c>
      <c r="AC28" s="80" t="s">
        <v>301</v>
      </c>
      <c r="AD28" s="18">
        <v>4</v>
      </c>
      <c r="AE28" s="18">
        <v>0</v>
      </c>
      <c r="AF28" s="18"/>
      <c r="AG28" s="80">
        <f>'Apps &amp; Goals 26-27'!I26</f>
        <v>0</v>
      </c>
      <c r="AH28" s="80">
        <f>'Apps &amp; Goals 26-27'!J26</f>
        <v>0</v>
      </c>
      <c r="AI28" s="18">
        <f t="shared" si="28"/>
        <v>4</v>
      </c>
      <c r="AJ28" s="18">
        <f t="shared" si="29"/>
        <v>0</v>
      </c>
      <c r="AL28" s="81" t="s">
        <v>301</v>
      </c>
      <c r="AM28" s="33">
        <v>0</v>
      </c>
      <c r="AN28" s="33">
        <v>0</v>
      </c>
      <c r="AO28" s="33"/>
      <c r="AP28" s="81">
        <f>'Apps &amp; Goals 26-27'!K26</f>
        <v>1</v>
      </c>
      <c r="AQ28" s="81">
        <f>'Apps &amp; Goals 26-27'!L26</f>
        <v>1</v>
      </c>
      <c r="AR28" s="33">
        <f t="shared" si="30"/>
        <v>1</v>
      </c>
      <c r="AS28" s="33">
        <f t="shared" si="31"/>
        <v>1</v>
      </c>
    </row>
    <row r="29" spans="1:45" ht="15.6" customHeight="1" x14ac:dyDescent="0.25">
      <c r="A29" s="28">
        <v>35</v>
      </c>
      <c r="B29" s="22" t="s">
        <v>313</v>
      </c>
      <c r="C29" s="25">
        <v>0</v>
      </c>
      <c r="D29" s="25">
        <v>0</v>
      </c>
      <c r="E29" s="25"/>
      <c r="F29" s="21">
        <f>'Apps &amp; Goals 26-27'!C27</f>
        <v>0</v>
      </c>
      <c r="G29" s="21">
        <f>'Apps &amp; Goals 26-27'!D27</f>
        <v>0</v>
      </c>
      <c r="H29" s="25">
        <f t="shared" si="22"/>
        <v>0</v>
      </c>
      <c r="I29" s="25">
        <f t="shared" si="23"/>
        <v>0</v>
      </c>
      <c r="K29" s="20" t="s">
        <v>313</v>
      </c>
      <c r="L29" s="26">
        <v>0</v>
      </c>
      <c r="M29" s="26">
        <v>0</v>
      </c>
      <c r="N29" s="26"/>
      <c r="O29" s="20">
        <f>'Apps &amp; Goals 26-27'!E27</f>
        <v>0</v>
      </c>
      <c r="P29" s="20">
        <f>'Apps &amp; Goals 26-27'!F27</f>
        <v>0</v>
      </c>
      <c r="Q29" s="26">
        <f t="shared" si="24"/>
        <v>0</v>
      </c>
      <c r="R29" s="26">
        <f t="shared" si="25"/>
        <v>0</v>
      </c>
      <c r="T29" s="68" t="s">
        <v>313</v>
      </c>
      <c r="U29" s="24">
        <v>1</v>
      </c>
      <c r="V29" s="24">
        <v>0</v>
      </c>
      <c r="W29" s="24"/>
      <c r="X29" s="68">
        <f>'Apps &amp; Goals 26-27'!G27</f>
        <v>0</v>
      </c>
      <c r="Y29" s="68">
        <f>'Apps &amp; Goals 26-27'!H27</f>
        <v>0</v>
      </c>
      <c r="Z29" s="24">
        <f t="shared" si="26"/>
        <v>1</v>
      </c>
      <c r="AA29" s="24">
        <f t="shared" si="27"/>
        <v>0</v>
      </c>
      <c r="AC29" s="80" t="s">
        <v>313</v>
      </c>
      <c r="AD29" s="18">
        <v>1</v>
      </c>
      <c r="AE29" s="18">
        <v>0</v>
      </c>
      <c r="AF29" s="18"/>
      <c r="AG29" s="80">
        <f>'Apps &amp; Goals 26-27'!I27</f>
        <v>0</v>
      </c>
      <c r="AH29" s="80">
        <f>'Apps &amp; Goals 26-27'!J27</f>
        <v>0</v>
      </c>
      <c r="AI29" s="18">
        <f t="shared" si="28"/>
        <v>1</v>
      </c>
      <c r="AJ29" s="18">
        <f t="shared" si="29"/>
        <v>0</v>
      </c>
      <c r="AL29" s="81" t="s">
        <v>313</v>
      </c>
      <c r="AM29" s="33">
        <v>0</v>
      </c>
      <c r="AN29" s="33">
        <v>0</v>
      </c>
      <c r="AO29" s="33"/>
      <c r="AP29" s="81">
        <f>'Apps &amp; Goals 26-27'!K27</f>
        <v>0</v>
      </c>
      <c r="AQ29" s="81">
        <f>'Apps &amp; Goals 26-27'!L27</f>
        <v>0</v>
      </c>
      <c r="AR29" s="33">
        <f t="shared" si="30"/>
        <v>0</v>
      </c>
      <c r="AS29" s="33">
        <f t="shared" si="31"/>
        <v>0</v>
      </c>
    </row>
    <row r="30" spans="1:45" ht="15.6" customHeight="1" x14ac:dyDescent="0.25">
      <c r="A30" s="28">
        <v>36</v>
      </c>
      <c r="B30" s="22" t="s">
        <v>323</v>
      </c>
      <c r="C30" s="25">
        <v>38</v>
      </c>
      <c r="D30" s="25">
        <v>5</v>
      </c>
      <c r="E30" s="25"/>
      <c r="F30" s="21">
        <f>'Apps &amp; Goals 26-27'!C28</f>
        <v>0</v>
      </c>
      <c r="G30" s="21">
        <f>'Apps &amp; Goals 26-27'!D28</f>
        <v>0</v>
      </c>
      <c r="H30" s="25">
        <f t="shared" si="22"/>
        <v>38</v>
      </c>
      <c r="I30" s="25">
        <f t="shared" si="23"/>
        <v>5</v>
      </c>
      <c r="K30" s="20" t="s">
        <v>323</v>
      </c>
      <c r="L30" s="26">
        <v>13</v>
      </c>
      <c r="M30" s="26">
        <v>0</v>
      </c>
      <c r="N30" s="26"/>
      <c r="O30" s="20">
        <f>'Apps &amp; Goals 26-27'!E28</f>
        <v>0</v>
      </c>
      <c r="P30" s="20">
        <f>'Apps &amp; Goals 26-27'!F28</f>
        <v>0</v>
      </c>
      <c r="Q30" s="26">
        <f t="shared" si="24"/>
        <v>13</v>
      </c>
      <c r="R30" s="26">
        <f t="shared" si="25"/>
        <v>0</v>
      </c>
      <c r="T30" s="68" t="s">
        <v>323</v>
      </c>
      <c r="U30" s="24">
        <v>3</v>
      </c>
      <c r="V30" s="24">
        <v>0</v>
      </c>
      <c r="W30" s="24"/>
      <c r="X30" s="68">
        <f>'Apps &amp; Goals 26-27'!G28</f>
        <v>0</v>
      </c>
      <c r="Y30" s="68">
        <f>'Apps &amp; Goals 26-27'!H28</f>
        <v>0</v>
      </c>
      <c r="Z30" s="24">
        <f t="shared" si="26"/>
        <v>3</v>
      </c>
      <c r="AA30" s="24">
        <f t="shared" si="27"/>
        <v>0</v>
      </c>
      <c r="AC30" s="80" t="s">
        <v>323</v>
      </c>
      <c r="AD30" s="18">
        <v>3</v>
      </c>
      <c r="AE30" s="18">
        <v>1</v>
      </c>
      <c r="AF30" s="18"/>
      <c r="AG30" s="80">
        <f>'Apps &amp; Goals 26-27'!I28</f>
        <v>0</v>
      </c>
      <c r="AH30" s="80">
        <f>'Apps &amp; Goals 26-27'!J28</f>
        <v>0</v>
      </c>
      <c r="AI30" s="18">
        <f t="shared" si="28"/>
        <v>3</v>
      </c>
      <c r="AJ30" s="18">
        <f t="shared" si="29"/>
        <v>1</v>
      </c>
      <c r="AL30" s="81" t="s">
        <v>323</v>
      </c>
      <c r="AM30" s="33">
        <v>0</v>
      </c>
      <c r="AN30" s="33">
        <v>0</v>
      </c>
      <c r="AO30" s="33"/>
      <c r="AP30" s="81">
        <f>'Apps &amp; Goals 26-27'!K28</f>
        <v>1</v>
      </c>
      <c r="AQ30" s="81">
        <f>'Apps &amp; Goals 26-27'!L28</f>
        <v>0</v>
      </c>
      <c r="AR30" s="33">
        <f t="shared" si="30"/>
        <v>1</v>
      </c>
      <c r="AS30" s="33">
        <f t="shared" si="31"/>
        <v>0</v>
      </c>
    </row>
    <row r="31" spans="1:45" ht="15.6" customHeight="1" x14ac:dyDescent="0.25">
      <c r="A31" s="28">
        <v>39</v>
      </c>
      <c r="B31" s="22" t="s">
        <v>355</v>
      </c>
      <c r="C31" s="25">
        <v>0</v>
      </c>
      <c r="D31" s="25">
        <v>0</v>
      </c>
      <c r="E31" s="25"/>
      <c r="F31" s="21">
        <f>'Apps &amp; Goals 26-27'!C29</f>
        <v>0</v>
      </c>
      <c r="G31" s="21">
        <f>'Apps &amp; Goals 26-27'!D29</f>
        <v>0</v>
      </c>
      <c r="H31" s="25">
        <f t="shared" ref="H31:H42" si="32">F31+C31</f>
        <v>0</v>
      </c>
      <c r="I31" s="25">
        <f t="shared" ref="I31:I42" si="33">G31+D31</f>
        <v>0</v>
      </c>
      <c r="K31" s="20" t="s">
        <v>355</v>
      </c>
      <c r="L31" s="26">
        <v>0</v>
      </c>
      <c r="M31" s="26">
        <v>0</v>
      </c>
      <c r="N31" s="26"/>
      <c r="O31" s="20">
        <f>'Apps &amp; Goals 26-27'!E29</f>
        <v>0</v>
      </c>
      <c r="P31" s="20">
        <f>'Apps &amp; Goals 26-27'!F29</f>
        <v>0</v>
      </c>
      <c r="Q31" s="26">
        <f t="shared" ref="Q31:Q42" si="34">O31+L31</f>
        <v>0</v>
      </c>
      <c r="R31" s="26">
        <f t="shared" ref="R31:R42" si="35">P31+M31</f>
        <v>0</v>
      </c>
      <c r="T31" s="68" t="s">
        <v>355</v>
      </c>
      <c r="U31" s="24">
        <v>0</v>
      </c>
      <c r="V31" s="24">
        <v>0</v>
      </c>
      <c r="W31" s="24"/>
      <c r="X31" s="68">
        <f>'Apps &amp; Goals 26-27'!G29</f>
        <v>0</v>
      </c>
      <c r="Y31" s="68">
        <f>'Apps &amp; Goals 26-27'!H29</f>
        <v>0</v>
      </c>
      <c r="Z31" s="24">
        <f t="shared" ref="Z31:Z42" si="36">X31+U31</f>
        <v>0</v>
      </c>
      <c r="AA31" s="24">
        <f t="shared" ref="AA31:AA42" si="37">Y31+V31</f>
        <v>0</v>
      </c>
      <c r="AC31" s="80" t="s">
        <v>355</v>
      </c>
      <c r="AD31" s="18">
        <v>0</v>
      </c>
      <c r="AE31" s="18">
        <v>0</v>
      </c>
      <c r="AF31" s="18"/>
      <c r="AG31" s="80">
        <f>'Apps &amp; Goals 26-27'!I29</f>
        <v>0</v>
      </c>
      <c r="AH31" s="80">
        <f>'Apps &amp; Goals 26-27'!J29</f>
        <v>0</v>
      </c>
      <c r="AI31" s="18">
        <f t="shared" ref="AI31:AI42" si="38">AG31+AD31</f>
        <v>0</v>
      </c>
      <c r="AJ31" s="18">
        <f t="shared" ref="AJ31:AJ42" si="39">AH31+AE31</f>
        <v>0</v>
      </c>
      <c r="AL31" s="81" t="s">
        <v>355</v>
      </c>
      <c r="AM31" s="33">
        <v>0</v>
      </c>
      <c r="AN31" s="33">
        <v>0</v>
      </c>
      <c r="AO31" s="33"/>
      <c r="AP31" s="81">
        <f>'Apps &amp; Goals 26-27'!K29</f>
        <v>1</v>
      </c>
      <c r="AQ31" s="81">
        <f>'Apps &amp; Goals 26-27'!L29</f>
        <v>0</v>
      </c>
      <c r="AR31" s="33">
        <f t="shared" ref="AR31:AR42" si="40">AP31+AM31</f>
        <v>1</v>
      </c>
      <c r="AS31" s="33">
        <f t="shared" ref="AS31:AS42" si="41">AQ31+AN31</f>
        <v>0</v>
      </c>
    </row>
    <row r="32" spans="1:45" x14ac:dyDescent="0.25">
      <c r="A32" s="27">
        <v>41</v>
      </c>
      <c r="B32" s="22" t="s">
        <v>286</v>
      </c>
      <c r="C32" s="25">
        <v>109</v>
      </c>
      <c r="D32" s="25">
        <v>15</v>
      </c>
      <c r="E32" s="25"/>
      <c r="F32" s="21">
        <f>'Apps &amp; Goals 26-27'!C30</f>
        <v>0</v>
      </c>
      <c r="G32" s="21">
        <f>'Apps &amp; Goals 26-27'!D30</f>
        <v>0</v>
      </c>
      <c r="H32" s="25">
        <f t="shared" si="32"/>
        <v>109</v>
      </c>
      <c r="I32" s="25">
        <f t="shared" si="33"/>
        <v>15</v>
      </c>
      <c r="K32" s="48" t="s">
        <v>286</v>
      </c>
      <c r="L32" s="26">
        <v>36</v>
      </c>
      <c r="M32" s="26">
        <v>5</v>
      </c>
      <c r="N32" s="26"/>
      <c r="O32" s="20">
        <f>'Apps &amp; Goals 26-27'!E30</f>
        <v>0</v>
      </c>
      <c r="P32" s="20">
        <f>'Apps &amp; Goals 26-27'!F30</f>
        <v>0</v>
      </c>
      <c r="Q32" s="26">
        <f t="shared" si="34"/>
        <v>36</v>
      </c>
      <c r="R32" s="26">
        <f t="shared" si="35"/>
        <v>5</v>
      </c>
      <c r="T32" s="68" t="s">
        <v>286</v>
      </c>
      <c r="U32" s="24">
        <v>2</v>
      </c>
      <c r="V32" s="24">
        <v>0</v>
      </c>
      <c r="W32" s="24"/>
      <c r="X32" s="68">
        <f>'Apps &amp; Goals 26-27'!G30</f>
        <v>0</v>
      </c>
      <c r="Y32" s="68">
        <f>'Apps &amp; Goals 26-27'!H30</f>
        <v>0</v>
      </c>
      <c r="Z32" s="24">
        <f t="shared" si="36"/>
        <v>2</v>
      </c>
      <c r="AA32" s="24">
        <f t="shared" si="37"/>
        <v>0</v>
      </c>
      <c r="AC32" s="80" t="s">
        <v>286</v>
      </c>
      <c r="AD32" s="18">
        <v>10</v>
      </c>
      <c r="AE32" s="18">
        <v>1</v>
      </c>
      <c r="AF32" s="18"/>
      <c r="AG32" s="80">
        <f>'Apps &amp; Goals 26-27'!I30</f>
        <v>0</v>
      </c>
      <c r="AH32" s="80">
        <f>'Apps &amp; Goals 26-27'!J30</f>
        <v>0</v>
      </c>
      <c r="AI32" s="18">
        <f t="shared" si="38"/>
        <v>10</v>
      </c>
      <c r="AJ32" s="18">
        <f t="shared" si="39"/>
        <v>1</v>
      </c>
      <c r="AL32" s="32" t="s">
        <v>286</v>
      </c>
      <c r="AM32" s="33">
        <v>1</v>
      </c>
      <c r="AN32" s="33">
        <v>0</v>
      </c>
      <c r="AO32" s="33"/>
      <c r="AP32" s="81">
        <f>'Apps &amp; Goals 26-27'!K30</f>
        <v>1</v>
      </c>
      <c r="AQ32" s="81">
        <f>'Apps &amp; Goals 26-27'!L30</f>
        <v>0</v>
      </c>
      <c r="AR32" s="33">
        <f t="shared" si="40"/>
        <v>2</v>
      </c>
      <c r="AS32" s="33">
        <f t="shared" si="41"/>
        <v>0</v>
      </c>
    </row>
    <row r="33" spans="1:45" x14ac:dyDescent="0.25">
      <c r="A33" s="27">
        <v>46</v>
      </c>
      <c r="B33" s="22" t="s">
        <v>308</v>
      </c>
      <c r="C33" s="25">
        <v>0</v>
      </c>
      <c r="D33" s="25">
        <v>0</v>
      </c>
      <c r="E33" s="25"/>
      <c r="F33" s="21">
        <f>'Apps &amp; Goals 26-27'!C31</f>
        <v>0</v>
      </c>
      <c r="G33" s="21">
        <f>'Apps &amp; Goals 26-27'!D31</f>
        <v>0</v>
      </c>
      <c r="H33" s="25">
        <f t="shared" si="32"/>
        <v>0</v>
      </c>
      <c r="I33" s="25">
        <f t="shared" si="33"/>
        <v>0</v>
      </c>
      <c r="K33" s="48" t="s">
        <v>308</v>
      </c>
      <c r="L33" s="26">
        <v>0</v>
      </c>
      <c r="M33" s="26">
        <v>0</v>
      </c>
      <c r="N33" s="26"/>
      <c r="O33" s="20">
        <f>'Apps &amp; Goals 26-27'!E31</f>
        <v>0</v>
      </c>
      <c r="P33" s="20">
        <f>'Apps &amp; Goals 26-27'!F31</f>
        <v>0</v>
      </c>
      <c r="Q33" s="26">
        <f t="shared" si="34"/>
        <v>0</v>
      </c>
      <c r="R33" s="26">
        <f t="shared" si="35"/>
        <v>0</v>
      </c>
      <c r="T33" s="68" t="s">
        <v>308</v>
      </c>
      <c r="U33" s="24">
        <v>0</v>
      </c>
      <c r="V33" s="24">
        <v>0</v>
      </c>
      <c r="W33" s="24"/>
      <c r="X33" s="68">
        <f>'Apps &amp; Goals 26-27'!G31</f>
        <v>0</v>
      </c>
      <c r="Y33" s="68">
        <f>'Apps &amp; Goals 26-27'!H31</f>
        <v>0</v>
      </c>
      <c r="Z33" s="24">
        <f t="shared" si="36"/>
        <v>0</v>
      </c>
      <c r="AA33" s="24">
        <f t="shared" si="37"/>
        <v>0</v>
      </c>
      <c r="AC33" s="80" t="s">
        <v>308</v>
      </c>
      <c r="AD33" s="18">
        <v>1</v>
      </c>
      <c r="AE33" s="18">
        <v>0</v>
      </c>
      <c r="AF33" s="18"/>
      <c r="AG33" s="80">
        <f>'Apps &amp; Goals 26-27'!I31</f>
        <v>0</v>
      </c>
      <c r="AH33" s="80">
        <f>'Apps &amp; Goals 26-27'!J31</f>
        <v>0</v>
      </c>
      <c r="AI33" s="18">
        <f t="shared" si="38"/>
        <v>1</v>
      </c>
      <c r="AJ33" s="18">
        <f t="shared" si="39"/>
        <v>0</v>
      </c>
      <c r="AL33" s="32" t="s">
        <v>308</v>
      </c>
      <c r="AM33" s="33">
        <v>0</v>
      </c>
      <c r="AN33" s="33">
        <v>0</v>
      </c>
      <c r="AO33" s="33"/>
      <c r="AP33" s="81">
        <f>'Apps &amp; Goals 26-27'!K31</f>
        <v>0</v>
      </c>
      <c r="AQ33" s="81">
        <f>'Apps &amp; Goals 26-27'!L31</f>
        <v>0</v>
      </c>
      <c r="AR33" s="33">
        <f t="shared" si="40"/>
        <v>0</v>
      </c>
      <c r="AS33" s="33">
        <f t="shared" si="41"/>
        <v>0</v>
      </c>
    </row>
    <row r="34" spans="1:45" x14ac:dyDescent="0.25">
      <c r="A34" s="27">
        <v>49</v>
      </c>
      <c r="B34" s="22" t="s">
        <v>307</v>
      </c>
      <c r="C34" s="25">
        <v>43</v>
      </c>
      <c r="D34" s="25">
        <v>1</v>
      </c>
      <c r="E34" s="25"/>
      <c r="F34" s="21">
        <f>'Apps &amp; Goals 26-27'!C32</f>
        <v>0</v>
      </c>
      <c r="G34" s="21">
        <f>'Apps &amp; Goals 26-27'!D32</f>
        <v>0</v>
      </c>
      <c r="H34" s="25">
        <f t="shared" si="32"/>
        <v>43</v>
      </c>
      <c r="I34" s="25">
        <f t="shared" si="33"/>
        <v>1</v>
      </c>
      <c r="K34" s="48" t="s">
        <v>307</v>
      </c>
      <c r="L34" s="26">
        <v>20</v>
      </c>
      <c r="M34" s="26">
        <v>0</v>
      </c>
      <c r="N34" s="26"/>
      <c r="O34" s="20">
        <f>'Apps &amp; Goals 26-27'!E32</f>
        <v>0</v>
      </c>
      <c r="P34" s="20">
        <f>'Apps &amp; Goals 26-27'!F32</f>
        <v>0</v>
      </c>
      <c r="Q34" s="26">
        <f t="shared" si="34"/>
        <v>20</v>
      </c>
      <c r="R34" s="26">
        <f t="shared" si="35"/>
        <v>0</v>
      </c>
      <c r="T34" s="68" t="s">
        <v>307</v>
      </c>
      <c r="U34" s="24">
        <v>4</v>
      </c>
      <c r="V34" s="24">
        <v>0</v>
      </c>
      <c r="W34" s="24"/>
      <c r="X34" s="68">
        <f>'Apps &amp; Goals 26-27'!G32</f>
        <v>0</v>
      </c>
      <c r="Y34" s="68">
        <f>'Apps &amp; Goals 26-27'!H32</f>
        <v>0</v>
      </c>
      <c r="Z34" s="24">
        <f t="shared" si="36"/>
        <v>4</v>
      </c>
      <c r="AA34" s="24">
        <f t="shared" si="37"/>
        <v>0</v>
      </c>
      <c r="AC34" s="80" t="s">
        <v>307</v>
      </c>
      <c r="AD34" s="18">
        <v>8</v>
      </c>
      <c r="AE34" s="18">
        <v>0</v>
      </c>
      <c r="AF34" s="18"/>
      <c r="AG34" s="80">
        <f>'Apps &amp; Goals 26-27'!I32</f>
        <v>0</v>
      </c>
      <c r="AH34" s="80">
        <f>'Apps &amp; Goals 26-27'!J32</f>
        <v>0</v>
      </c>
      <c r="AI34" s="18">
        <f t="shared" si="38"/>
        <v>8</v>
      </c>
      <c r="AJ34" s="18">
        <f t="shared" si="39"/>
        <v>0</v>
      </c>
      <c r="AL34" s="32" t="s">
        <v>307</v>
      </c>
      <c r="AM34" s="33">
        <v>0</v>
      </c>
      <c r="AN34" s="33">
        <v>0</v>
      </c>
      <c r="AO34" s="33"/>
      <c r="AP34" s="81">
        <f>'Apps &amp; Goals 26-27'!K32</f>
        <v>1</v>
      </c>
      <c r="AQ34" s="81">
        <f>'Apps &amp; Goals 26-27'!L32</f>
        <v>0</v>
      </c>
      <c r="AR34" s="33">
        <f t="shared" si="40"/>
        <v>1</v>
      </c>
      <c r="AS34" s="33">
        <f t="shared" si="41"/>
        <v>0</v>
      </c>
    </row>
    <row r="35" spans="1:45" x14ac:dyDescent="0.25">
      <c r="A35" s="27">
        <v>52</v>
      </c>
      <c r="B35" s="22" t="s">
        <v>351</v>
      </c>
      <c r="C35" s="25">
        <v>0</v>
      </c>
      <c r="D35" s="25">
        <v>0</v>
      </c>
      <c r="E35" s="25"/>
      <c r="F35" s="21">
        <f>'Apps &amp; Goals 26-27'!C33</f>
        <v>0</v>
      </c>
      <c r="G35" s="21">
        <f>'Apps &amp; Goals 26-27'!D33</f>
        <v>0</v>
      </c>
      <c r="H35" s="25">
        <f t="shared" si="32"/>
        <v>0</v>
      </c>
      <c r="I35" s="25">
        <f t="shared" si="33"/>
        <v>0</v>
      </c>
      <c r="K35" s="48" t="s">
        <v>351</v>
      </c>
      <c r="L35" s="26">
        <v>0</v>
      </c>
      <c r="M35" s="26">
        <v>0</v>
      </c>
      <c r="N35" s="26"/>
      <c r="O35" s="20">
        <f>'Apps &amp; Goals 26-27'!E33</f>
        <v>0</v>
      </c>
      <c r="P35" s="20">
        <f>'Apps &amp; Goals 26-27'!F33</f>
        <v>0</v>
      </c>
      <c r="Q35" s="26">
        <f t="shared" si="34"/>
        <v>0</v>
      </c>
      <c r="R35" s="26">
        <f t="shared" si="35"/>
        <v>0</v>
      </c>
      <c r="T35" s="68" t="s">
        <v>351</v>
      </c>
      <c r="U35" s="24">
        <v>1</v>
      </c>
      <c r="V35" s="24">
        <v>0</v>
      </c>
      <c r="W35" s="24"/>
      <c r="X35" s="68">
        <f>'Apps &amp; Goals 26-27'!G33</f>
        <v>0</v>
      </c>
      <c r="Y35" s="68">
        <f>'Apps &amp; Goals 26-27'!H33</f>
        <v>0</v>
      </c>
      <c r="Z35" s="24">
        <f t="shared" si="36"/>
        <v>1</v>
      </c>
      <c r="AA35" s="24">
        <f t="shared" si="37"/>
        <v>0</v>
      </c>
      <c r="AC35" s="80" t="s">
        <v>351</v>
      </c>
      <c r="AD35" s="18">
        <v>0</v>
      </c>
      <c r="AE35" s="18">
        <v>0</v>
      </c>
      <c r="AF35" s="18"/>
      <c r="AG35" s="80">
        <f>'Apps &amp; Goals 26-27'!I33</f>
        <v>0</v>
      </c>
      <c r="AH35" s="80">
        <f>'Apps &amp; Goals 26-27'!J33</f>
        <v>0</v>
      </c>
      <c r="AI35" s="18">
        <f t="shared" si="38"/>
        <v>0</v>
      </c>
      <c r="AJ35" s="18">
        <f t="shared" si="39"/>
        <v>0</v>
      </c>
      <c r="AL35" s="32" t="s">
        <v>351</v>
      </c>
      <c r="AM35" s="33">
        <v>0</v>
      </c>
      <c r="AN35" s="33">
        <v>0</v>
      </c>
      <c r="AO35" s="33"/>
      <c r="AP35" s="81">
        <f>'Apps &amp; Goals 26-27'!K33</f>
        <v>0</v>
      </c>
      <c r="AQ35" s="81">
        <f>'Apps &amp; Goals 26-27'!L33</f>
        <v>0</v>
      </c>
      <c r="AR35" s="33">
        <f t="shared" si="40"/>
        <v>0</v>
      </c>
      <c r="AS35" s="33">
        <f t="shared" si="41"/>
        <v>0</v>
      </c>
    </row>
    <row r="36" spans="1:45" x14ac:dyDescent="0.25">
      <c r="A36" s="28">
        <v>53</v>
      </c>
      <c r="B36" s="22" t="s">
        <v>302</v>
      </c>
      <c r="C36" s="25">
        <v>0</v>
      </c>
      <c r="D36" s="25">
        <v>0</v>
      </c>
      <c r="E36" s="25"/>
      <c r="F36" s="21">
        <f>'Apps &amp; Goals 26-27'!C34</f>
        <v>0</v>
      </c>
      <c r="G36" s="21">
        <f>'Apps &amp; Goals 26-27'!D34</f>
        <v>0</v>
      </c>
      <c r="H36" s="25">
        <f t="shared" si="32"/>
        <v>0</v>
      </c>
      <c r="I36" s="25">
        <f t="shared" si="33"/>
        <v>0</v>
      </c>
      <c r="K36" s="48" t="s">
        <v>302</v>
      </c>
      <c r="L36" s="26">
        <v>0</v>
      </c>
      <c r="M36" s="26">
        <v>0</v>
      </c>
      <c r="N36" s="26"/>
      <c r="O36" s="20">
        <f>'Apps &amp; Goals 26-27'!E34</f>
        <v>0</v>
      </c>
      <c r="P36" s="20">
        <f>'Apps &amp; Goals 26-27'!F34</f>
        <v>0</v>
      </c>
      <c r="Q36" s="26">
        <f t="shared" si="34"/>
        <v>0</v>
      </c>
      <c r="R36" s="26">
        <f t="shared" si="35"/>
        <v>0</v>
      </c>
      <c r="T36" s="23" t="s">
        <v>302</v>
      </c>
      <c r="U36" s="24">
        <v>0</v>
      </c>
      <c r="V36" s="24">
        <v>0</v>
      </c>
      <c r="W36" s="24"/>
      <c r="X36" s="68">
        <f>'Apps &amp; Goals 26-27'!G34</f>
        <v>0</v>
      </c>
      <c r="Y36" s="68">
        <f>'Apps &amp; Goals 26-27'!H34</f>
        <v>0</v>
      </c>
      <c r="Z36" s="24">
        <f t="shared" si="36"/>
        <v>0</v>
      </c>
      <c r="AA36" s="24">
        <f t="shared" si="37"/>
        <v>0</v>
      </c>
      <c r="AC36" s="19" t="s">
        <v>302</v>
      </c>
      <c r="AD36" s="18">
        <v>1</v>
      </c>
      <c r="AE36" s="18">
        <v>0</v>
      </c>
      <c r="AF36" s="18"/>
      <c r="AG36" s="80">
        <f>'Apps &amp; Goals 26-27'!I34</f>
        <v>0</v>
      </c>
      <c r="AH36" s="80">
        <f>'Apps &amp; Goals 26-27'!J34</f>
        <v>0</v>
      </c>
      <c r="AI36" s="18">
        <f t="shared" si="38"/>
        <v>1</v>
      </c>
      <c r="AJ36" s="18">
        <f t="shared" si="39"/>
        <v>0</v>
      </c>
      <c r="AL36" s="32" t="s">
        <v>302</v>
      </c>
      <c r="AM36" s="33">
        <v>0</v>
      </c>
      <c r="AN36" s="33">
        <v>0</v>
      </c>
      <c r="AO36" s="33"/>
      <c r="AP36" s="81">
        <f>'Apps &amp; Goals 26-27'!K34</f>
        <v>0</v>
      </c>
      <c r="AQ36" s="81">
        <f>'Apps &amp; Goals 26-27'!L34</f>
        <v>0</v>
      </c>
      <c r="AR36" s="33">
        <f t="shared" si="40"/>
        <v>0</v>
      </c>
      <c r="AS36" s="33">
        <f t="shared" si="41"/>
        <v>0</v>
      </c>
    </row>
    <row r="37" spans="1:45" x14ac:dyDescent="0.25">
      <c r="A37" s="27">
        <v>56</v>
      </c>
      <c r="B37" s="22" t="s">
        <v>332</v>
      </c>
      <c r="C37" s="25">
        <v>6</v>
      </c>
      <c r="D37" s="25">
        <v>1</v>
      </c>
      <c r="E37" s="25"/>
      <c r="F37" s="21">
        <f>'Apps &amp; Goals 26-27'!C35</f>
        <v>0</v>
      </c>
      <c r="G37" s="21">
        <f>'Apps &amp; Goals 26-27'!D35</f>
        <v>0</v>
      </c>
      <c r="H37" s="25">
        <f t="shared" si="32"/>
        <v>6</v>
      </c>
      <c r="I37" s="25">
        <f t="shared" si="33"/>
        <v>1</v>
      </c>
      <c r="K37" s="48" t="s">
        <v>332</v>
      </c>
      <c r="L37" s="26">
        <v>3</v>
      </c>
      <c r="M37" s="26">
        <v>0</v>
      </c>
      <c r="N37" s="26"/>
      <c r="O37" s="20">
        <f>'Apps &amp; Goals 26-27'!E35</f>
        <v>0</v>
      </c>
      <c r="P37" s="20">
        <f>'Apps &amp; Goals 26-27'!F35</f>
        <v>0</v>
      </c>
      <c r="Q37" s="26">
        <f t="shared" si="34"/>
        <v>3</v>
      </c>
      <c r="R37" s="26">
        <f t="shared" si="35"/>
        <v>0</v>
      </c>
      <c r="T37" s="68" t="s">
        <v>332</v>
      </c>
      <c r="U37" s="24">
        <v>2</v>
      </c>
      <c r="V37" s="24">
        <v>0</v>
      </c>
      <c r="W37" s="24"/>
      <c r="X37" s="68">
        <f>'Apps &amp; Goals 26-27'!G35</f>
        <v>0</v>
      </c>
      <c r="Y37" s="68">
        <f>'Apps &amp; Goals 26-27'!H35</f>
        <v>0</v>
      </c>
      <c r="Z37" s="24">
        <f t="shared" si="36"/>
        <v>2</v>
      </c>
      <c r="AA37" s="24">
        <f t="shared" si="37"/>
        <v>0</v>
      </c>
      <c r="AC37" s="80" t="s">
        <v>332</v>
      </c>
      <c r="AD37" s="18">
        <v>2</v>
      </c>
      <c r="AE37" s="18">
        <v>0</v>
      </c>
      <c r="AF37" s="18"/>
      <c r="AG37" s="80">
        <f>'Apps &amp; Goals 26-27'!I35</f>
        <v>0</v>
      </c>
      <c r="AH37" s="80">
        <f>'Apps &amp; Goals 26-27'!J35</f>
        <v>0</v>
      </c>
      <c r="AI37" s="18">
        <f t="shared" si="38"/>
        <v>2</v>
      </c>
      <c r="AJ37" s="18">
        <f t="shared" si="39"/>
        <v>0</v>
      </c>
      <c r="AL37" s="32" t="s">
        <v>332</v>
      </c>
      <c r="AM37" s="33">
        <v>0</v>
      </c>
      <c r="AN37" s="33">
        <v>0</v>
      </c>
      <c r="AO37" s="33"/>
      <c r="AP37" s="81">
        <f>'Apps &amp; Goals 26-27'!K35</f>
        <v>0</v>
      </c>
      <c r="AQ37" s="81">
        <f>'Apps &amp; Goals 26-27'!L35</f>
        <v>0</v>
      </c>
      <c r="AR37" s="33">
        <f t="shared" si="40"/>
        <v>0</v>
      </c>
      <c r="AS37" s="33">
        <f t="shared" si="41"/>
        <v>0</v>
      </c>
    </row>
    <row r="38" spans="1:45" x14ac:dyDescent="0.25">
      <c r="A38" s="28">
        <v>71</v>
      </c>
      <c r="B38" s="22" t="s">
        <v>337</v>
      </c>
      <c r="C38" s="25">
        <v>0</v>
      </c>
      <c r="D38" s="25">
        <v>0</v>
      </c>
      <c r="E38" s="25"/>
      <c r="F38" s="21">
        <f>'Apps &amp; Goals 26-27'!C36</f>
        <v>0</v>
      </c>
      <c r="G38" s="21">
        <f>'Apps &amp; Goals 26-27'!D36</f>
        <v>0</v>
      </c>
      <c r="H38" s="25">
        <f t="shared" si="32"/>
        <v>0</v>
      </c>
      <c r="I38" s="25">
        <f t="shared" si="33"/>
        <v>0</v>
      </c>
      <c r="K38" s="48" t="s">
        <v>337</v>
      </c>
      <c r="L38" s="26">
        <v>1</v>
      </c>
      <c r="M38" s="26">
        <v>0</v>
      </c>
      <c r="N38" s="26"/>
      <c r="O38" s="20">
        <f>'Apps &amp; Goals 26-27'!E36</f>
        <v>0</v>
      </c>
      <c r="P38" s="20">
        <f>'Apps &amp; Goals 26-27'!F36</f>
        <v>0</v>
      </c>
      <c r="Q38" s="26">
        <f t="shared" si="34"/>
        <v>1</v>
      </c>
      <c r="R38" s="26">
        <f t="shared" si="35"/>
        <v>0</v>
      </c>
      <c r="T38" s="23" t="s">
        <v>337</v>
      </c>
      <c r="U38" s="24">
        <v>0</v>
      </c>
      <c r="V38" s="24">
        <v>0</v>
      </c>
      <c r="W38" s="24"/>
      <c r="X38" s="68">
        <f>'Apps &amp; Goals 26-27'!G36</f>
        <v>0</v>
      </c>
      <c r="Y38" s="68">
        <f>'Apps &amp; Goals 26-27'!H36</f>
        <v>0</v>
      </c>
      <c r="Z38" s="24">
        <f t="shared" si="36"/>
        <v>0</v>
      </c>
      <c r="AA38" s="24">
        <f t="shared" si="37"/>
        <v>0</v>
      </c>
      <c r="AC38" s="19" t="s">
        <v>337</v>
      </c>
      <c r="AD38" s="18">
        <v>1</v>
      </c>
      <c r="AE38" s="18">
        <v>0</v>
      </c>
      <c r="AF38" s="18"/>
      <c r="AG38" s="80">
        <f>'Apps &amp; Goals 26-27'!I36</f>
        <v>0</v>
      </c>
      <c r="AH38" s="80">
        <f>'Apps &amp; Goals 26-27'!J36</f>
        <v>0</v>
      </c>
      <c r="AI38" s="18">
        <f t="shared" si="38"/>
        <v>1</v>
      </c>
      <c r="AJ38" s="18">
        <f t="shared" si="39"/>
        <v>0</v>
      </c>
      <c r="AL38" s="32" t="s">
        <v>337</v>
      </c>
      <c r="AM38" s="33">
        <v>0</v>
      </c>
      <c r="AN38" s="33">
        <v>0</v>
      </c>
      <c r="AO38" s="33"/>
      <c r="AP38" s="81">
        <f>'Apps &amp; Goals 26-27'!K36</f>
        <v>0</v>
      </c>
      <c r="AQ38" s="81">
        <f>'Apps &amp; Goals 26-27'!L36</f>
        <v>0</v>
      </c>
      <c r="AR38" s="33">
        <f t="shared" si="40"/>
        <v>0</v>
      </c>
      <c r="AS38" s="33">
        <f t="shared" si="41"/>
        <v>0</v>
      </c>
    </row>
    <row r="39" spans="1:45" x14ac:dyDescent="0.25">
      <c r="A39" s="28">
        <v>72</v>
      </c>
      <c r="B39" s="22" t="s">
        <v>348</v>
      </c>
      <c r="C39" s="25">
        <v>0</v>
      </c>
      <c r="D39" s="25">
        <v>0</v>
      </c>
      <c r="E39" s="25"/>
      <c r="F39" s="21">
        <f>'Apps &amp; Goals 26-27'!C37</f>
        <v>0</v>
      </c>
      <c r="G39" s="21">
        <f>'Apps &amp; Goals 26-27'!D37</f>
        <v>0</v>
      </c>
      <c r="H39" s="25">
        <f t="shared" si="32"/>
        <v>0</v>
      </c>
      <c r="I39" s="25">
        <f t="shared" si="33"/>
        <v>0</v>
      </c>
      <c r="K39" s="48" t="s">
        <v>348</v>
      </c>
      <c r="L39" s="26">
        <v>1</v>
      </c>
      <c r="M39" s="26">
        <v>0</v>
      </c>
      <c r="N39" s="26"/>
      <c r="O39" s="20">
        <f>'Apps &amp; Goals 26-27'!E37</f>
        <v>0</v>
      </c>
      <c r="P39" s="20">
        <f>'Apps &amp; Goals 26-27'!F37</f>
        <v>0</v>
      </c>
      <c r="Q39" s="26">
        <f t="shared" si="34"/>
        <v>1</v>
      </c>
      <c r="R39" s="26">
        <f t="shared" si="35"/>
        <v>0</v>
      </c>
      <c r="T39" s="23" t="s">
        <v>348</v>
      </c>
      <c r="U39" s="24">
        <v>0</v>
      </c>
      <c r="V39" s="24">
        <v>0</v>
      </c>
      <c r="W39" s="24"/>
      <c r="X39" s="68">
        <f>'Apps &amp; Goals 26-27'!G37</f>
        <v>0</v>
      </c>
      <c r="Y39" s="68">
        <f>'Apps &amp; Goals 26-27'!H37</f>
        <v>0</v>
      </c>
      <c r="Z39" s="24">
        <f t="shared" si="36"/>
        <v>0</v>
      </c>
      <c r="AA39" s="24">
        <f t="shared" si="37"/>
        <v>0</v>
      </c>
      <c r="AC39" s="19" t="s">
        <v>348</v>
      </c>
      <c r="AD39" s="18">
        <v>0</v>
      </c>
      <c r="AE39" s="18">
        <v>0</v>
      </c>
      <c r="AF39" s="18"/>
      <c r="AG39" s="80">
        <f>'Apps &amp; Goals 26-27'!I37</f>
        <v>0</v>
      </c>
      <c r="AH39" s="80">
        <f>'Apps &amp; Goals 26-27'!J37</f>
        <v>0</v>
      </c>
      <c r="AI39" s="18">
        <f t="shared" si="38"/>
        <v>0</v>
      </c>
      <c r="AJ39" s="18">
        <f t="shared" si="39"/>
        <v>0</v>
      </c>
      <c r="AL39" s="32" t="s">
        <v>348</v>
      </c>
      <c r="AM39" s="33">
        <v>0</v>
      </c>
      <c r="AN39" s="33">
        <v>0</v>
      </c>
      <c r="AO39" s="33"/>
      <c r="AP39" s="81">
        <f>'Apps &amp; Goals 26-27'!K37</f>
        <v>0</v>
      </c>
      <c r="AQ39" s="81">
        <f>'Apps &amp; Goals 26-27'!L37</f>
        <v>0</v>
      </c>
      <c r="AR39" s="33">
        <f t="shared" si="40"/>
        <v>0</v>
      </c>
      <c r="AS39" s="33">
        <f t="shared" si="41"/>
        <v>0</v>
      </c>
    </row>
    <row r="40" spans="1:45" x14ac:dyDescent="0.25">
      <c r="A40" s="28">
        <v>81</v>
      </c>
      <c r="B40" s="22" t="s">
        <v>349</v>
      </c>
      <c r="C40" s="25">
        <v>0</v>
      </c>
      <c r="D40" s="25">
        <v>0</v>
      </c>
      <c r="E40" s="25"/>
      <c r="F40" s="21">
        <f>'Apps &amp; Goals 26-27'!C38</f>
        <v>0</v>
      </c>
      <c r="G40" s="21">
        <f>'Apps &amp; Goals 26-27'!D38</f>
        <v>0</v>
      </c>
      <c r="H40" s="25">
        <f t="shared" si="32"/>
        <v>0</v>
      </c>
      <c r="I40" s="25">
        <f t="shared" si="33"/>
        <v>0</v>
      </c>
      <c r="K40" s="48" t="s">
        <v>349</v>
      </c>
      <c r="L40" s="26">
        <v>1</v>
      </c>
      <c r="M40" s="26">
        <v>0</v>
      </c>
      <c r="N40" s="26"/>
      <c r="O40" s="20">
        <f>'Apps &amp; Goals 26-27'!E38</f>
        <v>0</v>
      </c>
      <c r="P40" s="20">
        <f>'Apps &amp; Goals 26-27'!F38</f>
        <v>0</v>
      </c>
      <c r="Q40" s="26">
        <f t="shared" si="34"/>
        <v>1</v>
      </c>
      <c r="R40" s="26">
        <f t="shared" si="35"/>
        <v>0</v>
      </c>
      <c r="T40" s="23" t="s">
        <v>349</v>
      </c>
      <c r="U40" s="24">
        <v>0</v>
      </c>
      <c r="V40" s="24">
        <v>0</v>
      </c>
      <c r="W40" s="24"/>
      <c r="X40" s="68">
        <f>'Apps &amp; Goals 26-27'!G38</f>
        <v>0</v>
      </c>
      <c r="Y40" s="68">
        <f>'Apps &amp; Goals 26-27'!H38</f>
        <v>0</v>
      </c>
      <c r="Z40" s="24">
        <f t="shared" si="36"/>
        <v>0</v>
      </c>
      <c r="AA40" s="24">
        <f t="shared" si="37"/>
        <v>0</v>
      </c>
      <c r="AC40" s="19" t="s">
        <v>349</v>
      </c>
      <c r="AD40" s="18">
        <v>0</v>
      </c>
      <c r="AE40" s="18">
        <v>0</v>
      </c>
      <c r="AF40" s="18"/>
      <c r="AG40" s="80">
        <f>'Apps &amp; Goals 26-27'!I38</f>
        <v>0</v>
      </c>
      <c r="AH40" s="80">
        <f>'Apps &amp; Goals 26-27'!J38</f>
        <v>0</v>
      </c>
      <c r="AI40" s="18">
        <f t="shared" si="38"/>
        <v>0</v>
      </c>
      <c r="AJ40" s="18">
        <f t="shared" si="39"/>
        <v>0</v>
      </c>
      <c r="AL40" s="32" t="s">
        <v>349</v>
      </c>
      <c r="AM40" s="33">
        <v>0</v>
      </c>
      <c r="AN40" s="33">
        <v>0</v>
      </c>
      <c r="AO40" s="33"/>
      <c r="AP40" s="81">
        <f>'Apps &amp; Goals 26-27'!K38</f>
        <v>0</v>
      </c>
      <c r="AQ40" s="81">
        <f>'Apps &amp; Goals 26-27'!L38</f>
        <v>0</v>
      </c>
      <c r="AR40" s="33">
        <f t="shared" si="40"/>
        <v>0</v>
      </c>
      <c r="AS40" s="33">
        <f t="shared" si="41"/>
        <v>0</v>
      </c>
    </row>
    <row r="41" spans="1:45" x14ac:dyDescent="0.25">
      <c r="A41" s="28">
        <v>89</v>
      </c>
      <c r="B41" s="22" t="s">
        <v>343</v>
      </c>
      <c r="C41" s="25">
        <v>0</v>
      </c>
      <c r="D41" s="25">
        <v>0</v>
      </c>
      <c r="E41" s="25"/>
      <c r="F41" s="21">
        <f>'Apps &amp; Goals 26-27'!C39</f>
        <v>0</v>
      </c>
      <c r="G41" s="21">
        <f>'Apps &amp; Goals 26-27'!D39</f>
        <v>0</v>
      </c>
      <c r="H41" s="25">
        <f t="shared" si="32"/>
        <v>0</v>
      </c>
      <c r="I41" s="25">
        <f t="shared" si="33"/>
        <v>0</v>
      </c>
      <c r="K41" s="48" t="s">
        <v>343</v>
      </c>
      <c r="L41" s="26">
        <v>1</v>
      </c>
      <c r="M41" s="26">
        <v>0</v>
      </c>
      <c r="N41" s="26"/>
      <c r="O41" s="20">
        <f>'Apps &amp; Goals 26-27'!E39</f>
        <v>0</v>
      </c>
      <c r="P41" s="20">
        <f>'Apps &amp; Goals 26-27'!F39</f>
        <v>0</v>
      </c>
      <c r="Q41" s="26">
        <f t="shared" si="34"/>
        <v>1</v>
      </c>
      <c r="R41" s="26">
        <f t="shared" si="35"/>
        <v>0</v>
      </c>
      <c r="T41" s="23" t="s">
        <v>343</v>
      </c>
      <c r="U41" s="24">
        <v>3</v>
      </c>
      <c r="V41" s="24">
        <v>0</v>
      </c>
      <c r="W41" s="24"/>
      <c r="X41" s="68">
        <f>'Apps &amp; Goals 26-27'!G39</f>
        <v>0</v>
      </c>
      <c r="Y41" s="68">
        <f>'Apps &amp; Goals 26-27'!H39</f>
        <v>0</v>
      </c>
      <c r="Z41" s="24">
        <f t="shared" si="36"/>
        <v>3</v>
      </c>
      <c r="AA41" s="24">
        <f t="shared" si="37"/>
        <v>0</v>
      </c>
      <c r="AC41" s="19" t="s">
        <v>343</v>
      </c>
      <c r="AD41" s="18">
        <v>0</v>
      </c>
      <c r="AE41" s="18">
        <v>0</v>
      </c>
      <c r="AF41" s="18"/>
      <c r="AG41" s="80">
        <f>'Apps &amp; Goals 26-27'!I39</f>
        <v>0</v>
      </c>
      <c r="AH41" s="80">
        <f>'Apps &amp; Goals 26-27'!J39</f>
        <v>0</v>
      </c>
      <c r="AI41" s="18">
        <f t="shared" si="38"/>
        <v>0</v>
      </c>
      <c r="AJ41" s="18">
        <f t="shared" si="39"/>
        <v>0</v>
      </c>
      <c r="AL41" s="32" t="s">
        <v>343</v>
      </c>
      <c r="AM41" s="33">
        <v>0</v>
      </c>
      <c r="AN41" s="33">
        <v>0</v>
      </c>
      <c r="AO41" s="33"/>
      <c r="AP41" s="81">
        <f>'Apps &amp; Goals 26-27'!K39</f>
        <v>0</v>
      </c>
      <c r="AQ41" s="81">
        <f>'Apps &amp; Goals 26-27'!L39</f>
        <v>0</v>
      </c>
      <c r="AR41" s="33">
        <f t="shared" si="40"/>
        <v>0</v>
      </c>
      <c r="AS41" s="33">
        <f t="shared" si="41"/>
        <v>0</v>
      </c>
    </row>
    <row r="42" spans="1:45" x14ac:dyDescent="0.25">
      <c r="A42" s="28">
        <v>92</v>
      </c>
      <c r="B42" s="22" t="s">
        <v>311</v>
      </c>
      <c r="C42" s="25">
        <v>0</v>
      </c>
      <c r="D42" s="25">
        <v>0</v>
      </c>
      <c r="E42" s="25"/>
      <c r="F42" s="21">
        <f>'Apps &amp; Goals 26-27'!C40</f>
        <v>0</v>
      </c>
      <c r="G42" s="21">
        <f>'Apps &amp; Goals 26-27'!D40</f>
        <v>0</v>
      </c>
      <c r="H42" s="25">
        <f t="shared" si="32"/>
        <v>0</v>
      </c>
      <c r="I42" s="25">
        <f t="shared" si="33"/>
        <v>0</v>
      </c>
      <c r="K42" s="48" t="s">
        <v>311</v>
      </c>
      <c r="L42" s="26">
        <v>0</v>
      </c>
      <c r="M42" s="26">
        <v>0</v>
      </c>
      <c r="N42" s="26"/>
      <c r="O42" s="20">
        <f>'Apps &amp; Goals 26-27'!E40</f>
        <v>0</v>
      </c>
      <c r="P42" s="20">
        <f>'Apps &amp; Goals 26-27'!F40</f>
        <v>0</v>
      </c>
      <c r="Q42" s="26">
        <f t="shared" si="34"/>
        <v>0</v>
      </c>
      <c r="R42" s="26">
        <f t="shared" si="35"/>
        <v>0</v>
      </c>
      <c r="T42" s="23" t="s">
        <v>311</v>
      </c>
      <c r="U42" s="24">
        <v>0</v>
      </c>
      <c r="V42" s="24">
        <v>0</v>
      </c>
      <c r="W42" s="24"/>
      <c r="X42" s="68">
        <f>'Apps &amp; Goals 26-27'!G40</f>
        <v>0</v>
      </c>
      <c r="Y42" s="68">
        <f>'Apps &amp; Goals 26-27'!H40</f>
        <v>0</v>
      </c>
      <c r="Z42" s="24">
        <f t="shared" si="36"/>
        <v>0</v>
      </c>
      <c r="AA42" s="24">
        <f t="shared" si="37"/>
        <v>0</v>
      </c>
      <c r="AC42" s="19" t="s">
        <v>311</v>
      </c>
      <c r="AD42" s="18">
        <v>1</v>
      </c>
      <c r="AE42" s="18">
        <v>0</v>
      </c>
      <c r="AF42" s="18"/>
      <c r="AG42" s="80">
        <f>'Apps &amp; Goals 26-27'!I40</f>
        <v>0</v>
      </c>
      <c r="AH42" s="80">
        <f>'Apps &amp; Goals 26-27'!J40</f>
        <v>0</v>
      </c>
      <c r="AI42" s="18">
        <f t="shared" si="38"/>
        <v>1</v>
      </c>
      <c r="AJ42" s="18">
        <f t="shared" si="39"/>
        <v>0</v>
      </c>
      <c r="AL42" s="32" t="s">
        <v>311</v>
      </c>
      <c r="AM42" s="33">
        <v>0</v>
      </c>
      <c r="AN42" s="33">
        <v>0</v>
      </c>
      <c r="AO42" s="33"/>
      <c r="AP42" s="81">
        <f>'Apps &amp; Goals 26-27'!K40</f>
        <v>0</v>
      </c>
      <c r="AQ42" s="81">
        <f>'Apps &amp; Goals 26-27'!L40</f>
        <v>0</v>
      </c>
      <c r="AR42" s="33">
        <f t="shared" si="40"/>
        <v>0</v>
      </c>
      <c r="AS42" s="33">
        <f t="shared" si="41"/>
        <v>0</v>
      </c>
    </row>
  </sheetData>
  <autoFilter ref="A5:AS5" xr:uid="{DD58B19C-85AF-4645-B388-993358A8A25A}"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sortState xmlns:xlrd2="http://schemas.microsoft.com/office/spreadsheetml/2017/richdata2" ref="A6:AS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T42"/>
  <sheetViews>
    <sheetView tabSelected="1" zoomScale="90" zoomScaleNormal="90" zoomScalePageLayoutView="110" workbookViewId="0">
      <selection activeCell="R10" sqref="R10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6" width="8.7109375" customWidth="1"/>
    <col min="20" max="20" width="11.28515625" bestFit="1" customWidth="1"/>
  </cols>
  <sheetData>
    <row r="1" spans="1:20" x14ac:dyDescent="0.25">
      <c r="A1" s="1" t="s">
        <v>0</v>
      </c>
      <c r="B1" s="1"/>
      <c r="C1" s="1"/>
      <c r="D1" s="1"/>
      <c r="E1" s="1"/>
      <c r="F1" s="204"/>
      <c r="G1" s="204"/>
      <c r="H1" s="1"/>
      <c r="I1" s="1"/>
      <c r="J1" s="1"/>
      <c r="K1" s="1"/>
      <c r="L1" s="1"/>
      <c r="M1" s="1"/>
      <c r="N1" s="1"/>
      <c r="O1" s="1"/>
      <c r="P1" s="1"/>
      <c r="T1" t="s">
        <v>290</v>
      </c>
    </row>
    <row r="2" spans="1:20" x14ac:dyDescent="0.25">
      <c r="A2" s="3"/>
      <c r="B2" s="3"/>
      <c r="C2" s="3"/>
      <c r="D2" s="5"/>
      <c r="E2" s="203" t="s">
        <v>4</v>
      </c>
      <c r="F2" s="203"/>
      <c r="G2" s="205" t="s">
        <v>126</v>
      </c>
      <c r="H2" s="205"/>
      <c r="I2" s="203" t="s">
        <v>114</v>
      </c>
      <c r="J2" s="203"/>
      <c r="K2" s="205" t="s">
        <v>116</v>
      </c>
      <c r="L2" s="205"/>
      <c r="M2" s="203" t="s">
        <v>40</v>
      </c>
      <c r="N2" s="203"/>
      <c r="O2" s="202" t="s">
        <v>7</v>
      </c>
      <c r="P2" s="202"/>
      <c r="T2" s="149">
        <v>46251</v>
      </c>
    </row>
    <row r="3" spans="1:20" x14ac:dyDescent="0.25">
      <c r="A3" s="3" t="s">
        <v>49</v>
      </c>
      <c r="B3" s="3"/>
      <c r="C3" s="3"/>
      <c r="D3" s="5" t="s">
        <v>1</v>
      </c>
      <c r="E3" s="5" t="s">
        <v>2</v>
      </c>
      <c r="F3" s="5" t="s">
        <v>3</v>
      </c>
      <c r="G3" s="3" t="s">
        <v>2</v>
      </c>
      <c r="H3" s="3" t="s">
        <v>3</v>
      </c>
      <c r="I3" s="5" t="s">
        <v>5</v>
      </c>
      <c r="J3" s="5" t="s">
        <v>3</v>
      </c>
      <c r="K3" s="3" t="s">
        <v>2</v>
      </c>
      <c r="L3" s="3" t="s">
        <v>3</v>
      </c>
      <c r="M3" s="5" t="s">
        <v>2</v>
      </c>
      <c r="N3" s="5" t="s">
        <v>3</v>
      </c>
      <c r="O3" s="8" t="s">
        <v>2</v>
      </c>
      <c r="P3" s="8" t="s">
        <v>3</v>
      </c>
    </row>
    <row r="4" spans="1:20" x14ac:dyDescent="0.25">
      <c r="A4" s="4">
        <v>1</v>
      </c>
      <c r="B4" s="4" t="s">
        <v>359</v>
      </c>
      <c r="C4" s="4" t="s">
        <v>360</v>
      </c>
      <c r="D4" s="38" t="s">
        <v>287</v>
      </c>
      <c r="E4" s="6">
        <f>'#'!H6</f>
        <v>107</v>
      </c>
      <c r="F4" s="6">
        <f>'#'!I6</f>
        <v>0</v>
      </c>
      <c r="G4" s="4">
        <f>'#'!Q6</f>
        <v>36</v>
      </c>
      <c r="H4" s="4">
        <f>'#'!R6</f>
        <v>0</v>
      </c>
      <c r="I4" s="6">
        <f>'#'!Z6</f>
        <v>1</v>
      </c>
      <c r="J4" s="6">
        <f>'#'!AA6</f>
        <v>0</v>
      </c>
      <c r="K4" s="4">
        <f>'#'!AI6</f>
        <v>3</v>
      </c>
      <c r="L4" s="4">
        <f>'#'!AJ6</f>
        <v>0</v>
      </c>
      <c r="M4" s="6">
        <f>'#'!AR6</f>
        <v>1</v>
      </c>
      <c r="N4" s="6">
        <f>'#'!AS6</f>
        <v>0</v>
      </c>
      <c r="O4" s="2">
        <f t="shared" ref="O4:O17" si="0">SUM(E4,G4,I4,K4,M4)</f>
        <v>148</v>
      </c>
      <c r="P4" s="2">
        <f t="shared" ref="P4:P17" si="1">SUM(F4,H4,J4,L4,N4)</f>
        <v>0</v>
      </c>
    </row>
    <row r="5" spans="1:20" x14ac:dyDescent="0.25">
      <c r="A5" s="4">
        <v>2</v>
      </c>
      <c r="B5" s="4" t="s">
        <v>361</v>
      </c>
      <c r="C5" s="4" t="s">
        <v>362</v>
      </c>
      <c r="D5" s="36" t="s">
        <v>204</v>
      </c>
      <c r="E5" s="6">
        <f>'#'!H7</f>
        <v>131</v>
      </c>
      <c r="F5" s="6">
        <f>'#'!I7</f>
        <v>7</v>
      </c>
      <c r="G5" s="4">
        <f>'#'!Q7</f>
        <v>37</v>
      </c>
      <c r="H5" s="4">
        <f>'#'!R7</f>
        <v>1</v>
      </c>
      <c r="I5" s="6">
        <f>'#'!Z7</f>
        <v>5</v>
      </c>
      <c r="J5" s="6">
        <f>'#'!AA7</f>
        <v>0</v>
      </c>
      <c r="K5" s="4">
        <f>'#'!AI7</f>
        <v>10</v>
      </c>
      <c r="L5" s="4">
        <f>'#'!AJ7</f>
        <v>0</v>
      </c>
      <c r="M5" s="6">
        <f>'#'!AR7</f>
        <v>1</v>
      </c>
      <c r="N5" s="6">
        <f>'#'!AS7</f>
        <v>0</v>
      </c>
      <c r="O5" s="2">
        <f t="shared" si="0"/>
        <v>184</v>
      </c>
      <c r="P5" s="2">
        <f t="shared" si="1"/>
        <v>8</v>
      </c>
    </row>
    <row r="6" spans="1:20" x14ac:dyDescent="0.25">
      <c r="A6" s="4">
        <v>3</v>
      </c>
      <c r="B6" s="27" t="s">
        <v>359</v>
      </c>
      <c r="C6" s="4" t="s">
        <v>362</v>
      </c>
      <c r="D6" s="36" t="s">
        <v>326</v>
      </c>
      <c r="E6" s="6">
        <f>'#'!H8</f>
        <v>20</v>
      </c>
      <c r="F6" s="6">
        <f>'#'!I8</f>
        <v>0</v>
      </c>
      <c r="G6" s="4">
        <f>'#'!Q8</f>
        <v>10</v>
      </c>
      <c r="H6" s="4">
        <f>'#'!R8</f>
        <v>0</v>
      </c>
      <c r="I6" s="6">
        <f>'#'!Z8</f>
        <v>3</v>
      </c>
      <c r="J6" s="6">
        <f>'#'!AA8</f>
        <v>0</v>
      </c>
      <c r="K6" s="4">
        <f>'#'!AI8</f>
        <v>2</v>
      </c>
      <c r="L6" s="4">
        <f>'#'!AJ8</f>
        <v>0</v>
      </c>
      <c r="M6" s="6">
        <f>'#'!AR8</f>
        <v>1</v>
      </c>
      <c r="N6" s="6">
        <f>'#'!AS8</f>
        <v>0</v>
      </c>
      <c r="O6" s="2">
        <f t="shared" si="0"/>
        <v>36</v>
      </c>
      <c r="P6" s="2">
        <f t="shared" si="1"/>
        <v>0</v>
      </c>
    </row>
    <row r="7" spans="1:20" x14ac:dyDescent="0.25">
      <c r="A7" s="4">
        <v>4</v>
      </c>
      <c r="B7" s="67" t="s">
        <v>365</v>
      </c>
      <c r="C7" s="4" t="s">
        <v>362</v>
      </c>
      <c r="D7" s="38" t="s">
        <v>229</v>
      </c>
      <c r="E7" s="6">
        <f>'#'!H9</f>
        <v>136</v>
      </c>
      <c r="F7" s="6">
        <f>'#'!I9</f>
        <v>6</v>
      </c>
      <c r="G7" s="4">
        <f>'#'!Q9</f>
        <v>37</v>
      </c>
      <c r="H7" s="4">
        <f>'#'!R9</f>
        <v>0</v>
      </c>
      <c r="I7" s="6">
        <f>'#'!Z9</f>
        <v>6</v>
      </c>
      <c r="J7" s="6">
        <f>'#'!AA9</f>
        <v>0</v>
      </c>
      <c r="K7" s="4">
        <f>'#'!AI9</f>
        <v>10</v>
      </c>
      <c r="L7" s="4">
        <f>'#'!AJ9</f>
        <v>1</v>
      </c>
      <c r="M7" s="6">
        <f>'#'!AR9</f>
        <v>2</v>
      </c>
      <c r="N7" s="6">
        <f>'#'!AS9</f>
        <v>0</v>
      </c>
      <c r="O7" s="2">
        <f t="shared" si="0"/>
        <v>191</v>
      </c>
      <c r="P7" s="2">
        <f t="shared" si="1"/>
        <v>7</v>
      </c>
    </row>
    <row r="8" spans="1:20" x14ac:dyDescent="0.25">
      <c r="A8" s="4">
        <v>5</v>
      </c>
      <c r="B8" s="4" t="s">
        <v>368</v>
      </c>
      <c r="C8" s="4" t="s">
        <v>362</v>
      </c>
      <c r="D8" s="38" t="s">
        <v>328</v>
      </c>
      <c r="E8" s="6">
        <f>'#'!H10</f>
        <v>25</v>
      </c>
      <c r="F8" s="6">
        <f>'#'!I10</f>
        <v>1</v>
      </c>
      <c r="G8" s="4">
        <f>'#'!Q10</f>
        <v>10</v>
      </c>
      <c r="H8" s="4">
        <f>'#'!R10</f>
        <v>0</v>
      </c>
      <c r="I8" s="6">
        <f>'#'!Z10</f>
        <v>1</v>
      </c>
      <c r="J8" s="6">
        <f>'#'!AA10</f>
        <v>0</v>
      </c>
      <c r="K8" s="4">
        <f>'#'!AI10</f>
        <v>3</v>
      </c>
      <c r="L8" s="4">
        <f>'#'!AJ10</f>
        <v>0</v>
      </c>
      <c r="M8" s="6">
        <f>'#'!AR10</f>
        <v>1</v>
      </c>
      <c r="N8" s="6">
        <f>'#'!AS10</f>
        <v>0</v>
      </c>
      <c r="O8" s="2">
        <f t="shared" si="0"/>
        <v>40</v>
      </c>
      <c r="P8" s="2">
        <f t="shared" si="1"/>
        <v>1</v>
      </c>
    </row>
    <row r="9" spans="1:20" x14ac:dyDescent="0.25">
      <c r="A9" s="4">
        <v>6</v>
      </c>
      <c r="B9" s="4" t="s">
        <v>367</v>
      </c>
      <c r="C9" s="4" t="s">
        <v>362</v>
      </c>
      <c r="D9" s="38" t="s">
        <v>206</v>
      </c>
      <c r="E9" s="6">
        <f>'#'!H11</f>
        <v>192</v>
      </c>
      <c r="F9" s="6">
        <f>'#'!I11</f>
        <v>20</v>
      </c>
      <c r="G9" s="4">
        <f>'#'!Q11</f>
        <v>44</v>
      </c>
      <c r="H9" s="4">
        <f>'#'!R11</f>
        <v>3</v>
      </c>
      <c r="I9" s="6">
        <f>'#'!Z11</f>
        <v>7</v>
      </c>
      <c r="J9" s="6">
        <f>'#'!AA11</f>
        <v>1</v>
      </c>
      <c r="K9" s="4">
        <f>'#'!AI11</f>
        <v>17</v>
      </c>
      <c r="L9" s="4">
        <f>'#'!AJ11</f>
        <v>0</v>
      </c>
      <c r="M9" s="6">
        <f>'#'!AR11</f>
        <v>2</v>
      </c>
      <c r="N9" s="6">
        <f>'#'!AS11</f>
        <v>0</v>
      </c>
      <c r="O9" s="2">
        <f t="shared" si="0"/>
        <v>262</v>
      </c>
      <c r="P9" s="2">
        <f t="shared" si="1"/>
        <v>24</v>
      </c>
    </row>
    <row r="10" spans="1:20" x14ac:dyDescent="0.25">
      <c r="A10" s="4">
        <v>7</v>
      </c>
      <c r="B10" s="67" t="s">
        <v>365</v>
      </c>
      <c r="C10" s="4" t="s">
        <v>364</v>
      </c>
      <c r="D10" s="38" t="s">
        <v>188</v>
      </c>
      <c r="E10" s="6">
        <f>'#'!H12</f>
        <v>226</v>
      </c>
      <c r="F10" s="6">
        <f>'#'!I12</f>
        <v>60</v>
      </c>
      <c r="G10" s="4">
        <f>'#'!Q12</f>
        <v>54</v>
      </c>
      <c r="H10" s="4">
        <f>'#'!R12</f>
        <v>18</v>
      </c>
      <c r="I10" s="6">
        <f>'#'!Z12</f>
        <v>13</v>
      </c>
      <c r="J10" s="6">
        <f>'#'!AA12</f>
        <v>1</v>
      </c>
      <c r="K10" s="4">
        <f>'#'!AI12</f>
        <v>17</v>
      </c>
      <c r="L10" s="4">
        <f>'#'!AJ12</f>
        <v>2</v>
      </c>
      <c r="M10" s="6">
        <f>'#'!AR12</f>
        <v>3</v>
      </c>
      <c r="N10" s="6">
        <f>'#'!AS12</f>
        <v>0</v>
      </c>
      <c r="O10" s="2">
        <f t="shared" si="0"/>
        <v>313</v>
      </c>
      <c r="P10" s="2">
        <f t="shared" si="1"/>
        <v>81</v>
      </c>
    </row>
    <row r="11" spans="1:20" x14ac:dyDescent="0.25">
      <c r="A11" s="4">
        <v>8</v>
      </c>
      <c r="B11" s="4" t="s">
        <v>369</v>
      </c>
      <c r="C11" s="4" t="s">
        <v>363</v>
      </c>
      <c r="D11" s="38" t="s">
        <v>227</v>
      </c>
      <c r="E11" s="6">
        <f>'#'!H13</f>
        <v>176</v>
      </c>
      <c r="F11" s="6">
        <f>'#'!I13</f>
        <v>35</v>
      </c>
      <c r="G11" s="4">
        <f>'#'!Q13</f>
        <v>41</v>
      </c>
      <c r="H11" s="4">
        <f>'#'!R13</f>
        <v>6</v>
      </c>
      <c r="I11" s="6">
        <f>'#'!Z13</f>
        <v>6</v>
      </c>
      <c r="J11" s="6">
        <f>'#'!AA13</f>
        <v>0</v>
      </c>
      <c r="K11" s="4">
        <f>'#'!AI13</f>
        <v>10</v>
      </c>
      <c r="L11" s="4">
        <f>'#'!AJ13</f>
        <v>1</v>
      </c>
      <c r="M11" s="6">
        <f>'#'!AR13</f>
        <v>2</v>
      </c>
      <c r="N11" s="6">
        <f>'#'!AS13</f>
        <v>1</v>
      </c>
      <c r="O11" s="2">
        <f t="shared" si="0"/>
        <v>235</v>
      </c>
      <c r="P11" s="2">
        <f t="shared" si="1"/>
        <v>43</v>
      </c>
    </row>
    <row r="12" spans="1:20" x14ac:dyDescent="0.25">
      <c r="A12" s="4">
        <v>9</v>
      </c>
      <c r="B12" s="4" t="s">
        <v>367</v>
      </c>
      <c r="C12" s="4" t="s">
        <v>364</v>
      </c>
      <c r="D12" s="38" t="s">
        <v>268</v>
      </c>
      <c r="E12" s="6">
        <f>'#'!H14</f>
        <v>84</v>
      </c>
      <c r="F12" s="6">
        <f>'#'!I14</f>
        <v>21</v>
      </c>
      <c r="G12" s="4">
        <f>'#'!Q14</f>
        <v>25</v>
      </c>
      <c r="H12" s="4">
        <f>'#'!R14</f>
        <v>6</v>
      </c>
      <c r="I12" s="6">
        <f>'#'!Z14</f>
        <v>5</v>
      </c>
      <c r="J12" s="6">
        <f>'#'!AA14</f>
        <v>1</v>
      </c>
      <c r="K12" s="4">
        <f>'#'!AI14</f>
        <v>9</v>
      </c>
      <c r="L12" s="4">
        <f>'#'!AJ14</f>
        <v>4</v>
      </c>
      <c r="M12" s="6">
        <f>'#'!AR14</f>
        <v>0</v>
      </c>
      <c r="N12" s="6">
        <f>'#'!AS14</f>
        <v>0</v>
      </c>
      <c r="O12" s="2">
        <f t="shared" si="0"/>
        <v>123</v>
      </c>
      <c r="P12" s="2">
        <f t="shared" si="1"/>
        <v>32</v>
      </c>
    </row>
    <row r="13" spans="1:20" x14ac:dyDescent="0.25">
      <c r="A13" s="4">
        <v>10</v>
      </c>
      <c r="B13" s="67" t="s">
        <v>365</v>
      </c>
      <c r="C13" s="4" t="s">
        <v>363</v>
      </c>
      <c r="D13" s="38" t="s">
        <v>329</v>
      </c>
      <c r="E13" s="6">
        <f>'#'!H15</f>
        <v>32</v>
      </c>
      <c r="F13" s="6">
        <f>'#'!I15</f>
        <v>7</v>
      </c>
      <c r="G13" s="4">
        <f>'#'!Q15</f>
        <v>13</v>
      </c>
      <c r="H13" s="4">
        <f>'#'!R15</f>
        <v>1</v>
      </c>
      <c r="I13" s="6">
        <f>'#'!Z15</f>
        <v>3</v>
      </c>
      <c r="J13" s="6">
        <f>'#'!AA15</f>
        <v>1</v>
      </c>
      <c r="K13" s="4">
        <f>'#'!AI15</f>
        <v>4</v>
      </c>
      <c r="L13" s="4">
        <f>'#'!AJ15</f>
        <v>1</v>
      </c>
      <c r="M13" s="6">
        <f>'#'!AR15</f>
        <v>1</v>
      </c>
      <c r="N13" s="6">
        <f>'#'!AS15</f>
        <v>0</v>
      </c>
      <c r="O13" s="2">
        <f t="shared" si="0"/>
        <v>53</v>
      </c>
      <c r="P13" s="2">
        <f t="shared" si="1"/>
        <v>10</v>
      </c>
    </row>
    <row r="14" spans="1:20" x14ac:dyDescent="0.25">
      <c r="A14" s="4">
        <v>11</v>
      </c>
      <c r="B14" s="4" t="s">
        <v>367</v>
      </c>
      <c r="C14" s="4" t="s">
        <v>364</v>
      </c>
      <c r="D14" s="36" t="s">
        <v>196</v>
      </c>
      <c r="E14" s="6">
        <f>'#'!H16</f>
        <v>191</v>
      </c>
      <c r="F14" s="6">
        <f>'#'!I16</f>
        <v>41</v>
      </c>
      <c r="G14" s="4">
        <f>'#'!Q16</f>
        <v>53</v>
      </c>
      <c r="H14" s="4">
        <f>'#'!R16</f>
        <v>13</v>
      </c>
      <c r="I14" s="6">
        <f>'#'!Z16</f>
        <v>13</v>
      </c>
      <c r="J14" s="6">
        <f>'#'!AA16</f>
        <v>4</v>
      </c>
      <c r="K14" s="4">
        <f>'#'!AI16</f>
        <v>20</v>
      </c>
      <c r="L14" s="4">
        <f>'#'!AJ16</f>
        <v>4</v>
      </c>
      <c r="M14" s="6">
        <f>'#'!AR16</f>
        <v>1</v>
      </c>
      <c r="N14" s="6">
        <f>'#'!AS16</f>
        <v>0</v>
      </c>
      <c r="O14" s="2">
        <f t="shared" si="0"/>
        <v>278</v>
      </c>
      <c r="P14" s="2">
        <f t="shared" si="1"/>
        <v>62</v>
      </c>
    </row>
    <row r="15" spans="1:20" x14ac:dyDescent="0.25">
      <c r="A15" s="4">
        <v>12</v>
      </c>
      <c r="B15" s="4" t="s">
        <v>366</v>
      </c>
      <c r="C15" s="4" t="s">
        <v>362</v>
      </c>
      <c r="D15" s="36" t="s">
        <v>285</v>
      </c>
      <c r="E15" s="6">
        <f>'#'!H17</f>
        <v>62</v>
      </c>
      <c r="F15" s="6">
        <f>'#'!I17</f>
        <v>4</v>
      </c>
      <c r="G15" s="4">
        <f>'#'!Q17</f>
        <v>21</v>
      </c>
      <c r="H15" s="4">
        <f>'#'!R17</f>
        <v>2</v>
      </c>
      <c r="I15" s="6">
        <f>'#'!Z17</f>
        <v>3</v>
      </c>
      <c r="J15" s="6">
        <f>'#'!AA17</f>
        <v>0</v>
      </c>
      <c r="K15" s="4">
        <f>'#'!AI17</f>
        <v>8</v>
      </c>
      <c r="L15" s="4">
        <f>'#'!AJ17</f>
        <v>0</v>
      </c>
      <c r="M15" s="6">
        <f>'#'!AR17</f>
        <v>1</v>
      </c>
      <c r="N15" s="6">
        <f>'#'!AS17</f>
        <v>0</v>
      </c>
      <c r="O15" s="2">
        <f t="shared" si="0"/>
        <v>95</v>
      </c>
      <c r="P15" s="2">
        <f t="shared" si="1"/>
        <v>6</v>
      </c>
    </row>
    <row r="16" spans="1:20" x14ac:dyDescent="0.25">
      <c r="A16" s="4">
        <v>13</v>
      </c>
      <c r="B16" s="27" t="s">
        <v>359</v>
      </c>
      <c r="C16" s="4" t="s">
        <v>360</v>
      </c>
      <c r="D16" s="181" t="s">
        <v>322</v>
      </c>
      <c r="E16" s="6">
        <f>'#'!H18</f>
        <v>1</v>
      </c>
      <c r="F16" s="6">
        <f>'#'!I18</f>
        <v>0</v>
      </c>
      <c r="G16" s="4">
        <f>'#'!Q18</f>
        <v>1</v>
      </c>
      <c r="H16" s="4">
        <f>'#'!R18</f>
        <v>0</v>
      </c>
      <c r="I16" s="6">
        <f>'#'!Z18</f>
        <v>4</v>
      </c>
      <c r="J16" s="6">
        <f>'#'!AA18</f>
        <v>0</v>
      </c>
      <c r="K16" s="4">
        <f>'#'!AI18</f>
        <v>6</v>
      </c>
      <c r="L16" s="4">
        <f>'#'!AJ18</f>
        <v>0</v>
      </c>
      <c r="M16" s="6">
        <f>'#'!AR18</f>
        <v>0</v>
      </c>
      <c r="N16" s="6">
        <f>'#'!AS18</f>
        <v>0</v>
      </c>
      <c r="O16" s="2">
        <f t="shared" si="0"/>
        <v>12</v>
      </c>
      <c r="P16" s="2">
        <f t="shared" si="1"/>
        <v>0</v>
      </c>
    </row>
    <row r="17" spans="1:16" x14ac:dyDescent="0.25">
      <c r="A17" s="4">
        <v>14</v>
      </c>
      <c r="B17" s="27" t="s">
        <v>370</v>
      </c>
      <c r="C17" s="4" t="s">
        <v>364</v>
      </c>
      <c r="D17" s="181" t="s">
        <v>327</v>
      </c>
      <c r="E17" s="6">
        <f>'#'!H19</f>
        <v>36</v>
      </c>
      <c r="F17" s="6">
        <f>'#'!I19</f>
        <v>14</v>
      </c>
      <c r="G17" s="4">
        <f>'#'!Q19</f>
        <v>13</v>
      </c>
      <c r="H17" s="4">
        <f>'#'!R19</f>
        <v>5</v>
      </c>
      <c r="I17" s="6">
        <f>'#'!Z19</f>
        <v>2</v>
      </c>
      <c r="J17" s="6">
        <f>'#'!AA19</f>
        <v>1</v>
      </c>
      <c r="K17" s="4">
        <f>'#'!AI19</f>
        <v>4</v>
      </c>
      <c r="L17" s="4">
        <f>'#'!AJ19</f>
        <v>1</v>
      </c>
      <c r="M17" s="6">
        <f>'#'!AR19</f>
        <v>1</v>
      </c>
      <c r="N17" s="6">
        <f>'#'!AS19</f>
        <v>0</v>
      </c>
      <c r="O17" s="2">
        <f t="shared" si="0"/>
        <v>56</v>
      </c>
      <c r="P17" s="2">
        <f t="shared" si="1"/>
        <v>21</v>
      </c>
    </row>
    <row r="18" spans="1:16" x14ac:dyDescent="0.25">
      <c r="A18" s="4">
        <v>17</v>
      </c>
      <c r="B18" s="27" t="s">
        <v>371</v>
      </c>
      <c r="C18" s="4" t="s">
        <v>364</v>
      </c>
      <c r="D18" s="180" t="s">
        <v>353</v>
      </c>
      <c r="E18" s="6">
        <f>'#'!H20</f>
        <v>0</v>
      </c>
      <c r="F18" s="6">
        <f>'#'!I20</f>
        <v>0</v>
      </c>
      <c r="G18" s="4">
        <f>'#'!Q20</f>
        <v>0</v>
      </c>
      <c r="H18" s="4">
        <f>'#'!R20</f>
        <v>0</v>
      </c>
      <c r="I18" s="6">
        <f>'#'!Z20</f>
        <v>0</v>
      </c>
      <c r="J18" s="6">
        <f>'#'!AA20</f>
        <v>0</v>
      </c>
      <c r="K18" s="4">
        <f>'#'!AI20</f>
        <v>0</v>
      </c>
      <c r="L18" s="4">
        <f>'#'!AJ20</f>
        <v>0</v>
      </c>
      <c r="M18" s="6">
        <f>'#'!AR20</f>
        <v>1</v>
      </c>
      <c r="N18" s="6">
        <f>'#'!AS20</f>
        <v>0</v>
      </c>
      <c r="O18" s="2">
        <f t="shared" ref="O18:O24" si="2">SUM(E18,G18,I18,K18,M18)</f>
        <v>1</v>
      </c>
      <c r="P18" s="2">
        <f t="shared" ref="P18:P24" si="3">SUM(F18,H18,J18,L18,N18)</f>
        <v>0</v>
      </c>
    </row>
    <row r="19" spans="1:16" x14ac:dyDescent="0.25">
      <c r="A19" s="4">
        <v>20</v>
      </c>
      <c r="B19" s="67" t="s">
        <v>365</v>
      </c>
      <c r="C19" s="4" t="s">
        <v>364</v>
      </c>
      <c r="D19" s="180" t="s">
        <v>325</v>
      </c>
      <c r="E19" s="6">
        <f>'#'!H21</f>
        <v>26</v>
      </c>
      <c r="F19" s="6">
        <f>'#'!I21</f>
        <v>3</v>
      </c>
      <c r="G19" s="4">
        <f>'#'!Q21</f>
        <v>9</v>
      </c>
      <c r="H19" s="4">
        <f>'#'!R21</f>
        <v>3</v>
      </c>
      <c r="I19" s="6">
        <f>'#'!Z21</f>
        <v>4</v>
      </c>
      <c r="J19" s="6">
        <f>'#'!AA21</f>
        <v>2</v>
      </c>
      <c r="K19" s="4">
        <f>'#'!AI21</f>
        <v>3</v>
      </c>
      <c r="L19" s="4">
        <f>'#'!AJ21</f>
        <v>0</v>
      </c>
      <c r="M19" s="6">
        <f>'#'!AR21</f>
        <v>1</v>
      </c>
      <c r="N19" s="6">
        <f>'#'!AS21</f>
        <v>0</v>
      </c>
      <c r="O19" s="2">
        <f t="shared" si="2"/>
        <v>43</v>
      </c>
      <c r="P19" s="2">
        <f t="shared" si="3"/>
        <v>8</v>
      </c>
    </row>
    <row r="20" spans="1:16" x14ac:dyDescent="0.25">
      <c r="A20" s="67">
        <v>21</v>
      </c>
      <c r="B20" s="67" t="s">
        <v>372</v>
      </c>
      <c r="C20" s="4" t="s">
        <v>363</v>
      </c>
      <c r="D20" s="38" t="s">
        <v>267</v>
      </c>
      <c r="E20" s="6">
        <f>'#'!H22</f>
        <v>33</v>
      </c>
      <c r="F20" s="6">
        <f>'#'!I22</f>
        <v>2</v>
      </c>
      <c r="G20" s="4">
        <f>'#'!Q22</f>
        <v>11</v>
      </c>
      <c r="H20" s="4">
        <f>'#'!R22</f>
        <v>1</v>
      </c>
      <c r="I20" s="6">
        <f>'#'!Z22</f>
        <v>2</v>
      </c>
      <c r="J20" s="6">
        <f>'#'!AA22</f>
        <v>0</v>
      </c>
      <c r="K20" s="4">
        <f>'#'!AI22</f>
        <v>2</v>
      </c>
      <c r="L20" s="4">
        <f>'#'!AJ22</f>
        <v>0</v>
      </c>
      <c r="M20" s="6">
        <f>'#'!AR22</f>
        <v>1</v>
      </c>
      <c r="N20" s="6">
        <f>'#'!AS22</f>
        <v>0</v>
      </c>
      <c r="O20" s="2">
        <f t="shared" si="2"/>
        <v>49</v>
      </c>
      <c r="P20" s="2">
        <f t="shared" si="3"/>
        <v>3</v>
      </c>
    </row>
    <row r="21" spans="1:16" x14ac:dyDescent="0.25">
      <c r="A21" s="67">
        <v>22</v>
      </c>
      <c r="B21" s="67" t="s">
        <v>365</v>
      </c>
      <c r="C21" s="4" t="s">
        <v>363</v>
      </c>
      <c r="D21" s="41" t="s">
        <v>272</v>
      </c>
      <c r="E21" s="6">
        <f>'#'!H23</f>
        <v>34</v>
      </c>
      <c r="F21" s="6">
        <f>'#'!I23</f>
        <v>4</v>
      </c>
      <c r="G21" s="4">
        <f>'#'!Q23</f>
        <v>10</v>
      </c>
      <c r="H21" s="4">
        <f>'#'!R23</f>
        <v>2</v>
      </c>
      <c r="I21" s="6">
        <f>'#'!Z23</f>
        <v>1</v>
      </c>
      <c r="J21" s="6">
        <f>'#'!AA23</f>
        <v>0</v>
      </c>
      <c r="K21" s="4">
        <f>'#'!AI23</f>
        <v>6</v>
      </c>
      <c r="L21" s="4">
        <f>'#'!AJ23</f>
        <v>4</v>
      </c>
      <c r="M21" s="6">
        <f>'#'!AR23</f>
        <v>0</v>
      </c>
      <c r="N21" s="6">
        <f>'#'!AS23</f>
        <v>0</v>
      </c>
      <c r="O21" s="2">
        <f t="shared" si="2"/>
        <v>51</v>
      </c>
      <c r="P21" s="2">
        <f t="shared" si="3"/>
        <v>10</v>
      </c>
    </row>
    <row r="22" spans="1:16" x14ac:dyDescent="0.25">
      <c r="A22" s="4">
        <v>23</v>
      </c>
      <c r="B22" s="27" t="s">
        <v>359</v>
      </c>
      <c r="C22" s="4" t="s">
        <v>363</v>
      </c>
      <c r="D22" s="38" t="s">
        <v>303</v>
      </c>
      <c r="E22" s="6">
        <f>'#'!H24</f>
        <v>50</v>
      </c>
      <c r="F22" s="6">
        <f>'#'!I24</f>
        <v>11</v>
      </c>
      <c r="G22" s="4">
        <f>'#'!Q24</f>
        <v>19</v>
      </c>
      <c r="H22" s="4">
        <f>'#'!R24</f>
        <v>4</v>
      </c>
      <c r="I22" s="6">
        <f>'#'!Z24</f>
        <v>2</v>
      </c>
      <c r="J22" s="6">
        <f>'#'!AA24</f>
        <v>0</v>
      </c>
      <c r="K22" s="4">
        <f>'#'!AI24</f>
        <v>7</v>
      </c>
      <c r="L22" s="4">
        <f>'#'!AJ24</f>
        <v>0</v>
      </c>
      <c r="M22" s="6">
        <f>'#'!AR24</f>
        <v>0</v>
      </c>
      <c r="N22" s="6">
        <f>'#'!AS24</f>
        <v>0</v>
      </c>
      <c r="O22" s="2">
        <f t="shared" si="2"/>
        <v>78</v>
      </c>
      <c r="P22" s="2">
        <f t="shared" si="3"/>
        <v>15</v>
      </c>
    </row>
    <row r="23" spans="1:16" x14ac:dyDescent="0.25">
      <c r="A23" s="4">
        <v>24</v>
      </c>
      <c r="B23" s="67" t="s">
        <v>365</v>
      </c>
      <c r="C23" s="4" t="s">
        <v>364</v>
      </c>
      <c r="D23" s="180" t="s">
        <v>121</v>
      </c>
      <c r="E23" s="6">
        <f>'#'!H25</f>
        <v>50</v>
      </c>
      <c r="F23" s="6">
        <f>'#'!I25</f>
        <v>4</v>
      </c>
      <c r="G23" s="4">
        <f>'#'!Q25</f>
        <v>25</v>
      </c>
      <c r="H23" s="4">
        <f>'#'!R25</f>
        <v>1</v>
      </c>
      <c r="I23" s="6">
        <f>'#'!Z25</f>
        <v>5</v>
      </c>
      <c r="J23" s="6">
        <f>'#'!AA25</f>
        <v>1</v>
      </c>
      <c r="K23" s="4">
        <f>'#'!AI25</f>
        <v>8</v>
      </c>
      <c r="L23" s="4">
        <f>'#'!AJ25</f>
        <v>2</v>
      </c>
      <c r="M23" s="6">
        <f>'#'!AR25</f>
        <v>2</v>
      </c>
      <c r="N23" s="6">
        <f>'#'!AS25</f>
        <v>0</v>
      </c>
      <c r="O23" s="2">
        <f t="shared" si="2"/>
        <v>90</v>
      </c>
      <c r="P23" s="2">
        <f t="shared" si="3"/>
        <v>8</v>
      </c>
    </row>
    <row r="24" spans="1:16" x14ac:dyDescent="0.25">
      <c r="A24" s="4">
        <v>29</v>
      </c>
      <c r="B24" s="27" t="s">
        <v>373</v>
      </c>
      <c r="C24" s="4" t="s">
        <v>364</v>
      </c>
      <c r="D24" s="180" t="s">
        <v>284</v>
      </c>
      <c r="E24" s="6">
        <f>'#'!H26</f>
        <v>72</v>
      </c>
      <c r="F24" s="6">
        <f>'#'!I26</f>
        <v>24</v>
      </c>
      <c r="G24" s="4">
        <f>'#'!Q26</f>
        <v>24</v>
      </c>
      <c r="H24" s="4">
        <f>'#'!R26</f>
        <v>9</v>
      </c>
      <c r="I24" s="6">
        <f>'#'!Z26</f>
        <v>5</v>
      </c>
      <c r="J24" s="6">
        <f>'#'!AA26</f>
        <v>0</v>
      </c>
      <c r="K24" s="4">
        <f>'#'!AI26</f>
        <v>9</v>
      </c>
      <c r="L24" s="4">
        <f>'#'!AJ26</f>
        <v>3</v>
      </c>
      <c r="M24" s="6">
        <f>'#'!AR26</f>
        <v>2</v>
      </c>
      <c r="N24" s="6">
        <f>'#'!AS26</f>
        <v>1</v>
      </c>
      <c r="O24" s="2">
        <f t="shared" si="2"/>
        <v>112</v>
      </c>
      <c r="P24" s="2">
        <f t="shared" si="3"/>
        <v>37</v>
      </c>
    </row>
    <row r="25" spans="1:16" x14ac:dyDescent="0.25">
      <c r="A25" s="4">
        <v>30</v>
      </c>
      <c r="B25" s="27" t="s">
        <v>361</v>
      </c>
      <c r="C25" s="4" t="s">
        <v>360</v>
      </c>
      <c r="D25" s="180" t="s">
        <v>354</v>
      </c>
      <c r="E25" s="6">
        <f>'#'!H27</f>
        <v>0</v>
      </c>
      <c r="F25" s="6">
        <f>'#'!I27</f>
        <v>0</v>
      </c>
      <c r="G25" s="4">
        <f>'#'!Q27</f>
        <v>0</v>
      </c>
      <c r="H25" s="4">
        <f>'#'!R27</f>
        <v>0</v>
      </c>
      <c r="I25" s="6">
        <f>'#'!Z27</f>
        <v>0</v>
      </c>
      <c r="J25" s="6">
        <f>'#'!AA27</f>
        <v>0</v>
      </c>
      <c r="K25" s="4">
        <f>'#'!AI27</f>
        <v>0</v>
      </c>
      <c r="L25" s="4">
        <f>'#'!AJ27</f>
        <v>0</v>
      </c>
      <c r="M25" s="6">
        <f>'#'!AR27</f>
        <v>0</v>
      </c>
      <c r="N25" s="6">
        <f>'#'!AS27</f>
        <v>0</v>
      </c>
      <c r="O25" s="2">
        <f t="shared" ref="O25:O28" si="4">SUM(E25,G25,I25,K25,M25)</f>
        <v>0</v>
      </c>
      <c r="P25" s="2">
        <f t="shared" ref="P25:P28" si="5">SUM(F25,H25,J25,L25,N25)</f>
        <v>0</v>
      </c>
    </row>
    <row r="26" spans="1:16" x14ac:dyDescent="0.25">
      <c r="A26" s="4">
        <v>33</v>
      </c>
      <c r="B26" s="27" t="s">
        <v>374</v>
      </c>
      <c r="C26" s="4" t="s">
        <v>362</v>
      </c>
      <c r="D26" s="180" t="s">
        <v>301</v>
      </c>
      <c r="E26" s="6">
        <f>'#'!H28</f>
        <v>45</v>
      </c>
      <c r="F26" s="6">
        <f>'#'!I28</f>
        <v>3</v>
      </c>
      <c r="G26" s="4">
        <f>'#'!Q28</f>
        <v>14</v>
      </c>
      <c r="H26" s="4">
        <f>'#'!R28</f>
        <v>1</v>
      </c>
      <c r="I26" s="6">
        <f>'#'!Z28</f>
        <v>2</v>
      </c>
      <c r="J26" s="6">
        <f>'#'!AA28</f>
        <v>0</v>
      </c>
      <c r="K26" s="4">
        <f>'#'!AI28</f>
        <v>4</v>
      </c>
      <c r="L26" s="4">
        <f>'#'!AJ28</f>
        <v>0</v>
      </c>
      <c r="M26" s="6">
        <f>'#'!AR28</f>
        <v>1</v>
      </c>
      <c r="N26" s="6">
        <f>'#'!AS28</f>
        <v>1</v>
      </c>
      <c r="O26" s="2">
        <f t="shared" si="4"/>
        <v>66</v>
      </c>
      <c r="P26" s="2">
        <f t="shared" si="5"/>
        <v>5</v>
      </c>
    </row>
    <row r="27" spans="1:16" x14ac:dyDescent="0.25">
      <c r="A27" s="4">
        <v>35</v>
      </c>
      <c r="B27" s="67" t="s">
        <v>365</v>
      </c>
      <c r="C27" s="4" t="s">
        <v>360</v>
      </c>
      <c r="D27" s="180" t="s">
        <v>313</v>
      </c>
      <c r="E27" s="6">
        <f>'#'!H29</f>
        <v>0</v>
      </c>
      <c r="F27" s="6">
        <f>'#'!I29</f>
        <v>0</v>
      </c>
      <c r="G27" s="4">
        <f>'#'!Q29</f>
        <v>0</v>
      </c>
      <c r="H27" s="4">
        <f>'#'!R29</f>
        <v>0</v>
      </c>
      <c r="I27" s="6">
        <f>'#'!Z29</f>
        <v>1</v>
      </c>
      <c r="J27" s="6">
        <f>'#'!AA29</f>
        <v>0</v>
      </c>
      <c r="K27" s="4">
        <f>'#'!AI29</f>
        <v>1</v>
      </c>
      <c r="L27" s="4">
        <f>'#'!AJ29</f>
        <v>0</v>
      </c>
      <c r="M27" s="6">
        <f>'#'!AR29</f>
        <v>0</v>
      </c>
      <c r="N27" s="6">
        <f>'#'!AS29</f>
        <v>0</v>
      </c>
      <c r="O27" s="2">
        <f t="shared" si="4"/>
        <v>2</v>
      </c>
      <c r="P27" s="2">
        <f t="shared" si="5"/>
        <v>0</v>
      </c>
    </row>
    <row r="28" spans="1:16" x14ac:dyDescent="0.25">
      <c r="A28" s="4">
        <v>36</v>
      </c>
      <c r="B28" s="27" t="s">
        <v>359</v>
      </c>
      <c r="C28" s="4" t="s">
        <v>363</v>
      </c>
      <c r="D28" s="180" t="s">
        <v>323</v>
      </c>
      <c r="E28" s="6">
        <f>'#'!H30</f>
        <v>38</v>
      </c>
      <c r="F28" s="6">
        <f>'#'!I30</f>
        <v>5</v>
      </c>
      <c r="G28" s="4">
        <f>'#'!Q30</f>
        <v>13</v>
      </c>
      <c r="H28" s="4">
        <f>'#'!R30</f>
        <v>0</v>
      </c>
      <c r="I28" s="6">
        <f>'#'!Z30</f>
        <v>3</v>
      </c>
      <c r="J28" s="6">
        <f>'#'!AA30</f>
        <v>0</v>
      </c>
      <c r="K28" s="4">
        <f>'#'!AI30</f>
        <v>3</v>
      </c>
      <c r="L28" s="4">
        <f>'#'!AJ30</f>
        <v>1</v>
      </c>
      <c r="M28" s="6">
        <f>'#'!AR30</f>
        <v>1</v>
      </c>
      <c r="N28" s="6">
        <f>'#'!AS30</f>
        <v>0</v>
      </c>
      <c r="O28" s="2">
        <f t="shared" si="4"/>
        <v>58</v>
      </c>
      <c r="P28" s="2">
        <f t="shared" si="5"/>
        <v>6</v>
      </c>
    </row>
    <row r="29" spans="1:16" x14ac:dyDescent="0.25">
      <c r="A29" s="4">
        <v>39</v>
      </c>
      <c r="B29" s="4" t="s">
        <v>367</v>
      </c>
      <c r="C29" s="4" t="s">
        <v>363</v>
      </c>
      <c r="D29" s="180" t="s">
        <v>355</v>
      </c>
      <c r="E29" s="6">
        <f>'#'!H31</f>
        <v>0</v>
      </c>
      <c r="F29" s="6">
        <f>'#'!I31</f>
        <v>0</v>
      </c>
      <c r="G29" s="4">
        <f>'#'!Q31</f>
        <v>0</v>
      </c>
      <c r="H29" s="4">
        <f>'#'!R31</f>
        <v>0</v>
      </c>
      <c r="I29" s="6">
        <f>'#'!Z31</f>
        <v>0</v>
      </c>
      <c r="J29" s="6">
        <f>'#'!AA31</f>
        <v>0</v>
      </c>
      <c r="K29" s="4">
        <f>'#'!AI31</f>
        <v>0</v>
      </c>
      <c r="L29" s="4">
        <f>'#'!AJ31</f>
        <v>0</v>
      </c>
      <c r="M29" s="6">
        <f>'#'!AR31</f>
        <v>1</v>
      </c>
      <c r="N29" s="6">
        <f>'#'!AS31</f>
        <v>0</v>
      </c>
      <c r="O29" s="2">
        <f t="shared" ref="O29:O40" si="6">SUM(E29,G29,I29,K29,M29)</f>
        <v>1</v>
      </c>
      <c r="P29" s="2">
        <f t="shared" ref="P29:P40" si="7">SUM(F29,H29,J29,L29,N29)</f>
        <v>0</v>
      </c>
    </row>
    <row r="30" spans="1:16" x14ac:dyDescent="0.25">
      <c r="A30" s="4">
        <v>41</v>
      </c>
      <c r="B30" s="67" t="s">
        <v>365</v>
      </c>
      <c r="C30" s="4" t="s">
        <v>363</v>
      </c>
      <c r="D30" s="36" t="s">
        <v>286</v>
      </c>
      <c r="E30" s="6">
        <f>'#'!H32</f>
        <v>109</v>
      </c>
      <c r="F30" s="6">
        <f>'#'!I32</f>
        <v>15</v>
      </c>
      <c r="G30" s="4">
        <f>'#'!Q32</f>
        <v>36</v>
      </c>
      <c r="H30" s="4">
        <f>'#'!R32</f>
        <v>5</v>
      </c>
      <c r="I30" s="6">
        <f>'#'!Z32</f>
        <v>2</v>
      </c>
      <c r="J30" s="6">
        <f>'#'!AA32</f>
        <v>0</v>
      </c>
      <c r="K30" s="4">
        <f>'#'!AI32</f>
        <v>10</v>
      </c>
      <c r="L30" s="4">
        <f>'#'!AJ32</f>
        <v>1</v>
      </c>
      <c r="M30" s="6">
        <f>'#'!AR32</f>
        <v>2</v>
      </c>
      <c r="N30" s="6">
        <f>'#'!AS32</f>
        <v>0</v>
      </c>
      <c r="O30" s="2">
        <f t="shared" si="6"/>
        <v>159</v>
      </c>
      <c r="P30" s="2">
        <f t="shared" si="7"/>
        <v>21</v>
      </c>
    </row>
    <row r="31" spans="1:16" x14ac:dyDescent="0.25">
      <c r="A31" s="4">
        <v>46</v>
      </c>
      <c r="B31" s="4" t="s">
        <v>366</v>
      </c>
      <c r="C31" s="4" t="s">
        <v>364</v>
      </c>
      <c r="D31" s="35" t="s">
        <v>308</v>
      </c>
      <c r="E31" s="6">
        <f>'#'!H33</f>
        <v>0</v>
      </c>
      <c r="F31" s="6">
        <f>'#'!I33</f>
        <v>0</v>
      </c>
      <c r="G31" s="4">
        <f>'#'!Q33</f>
        <v>0</v>
      </c>
      <c r="H31" s="4">
        <f>'#'!R33</f>
        <v>0</v>
      </c>
      <c r="I31" s="6">
        <f>'#'!Z33</f>
        <v>0</v>
      </c>
      <c r="J31" s="6">
        <f>'#'!AA33</f>
        <v>0</v>
      </c>
      <c r="K31" s="4">
        <f>'#'!AI33</f>
        <v>1</v>
      </c>
      <c r="L31" s="4">
        <f>'#'!AJ33</f>
        <v>0</v>
      </c>
      <c r="M31" s="6">
        <f>'#'!AR33</f>
        <v>0</v>
      </c>
      <c r="N31" s="6">
        <f>'#'!AS33</f>
        <v>0</v>
      </c>
      <c r="O31" s="2">
        <f t="shared" si="6"/>
        <v>1</v>
      </c>
      <c r="P31" s="2">
        <f t="shared" si="7"/>
        <v>0</v>
      </c>
    </row>
    <row r="32" spans="1:16" x14ac:dyDescent="0.25">
      <c r="A32" s="67">
        <v>49</v>
      </c>
      <c r="B32" s="67" t="s">
        <v>365</v>
      </c>
      <c r="C32" s="4" t="s">
        <v>362</v>
      </c>
      <c r="D32" s="36" t="s">
        <v>307</v>
      </c>
      <c r="E32" s="6">
        <f>'#'!H34</f>
        <v>43</v>
      </c>
      <c r="F32" s="6">
        <f>'#'!I34</f>
        <v>1</v>
      </c>
      <c r="G32" s="4">
        <f>'#'!Q34</f>
        <v>20</v>
      </c>
      <c r="H32" s="4">
        <f>'#'!R34</f>
        <v>0</v>
      </c>
      <c r="I32" s="6">
        <f>'#'!Z34</f>
        <v>4</v>
      </c>
      <c r="J32" s="6">
        <f>'#'!AA34</f>
        <v>0</v>
      </c>
      <c r="K32" s="4">
        <f>'#'!AI34</f>
        <v>8</v>
      </c>
      <c r="L32" s="4">
        <f>'#'!AJ34</f>
        <v>0</v>
      </c>
      <c r="M32" s="6">
        <f>'#'!AR34</f>
        <v>1</v>
      </c>
      <c r="N32" s="6">
        <f>'#'!AS34</f>
        <v>0</v>
      </c>
      <c r="O32" s="2">
        <f t="shared" si="6"/>
        <v>76</v>
      </c>
      <c r="P32" s="2">
        <f t="shared" si="7"/>
        <v>1</v>
      </c>
    </row>
    <row r="33" spans="1:16" x14ac:dyDescent="0.25">
      <c r="A33" s="67">
        <v>52</v>
      </c>
      <c r="B33" s="67" t="s">
        <v>365</v>
      </c>
      <c r="C33" s="28" t="s">
        <v>362</v>
      </c>
      <c r="D33" s="181" t="s">
        <v>351</v>
      </c>
      <c r="E33" s="6">
        <f>'#'!H35</f>
        <v>0</v>
      </c>
      <c r="F33" s="6">
        <f>'#'!I35</f>
        <v>0</v>
      </c>
      <c r="G33" s="4">
        <f>'#'!Q35</f>
        <v>0</v>
      </c>
      <c r="H33" s="4">
        <f>'#'!R35</f>
        <v>0</v>
      </c>
      <c r="I33" s="6">
        <f>'#'!Z35</f>
        <v>1</v>
      </c>
      <c r="J33" s="6">
        <f>'#'!AA35</f>
        <v>0</v>
      </c>
      <c r="K33" s="4">
        <f>'#'!AI35</f>
        <v>0</v>
      </c>
      <c r="L33" s="4">
        <f>'#'!AJ35</f>
        <v>0</v>
      </c>
      <c r="M33" s="6">
        <f>'#'!AR35</f>
        <v>0</v>
      </c>
      <c r="N33" s="6">
        <f>'#'!AS35</f>
        <v>0</v>
      </c>
      <c r="O33" s="2">
        <f t="shared" si="6"/>
        <v>1</v>
      </c>
      <c r="P33" s="2">
        <f t="shared" si="7"/>
        <v>0</v>
      </c>
    </row>
    <row r="34" spans="1:16" x14ac:dyDescent="0.25">
      <c r="A34" s="67">
        <v>53</v>
      </c>
      <c r="B34" s="67" t="s">
        <v>365</v>
      </c>
      <c r="C34" s="28" t="s">
        <v>364</v>
      </c>
      <c r="D34" s="180" t="s">
        <v>302</v>
      </c>
      <c r="E34" s="6">
        <f>'#'!H36</f>
        <v>0</v>
      </c>
      <c r="F34" s="6">
        <f>'#'!I36</f>
        <v>0</v>
      </c>
      <c r="G34" s="4">
        <f>'#'!Q36</f>
        <v>0</v>
      </c>
      <c r="H34" s="4">
        <f>'#'!R36</f>
        <v>0</v>
      </c>
      <c r="I34" s="6">
        <f>'#'!Z36</f>
        <v>0</v>
      </c>
      <c r="J34" s="6">
        <f>'#'!AA36</f>
        <v>0</v>
      </c>
      <c r="K34" s="4">
        <f>'#'!AI36</f>
        <v>1</v>
      </c>
      <c r="L34" s="4">
        <f>'#'!AJ36</f>
        <v>0</v>
      </c>
      <c r="M34" s="6">
        <f>'#'!AR36</f>
        <v>0</v>
      </c>
      <c r="N34" s="6">
        <f>'#'!AS36</f>
        <v>0</v>
      </c>
      <c r="O34" s="2">
        <f t="shared" si="6"/>
        <v>1</v>
      </c>
      <c r="P34" s="2">
        <f t="shared" si="7"/>
        <v>0</v>
      </c>
    </row>
    <row r="35" spans="1:16" x14ac:dyDescent="0.25">
      <c r="A35" s="67">
        <v>56</v>
      </c>
      <c r="B35" s="67" t="s">
        <v>365</v>
      </c>
      <c r="C35" s="28" t="s">
        <v>364</v>
      </c>
      <c r="D35" s="181" t="s">
        <v>332</v>
      </c>
      <c r="E35" s="6">
        <f>'#'!H37</f>
        <v>6</v>
      </c>
      <c r="F35" s="6">
        <f>'#'!I37</f>
        <v>1</v>
      </c>
      <c r="G35" s="4">
        <f>'#'!Q37</f>
        <v>3</v>
      </c>
      <c r="H35" s="4">
        <f>'#'!R37</f>
        <v>0</v>
      </c>
      <c r="I35" s="6">
        <f>'#'!Z37</f>
        <v>2</v>
      </c>
      <c r="J35" s="6">
        <f>'#'!AA37</f>
        <v>0</v>
      </c>
      <c r="K35" s="4">
        <f>'#'!AI37</f>
        <v>2</v>
      </c>
      <c r="L35" s="4">
        <f>'#'!AJ37</f>
        <v>0</v>
      </c>
      <c r="M35" s="6">
        <f>'#'!AR37</f>
        <v>0</v>
      </c>
      <c r="N35" s="6">
        <f>'#'!AS37</f>
        <v>0</v>
      </c>
      <c r="O35" s="2">
        <f t="shared" si="6"/>
        <v>13</v>
      </c>
      <c r="P35" s="2">
        <f t="shared" si="7"/>
        <v>1</v>
      </c>
    </row>
    <row r="36" spans="1:16" x14ac:dyDescent="0.25">
      <c r="A36" s="67">
        <v>71</v>
      </c>
      <c r="B36" s="67" t="s">
        <v>365</v>
      </c>
      <c r="C36" s="28" t="s">
        <v>364</v>
      </c>
      <c r="D36" s="180" t="s">
        <v>337</v>
      </c>
      <c r="E36" s="6">
        <f>'#'!H38</f>
        <v>0</v>
      </c>
      <c r="F36" s="6">
        <f>'#'!I38</f>
        <v>0</v>
      </c>
      <c r="G36" s="4">
        <f>'#'!Q38</f>
        <v>1</v>
      </c>
      <c r="H36" s="4">
        <f>'#'!R38</f>
        <v>0</v>
      </c>
      <c r="I36" s="6">
        <f>'#'!Z38</f>
        <v>0</v>
      </c>
      <c r="J36" s="6">
        <f>'#'!AA38</f>
        <v>0</v>
      </c>
      <c r="K36" s="4">
        <f>'#'!AI38</f>
        <v>1</v>
      </c>
      <c r="L36" s="4">
        <f>'#'!AJ38</f>
        <v>0</v>
      </c>
      <c r="M36" s="6">
        <f>'#'!AR38</f>
        <v>0</v>
      </c>
      <c r="N36" s="6">
        <f>'#'!AS38</f>
        <v>0</v>
      </c>
      <c r="O36" s="2">
        <f t="shared" si="6"/>
        <v>2</v>
      </c>
      <c r="P36" s="2">
        <f t="shared" si="7"/>
        <v>0</v>
      </c>
    </row>
    <row r="37" spans="1:16" x14ac:dyDescent="0.25">
      <c r="A37" s="28">
        <v>72</v>
      </c>
      <c r="B37" s="67" t="s">
        <v>365</v>
      </c>
      <c r="C37" s="28" t="s">
        <v>363</v>
      </c>
      <c r="D37" s="180" t="s">
        <v>348</v>
      </c>
      <c r="E37" s="6">
        <f>'#'!H39</f>
        <v>0</v>
      </c>
      <c r="F37" s="6">
        <f>'#'!I39</f>
        <v>0</v>
      </c>
      <c r="G37" s="4">
        <f>'#'!Q39</f>
        <v>1</v>
      </c>
      <c r="H37" s="4">
        <f>'#'!R39</f>
        <v>0</v>
      </c>
      <c r="I37" s="6">
        <f>'#'!Z39</f>
        <v>0</v>
      </c>
      <c r="J37" s="6">
        <f>'#'!AA39</f>
        <v>0</v>
      </c>
      <c r="K37" s="4">
        <f>'#'!AI39</f>
        <v>0</v>
      </c>
      <c r="L37" s="4">
        <f>'#'!AJ39</f>
        <v>0</v>
      </c>
      <c r="M37" s="6">
        <f>'#'!AR39</f>
        <v>0</v>
      </c>
      <c r="N37" s="6">
        <f>'#'!AS39</f>
        <v>0</v>
      </c>
      <c r="O37" s="2">
        <f t="shared" si="6"/>
        <v>1</v>
      </c>
      <c r="P37" s="2">
        <f t="shared" si="7"/>
        <v>0</v>
      </c>
    </row>
    <row r="38" spans="1:16" x14ac:dyDescent="0.25">
      <c r="A38" s="28">
        <v>81</v>
      </c>
      <c r="B38" s="67" t="s">
        <v>365</v>
      </c>
      <c r="C38" s="28" t="s">
        <v>364</v>
      </c>
      <c r="D38" s="180" t="s">
        <v>349</v>
      </c>
      <c r="E38" s="6">
        <f>'#'!H40</f>
        <v>0</v>
      </c>
      <c r="F38" s="6">
        <f>'#'!I40</f>
        <v>0</v>
      </c>
      <c r="G38" s="4">
        <f>'#'!Q40</f>
        <v>1</v>
      </c>
      <c r="H38" s="4">
        <f>'#'!R40</f>
        <v>0</v>
      </c>
      <c r="I38" s="6">
        <f>'#'!Z40</f>
        <v>0</v>
      </c>
      <c r="J38" s="6">
        <f>'#'!AA40</f>
        <v>0</v>
      </c>
      <c r="K38" s="4">
        <f>'#'!AI40</f>
        <v>0</v>
      </c>
      <c r="L38" s="4">
        <f>'#'!AJ40</f>
        <v>0</v>
      </c>
      <c r="M38" s="6">
        <f>'#'!AR40</f>
        <v>0</v>
      </c>
      <c r="N38" s="6">
        <f>'#'!AS40</f>
        <v>0</v>
      </c>
      <c r="O38" s="2">
        <f t="shared" si="6"/>
        <v>1</v>
      </c>
      <c r="P38" s="2">
        <f t="shared" si="7"/>
        <v>0</v>
      </c>
    </row>
    <row r="39" spans="1:16" x14ac:dyDescent="0.25">
      <c r="A39" s="28">
        <v>89</v>
      </c>
      <c r="B39" s="67" t="s">
        <v>365</v>
      </c>
      <c r="C39" s="28" t="s">
        <v>362</v>
      </c>
      <c r="D39" s="180" t="s">
        <v>343</v>
      </c>
      <c r="E39" s="6">
        <f>'#'!H41</f>
        <v>0</v>
      </c>
      <c r="F39" s="6">
        <f>'#'!I41</f>
        <v>0</v>
      </c>
      <c r="G39" s="4">
        <f>'#'!Q41</f>
        <v>1</v>
      </c>
      <c r="H39" s="4">
        <f>'#'!R41</f>
        <v>0</v>
      </c>
      <c r="I39" s="6">
        <f>'#'!Z41</f>
        <v>3</v>
      </c>
      <c r="J39" s="6">
        <f>'#'!AA41</f>
        <v>0</v>
      </c>
      <c r="K39" s="4">
        <f>'#'!AI41</f>
        <v>0</v>
      </c>
      <c r="L39" s="4">
        <f>'#'!AJ41</f>
        <v>0</v>
      </c>
      <c r="M39" s="6">
        <f>'#'!AR41</f>
        <v>0</v>
      </c>
      <c r="N39" s="6">
        <f>'#'!AS41</f>
        <v>0</v>
      </c>
      <c r="O39" s="2">
        <f t="shared" si="6"/>
        <v>4</v>
      </c>
      <c r="P39" s="2">
        <f t="shared" si="7"/>
        <v>0</v>
      </c>
    </row>
    <row r="40" spans="1:16" x14ac:dyDescent="0.25">
      <c r="A40" s="67">
        <v>92</v>
      </c>
      <c r="B40" s="67" t="s">
        <v>365</v>
      </c>
      <c r="C40" s="67" t="s">
        <v>360</v>
      </c>
      <c r="D40" s="38" t="s">
        <v>311</v>
      </c>
      <c r="E40" s="6">
        <f>'#'!H42</f>
        <v>0</v>
      </c>
      <c r="F40" s="6">
        <f>'#'!I42</f>
        <v>0</v>
      </c>
      <c r="G40" s="4">
        <f>'#'!Q42</f>
        <v>0</v>
      </c>
      <c r="H40" s="4">
        <f>'#'!R42</f>
        <v>0</v>
      </c>
      <c r="I40" s="6">
        <f>'#'!Z42</f>
        <v>0</v>
      </c>
      <c r="J40" s="6">
        <f>'#'!AA42</f>
        <v>0</v>
      </c>
      <c r="K40" s="4">
        <f>'#'!AI42</f>
        <v>1</v>
      </c>
      <c r="L40" s="4">
        <f>'#'!AJ42</f>
        <v>0</v>
      </c>
      <c r="M40" s="6">
        <f>'#'!AR42</f>
        <v>0</v>
      </c>
      <c r="N40" s="6">
        <f>'#'!AS42</f>
        <v>0</v>
      </c>
      <c r="O40" s="2">
        <f t="shared" si="6"/>
        <v>1</v>
      </c>
      <c r="P40" s="2">
        <f t="shared" si="7"/>
        <v>0</v>
      </c>
    </row>
    <row r="42" spans="1:16" x14ac:dyDescent="0.25">
      <c r="F42" t="s">
        <v>318</v>
      </c>
    </row>
  </sheetData>
  <autoFilter ref="A3:P3" xr:uid="{00000000-0001-0000-0000-000000000000}"/>
  <mergeCells count="7">
    <mergeCell ref="O2:P2"/>
    <mergeCell ref="M2:N2"/>
    <mergeCell ref="F1:G1"/>
    <mergeCell ref="E2:F2"/>
    <mergeCell ref="I2:J2"/>
    <mergeCell ref="K2:L2"/>
    <mergeCell ref="G2:H2"/>
  </mergeCells>
  <conditionalFormatting sqref="O4:O40">
    <cfRule type="cellIs" dxfId="37" priority="20" operator="greaterThan">
      <formula>396</formula>
    </cfRule>
  </conditionalFormatting>
  <conditionalFormatting sqref="P4:P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O4:O40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I46" sqref="I4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84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6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5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5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2"/>
    </row>
    <row r="7" spans="1:20" x14ac:dyDescent="0.25">
      <c r="A7" s="27">
        <v>4</v>
      </c>
      <c r="B7" s="35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3"/>
    </row>
    <row r="8" spans="1:20" x14ac:dyDescent="0.25">
      <c r="A8" s="27">
        <v>5</v>
      </c>
      <c r="B8" s="35" t="s">
        <v>85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4"/>
    </row>
    <row r="9" spans="1:20" x14ac:dyDescent="0.25">
      <c r="A9" s="27">
        <v>6</v>
      </c>
      <c r="B9" s="35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5"/>
    </row>
    <row r="10" spans="1:20" x14ac:dyDescent="0.25">
      <c r="A10" s="27">
        <v>7</v>
      </c>
      <c r="B10" s="36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40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40" t="s">
        <v>112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40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40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6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7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6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40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40" t="s">
        <v>109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8" t="s">
        <v>101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5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40" t="s">
        <v>25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40" t="s">
        <v>113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5" t="s">
        <v>27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6" t="s">
        <v>28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6" t="s">
        <v>29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8" t="s">
        <v>37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5" t="s">
        <v>42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7" t="s">
        <v>31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6" t="s">
        <v>33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6" t="s">
        <v>110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6" t="s">
        <v>111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9" t="s">
        <v>36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7" t="s">
        <v>96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40" t="s">
        <v>34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40" t="s">
        <v>106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1" t="s">
        <v>100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1" t="s">
        <v>86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1" t="s">
        <v>35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8" t="s">
        <v>102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8" t="s">
        <v>44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8" t="s">
        <v>115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8" t="s">
        <v>43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topLeftCell="A5" zoomScaleNormal="100" zoomScalePageLayoutView="110" workbookViewId="0">
      <selection activeCell="O38" sqref="O3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5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66"/>
    </row>
    <row r="5" spans="1:20" x14ac:dyDescent="0.25">
      <c r="A5" s="27">
        <v>6</v>
      </c>
      <c r="B5" s="35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66"/>
      <c r="T5" s="45"/>
    </row>
    <row r="6" spans="1:20" x14ac:dyDescent="0.25">
      <c r="A6" s="27">
        <v>7</v>
      </c>
      <c r="B6" s="36" t="s">
        <v>136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66"/>
    </row>
    <row r="7" spans="1:20" x14ac:dyDescent="0.25">
      <c r="A7" s="27">
        <v>8</v>
      </c>
      <c r="B7" s="40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66"/>
    </row>
    <row r="8" spans="1:20" x14ac:dyDescent="0.25">
      <c r="A8" s="27">
        <v>9</v>
      </c>
      <c r="B8" s="40" t="s">
        <v>118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66"/>
    </row>
    <row r="9" spans="1:20" x14ac:dyDescent="0.25">
      <c r="A9" s="27">
        <v>10</v>
      </c>
      <c r="B9" s="40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66"/>
    </row>
    <row r="10" spans="1:20" x14ac:dyDescent="0.25">
      <c r="A10" s="27">
        <v>11</v>
      </c>
      <c r="B10" s="40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66"/>
    </row>
    <row r="11" spans="1:20" x14ac:dyDescent="0.25">
      <c r="A11" s="27">
        <v>13</v>
      </c>
      <c r="B11" s="37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66"/>
    </row>
    <row r="12" spans="1:20" x14ac:dyDescent="0.25">
      <c r="A12" s="27">
        <v>14</v>
      </c>
      <c r="B12" s="37" t="s">
        <v>138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66"/>
    </row>
    <row r="13" spans="1:20" x14ac:dyDescent="0.25">
      <c r="A13" s="27">
        <v>16</v>
      </c>
      <c r="B13" s="40" t="s">
        <v>109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66"/>
    </row>
    <row r="14" spans="1:20" x14ac:dyDescent="0.25">
      <c r="A14" s="28">
        <v>17</v>
      </c>
      <c r="B14" s="38" t="s">
        <v>101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66"/>
    </row>
    <row r="15" spans="1:20" x14ac:dyDescent="0.25">
      <c r="A15" s="27">
        <v>18</v>
      </c>
      <c r="B15" s="35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66"/>
    </row>
    <row r="16" spans="1:20" x14ac:dyDescent="0.25">
      <c r="A16" s="27">
        <v>19</v>
      </c>
      <c r="B16" s="40" t="s">
        <v>25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66"/>
    </row>
    <row r="17" spans="1:17" x14ac:dyDescent="0.25">
      <c r="A17" s="27">
        <v>20</v>
      </c>
      <c r="B17" s="40" t="s">
        <v>113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66"/>
    </row>
    <row r="18" spans="1:17" x14ac:dyDescent="0.25">
      <c r="A18" s="27">
        <v>21</v>
      </c>
      <c r="B18" s="35" t="s">
        <v>27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66"/>
    </row>
    <row r="19" spans="1:17" x14ac:dyDescent="0.25">
      <c r="A19" s="27">
        <v>22</v>
      </c>
      <c r="B19" s="36" t="s">
        <v>111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66"/>
    </row>
    <row r="20" spans="1:17" x14ac:dyDescent="0.25">
      <c r="A20" s="27">
        <v>23</v>
      </c>
      <c r="B20" s="36" t="s">
        <v>29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66"/>
    </row>
    <row r="21" spans="1:17" x14ac:dyDescent="0.25">
      <c r="A21" s="28">
        <v>24</v>
      </c>
      <c r="B21" s="38" t="s">
        <v>37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66"/>
    </row>
    <row r="22" spans="1:17" x14ac:dyDescent="0.25">
      <c r="A22" s="27">
        <v>25</v>
      </c>
      <c r="B22" s="35" t="s">
        <v>42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66"/>
    </row>
    <row r="23" spans="1:17" x14ac:dyDescent="0.25">
      <c r="A23" s="27">
        <v>26</v>
      </c>
      <c r="B23" s="37" t="s">
        <v>31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27</v>
      </c>
      <c r="B24" s="37" t="s">
        <v>174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66"/>
    </row>
    <row r="25" spans="1:17" x14ac:dyDescent="0.25">
      <c r="A25" s="28" t="s">
        <v>173</v>
      </c>
      <c r="B25" s="38" t="s">
        <v>33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66"/>
    </row>
    <row r="26" spans="1:17" x14ac:dyDescent="0.25">
      <c r="A26" s="27">
        <v>28</v>
      </c>
      <c r="B26" s="36" t="s">
        <v>112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66"/>
    </row>
    <row r="27" spans="1:17" x14ac:dyDescent="0.25">
      <c r="A27" s="27">
        <v>29</v>
      </c>
      <c r="B27" s="36" t="s">
        <v>110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66"/>
    </row>
    <row r="28" spans="1:17" x14ac:dyDescent="0.25">
      <c r="A28" s="28">
        <v>30</v>
      </c>
      <c r="B28" s="38" t="s">
        <v>44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66"/>
    </row>
    <row r="29" spans="1:17" x14ac:dyDescent="0.25">
      <c r="A29" s="27">
        <v>31</v>
      </c>
      <c r="B29" s="36" t="s">
        <v>120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66"/>
    </row>
    <row r="30" spans="1:17" x14ac:dyDescent="0.25">
      <c r="A30" s="28">
        <v>32</v>
      </c>
      <c r="B30" s="39" t="s">
        <v>36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66"/>
    </row>
    <row r="31" spans="1:17" x14ac:dyDescent="0.25">
      <c r="A31" s="27">
        <v>33</v>
      </c>
      <c r="B31" s="37" t="s">
        <v>96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66"/>
    </row>
    <row r="32" spans="1:17" x14ac:dyDescent="0.25">
      <c r="A32" s="27">
        <v>35</v>
      </c>
      <c r="B32" s="40" t="s">
        <v>106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66"/>
    </row>
    <row r="33" spans="1:17" x14ac:dyDescent="0.25">
      <c r="A33" s="28">
        <v>37</v>
      </c>
      <c r="B33" s="41" t="s">
        <v>86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40</v>
      </c>
      <c r="B34" s="41" t="s">
        <v>35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43</v>
      </c>
      <c r="B35" s="41" t="s">
        <v>124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54</v>
      </c>
      <c r="B36" s="41" t="s">
        <v>130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66"/>
    </row>
    <row r="37" spans="1:17" x14ac:dyDescent="0.25">
      <c r="A37" s="28">
        <v>58</v>
      </c>
      <c r="B37" s="41" t="s">
        <v>128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66"/>
    </row>
    <row r="38" spans="1:17" x14ac:dyDescent="0.25">
      <c r="A38" s="28">
        <v>61</v>
      </c>
      <c r="B38" s="38" t="s">
        <v>121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66"/>
    </row>
    <row r="39" spans="1:17" x14ac:dyDescent="0.25">
      <c r="A39" s="28">
        <v>62</v>
      </c>
      <c r="B39" s="38" t="s">
        <v>129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66"/>
    </row>
    <row r="40" spans="1:17" x14ac:dyDescent="0.25">
      <c r="A40" s="28">
        <v>65</v>
      </c>
      <c r="B40" s="38" t="s">
        <v>127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66"/>
    </row>
    <row r="41" spans="1:17" x14ac:dyDescent="0.25">
      <c r="A41" s="28">
        <v>69</v>
      </c>
      <c r="B41" s="38" t="s">
        <v>123</v>
      </c>
      <c r="C41" s="67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66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A6" sqref="A6:XFD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20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7" t="s">
        <v>96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66"/>
      <c r="T4" s="45"/>
    </row>
    <row r="5" spans="1:20" x14ac:dyDescent="0.25">
      <c r="A5" s="28">
        <v>2</v>
      </c>
      <c r="B5" s="38" t="s">
        <v>37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66"/>
    </row>
    <row r="6" spans="1:20" x14ac:dyDescent="0.25">
      <c r="A6" s="27">
        <v>4</v>
      </c>
      <c r="B6" s="40" t="s">
        <v>106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66"/>
    </row>
    <row r="7" spans="1:20" x14ac:dyDescent="0.25">
      <c r="A7" s="27">
        <v>5</v>
      </c>
      <c r="B7" s="40" t="s">
        <v>180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66"/>
    </row>
    <row r="8" spans="1:20" x14ac:dyDescent="0.25">
      <c r="A8" s="27">
        <v>6</v>
      </c>
      <c r="B8" s="35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66"/>
    </row>
    <row r="9" spans="1:20" x14ac:dyDescent="0.25">
      <c r="A9" s="27">
        <v>7</v>
      </c>
      <c r="B9" s="36" t="s">
        <v>136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66"/>
    </row>
    <row r="10" spans="1:20" x14ac:dyDescent="0.25">
      <c r="A10" s="27">
        <v>8</v>
      </c>
      <c r="B10" s="40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66"/>
    </row>
    <row r="11" spans="1:20" x14ac:dyDescent="0.25">
      <c r="A11" s="27">
        <v>9</v>
      </c>
      <c r="B11" s="40" t="s">
        <v>118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66"/>
    </row>
    <row r="12" spans="1:20" x14ac:dyDescent="0.25">
      <c r="A12" s="27">
        <v>10</v>
      </c>
      <c r="B12" s="40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66"/>
    </row>
    <row r="13" spans="1:20" x14ac:dyDescent="0.25">
      <c r="A13" s="27">
        <v>11</v>
      </c>
      <c r="B13" s="40" t="s">
        <v>176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66"/>
    </row>
    <row r="14" spans="1:20" x14ac:dyDescent="0.25">
      <c r="A14" s="27">
        <v>12</v>
      </c>
      <c r="B14" s="40" t="s">
        <v>177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66"/>
    </row>
    <row r="15" spans="1:20" x14ac:dyDescent="0.25">
      <c r="A15" s="27">
        <v>13</v>
      </c>
      <c r="B15" s="37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66"/>
    </row>
    <row r="16" spans="1:20" x14ac:dyDescent="0.25">
      <c r="A16" s="27">
        <v>14</v>
      </c>
      <c r="B16" s="37" t="s">
        <v>137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66"/>
    </row>
    <row r="17" spans="1:17" x14ac:dyDescent="0.25">
      <c r="A17" s="27">
        <v>15</v>
      </c>
      <c r="B17" s="38" t="s">
        <v>44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66"/>
    </row>
    <row r="18" spans="1:17" x14ac:dyDescent="0.25">
      <c r="A18" s="27">
        <v>16</v>
      </c>
      <c r="B18" s="40" t="s">
        <v>109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66"/>
    </row>
    <row r="19" spans="1:17" x14ac:dyDescent="0.25">
      <c r="A19" s="28">
        <v>17</v>
      </c>
      <c r="B19" s="38" t="s">
        <v>101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66"/>
    </row>
    <row r="20" spans="1:17" x14ac:dyDescent="0.25">
      <c r="A20" s="27">
        <v>18</v>
      </c>
      <c r="B20" s="35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66"/>
    </row>
    <row r="21" spans="1:17" x14ac:dyDescent="0.25">
      <c r="A21" s="27">
        <v>19</v>
      </c>
      <c r="B21" s="35" t="s">
        <v>178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66"/>
    </row>
    <row r="22" spans="1:17" x14ac:dyDescent="0.25">
      <c r="A22" s="27">
        <v>20</v>
      </c>
      <c r="B22" s="40" t="s">
        <v>113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66"/>
    </row>
    <row r="23" spans="1:17" x14ac:dyDescent="0.25">
      <c r="A23" s="27">
        <v>21</v>
      </c>
      <c r="B23" s="35" t="s">
        <v>27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66"/>
    </row>
    <row r="24" spans="1:17" x14ac:dyDescent="0.25">
      <c r="A24" s="27">
        <v>22</v>
      </c>
      <c r="B24" s="35" t="s">
        <v>192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66"/>
    </row>
    <row r="25" spans="1:17" x14ac:dyDescent="0.25">
      <c r="A25" s="27">
        <v>23</v>
      </c>
      <c r="B25" s="36" t="s">
        <v>29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66"/>
    </row>
    <row r="26" spans="1:17" x14ac:dyDescent="0.25">
      <c r="A26" s="27">
        <v>25</v>
      </c>
      <c r="B26" s="35" t="s">
        <v>42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66"/>
    </row>
    <row r="27" spans="1:17" x14ac:dyDescent="0.25">
      <c r="A27" s="27">
        <v>26</v>
      </c>
      <c r="B27" s="37" t="s">
        <v>31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66"/>
    </row>
    <row r="28" spans="1:17" x14ac:dyDescent="0.25">
      <c r="A28" s="27">
        <v>27</v>
      </c>
      <c r="B28" s="37" t="s">
        <v>174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66"/>
    </row>
    <row r="29" spans="1:17" x14ac:dyDescent="0.25">
      <c r="A29" s="27">
        <v>29</v>
      </c>
      <c r="B29" s="36" t="s">
        <v>179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66"/>
    </row>
    <row r="30" spans="1:17" x14ac:dyDescent="0.25">
      <c r="A30" s="27">
        <v>31</v>
      </c>
      <c r="B30" s="36" t="s">
        <v>120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66"/>
    </row>
    <row r="31" spans="1:17" x14ac:dyDescent="0.25">
      <c r="A31" s="27">
        <v>34</v>
      </c>
      <c r="B31" s="36" t="s">
        <v>110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66"/>
    </row>
    <row r="32" spans="1:17" x14ac:dyDescent="0.25">
      <c r="A32" s="28">
        <v>37</v>
      </c>
      <c r="B32" s="41" t="s">
        <v>86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66"/>
    </row>
    <row r="33" spans="1:17" x14ac:dyDescent="0.25">
      <c r="A33" s="28">
        <v>40</v>
      </c>
      <c r="B33" s="41" t="s">
        <v>35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66"/>
    </row>
    <row r="34" spans="1:17" x14ac:dyDescent="0.25">
      <c r="A34" s="28">
        <v>43</v>
      </c>
      <c r="B34" s="41" t="s">
        <v>187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66"/>
    </row>
    <row r="35" spans="1:17" x14ac:dyDescent="0.25">
      <c r="A35" s="28">
        <v>47</v>
      </c>
      <c r="B35" s="41" t="s">
        <v>186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66"/>
    </row>
    <row r="36" spans="1:17" x14ac:dyDescent="0.25">
      <c r="A36" s="28">
        <v>49</v>
      </c>
      <c r="B36" s="41" t="s">
        <v>129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1" t="s">
        <v>185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66"/>
    </row>
    <row r="38" spans="1:17" x14ac:dyDescent="0.25">
      <c r="A38" s="28">
        <v>54</v>
      </c>
      <c r="B38" s="41" t="s">
        <v>130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66"/>
    </row>
    <row r="39" spans="1:17" x14ac:dyDescent="0.25">
      <c r="A39" s="28">
        <v>55</v>
      </c>
      <c r="B39" s="41" t="s">
        <v>182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66"/>
    </row>
    <row r="40" spans="1:17" x14ac:dyDescent="0.25">
      <c r="A40" s="28">
        <v>59</v>
      </c>
      <c r="B40" s="41" t="s">
        <v>123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1" t="s">
        <v>121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1" t="s">
        <v>127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1" t="s">
        <v>188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zoomScaleNormal="100" zoomScalePageLayoutView="110" workbookViewId="0">
      <selection activeCell="H32" sqref="H32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3" t="s">
        <v>4</v>
      </c>
      <c r="E2" s="203"/>
      <c r="F2" s="205" t="s">
        <v>119</v>
      </c>
      <c r="G2" s="205"/>
      <c r="H2" s="203" t="s">
        <v>114</v>
      </c>
      <c r="I2" s="203"/>
      <c r="J2" s="205" t="s">
        <v>116</v>
      </c>
      <c r="K2" s="205"/>
      <c r="L2" s="203" t="s">
        <v>40</v>
      </c>
      <c r="M2" s="203"/>
      <c r="N2" s="202" t="s">
        <v>7</v>
      </c>
      <c r="O2" s="202"/>
    </row>
    <row r="3" spans="1:17" x14ac:dyDescent="0.25">
      <c r="A3" s="3" t="s">
        <v>49</v>
      </c>
      <c r="B3" s="5" t="s">
        <v>1</v>
      </c>
      <c r="C3" s="3" t="s">
        <v>39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5" t="s">
        <v>178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66"/>
    </row>
    <row r="5" spans="1:17" x14ac:dyDescent="0.25">
      <c r="A5" s="28">
        <v>2</v>
      </c>
      <c r="B5" s="38" t="s">
        <v>37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66"/>
    </row>
    <row r="6" spans="1:17" x14ac:dyDescent="0.25">
      <c r="A6" s="28">
        <v>3</v>
      </c>
      <c r="B6" s="38" t="s">
        <v>199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66"/>
    </row>
    <row r="7" spans="1:17" x14ac:dyDescent="0.25">
      <c r="A7" s="27">
        <v>4</v>
      </c>
      <c r="B7" s="40" t="s">
        <v>106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66"/>
    </row>
    <row r="8" spans="1:17" x14ac:dyDescent="0.25">
      <c r="A8" s="27">
        <v>5</v>
      </c>
      <c r="B8" s="40" t="s">
        <v>180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66"/>
    </row>
    <row r="9" spans="1:17" x14ac:dyDescent="0.25">
      <c r="A9" s="27">
        <v>7</v>
      </c>
      <c r="B9" s="36" t="s">
        <v>136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66"/>
    </row>
    <row r="10" spans="1:17" x14ac:dyDescent="0.25">
      <c r="A10" s="27">
        <v>8</v>
      </c>
      <c r="B10" s="36" t="s">
        <v>195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66"/>
    </row>
    <row r="11" spans="1:17" x14ac:dyDescent="0.25">
      <c r="A11" s="27">
        <v>9</v>
      </c>
      <c r="B11" s="40" t="s">
        <v>118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66"/>
    </row>
    <row r="12" spans="1:17" x14ac:dyDescent="0.25">
      <c r="A12" s="27">
        <v>10</v>
      </c>
      <c r="B12" s="40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66"/>
    </row>
    <row r="13" spans="1:17" x14ac:dyDescent="0.25">
      <c r="A13" s="27">
        <v>11</v>
      </c>
      <c r="B13" s="40" t="s">
        <v>176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66"/>
    </row>
    <row r="14" spans="1:17" x14ac:dyDescent="0.25">
      <c r="A14" s="27">
        <v>14</v>
      </c>
      <c r="B14" s="37" t="s">
        <v>137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66"/>
    </row>
    <row r="15" spans="1:17" x14ac:dyDescent="0.25">
      <c r="A15" s="27">
        <v>15</v>
      </c>
      <c r="B15" s="37" t="s">
        <v>44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66"/>
    </row>
    <row r="16" spans="1:17" x14ac:dyDescent="0.25">
      <c r="A16" s="27">
        <v>16</v>
      </c>
      <c r="B16" s="40" t="s">
        <v>109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66"/>
    </row>
    <row r="17" spans="1:17" x14ac:dyDescent="0.25">
      <c r="A17" s="27">
        <v>17</v>
      </c>
      <c r="B17" s="40" t="s">
        <v>200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66"/>
    </row>
    <row r="18" spans="1:17" x14ac:dyDescent="0.25">
      <c r="A18" s="27">
        <v>19</v>
      </c>
      <c r="B18" s="35" t="s">
        <v>197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66"/>
    </row>
    <row r="19" spans="1:17" x14ac:dyDescent="0.25">
      <c r="A19" s="27">
        <v>20</v>
      </c>
      <c r="B19" s="40" t="s">
        <v>113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66"/>
    </row>
    <row r="20" spans="1:17" x14ac:dyDescent="0.25">
      <c r="A20" s="27">
        <v>21</v>
      </c>
      <c r="B20" s="35" t="s">
        <v>27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66"/>
    </row>
    <row r="21" spans="1:17" x14ac:dyDescent="0.25">
      <c r="A21" s="27">
        <v>22</v>
      </c>
      <c r="B21" s="35" t="s">
        <v>201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66"/>
    </row>
    <row r="22" spans="1:17" x14ac:dyDescent="0.25">
      <c r="A22" s="27">
        <v>23</v>
      </c>
      <c r="B22" s="35" t="s">
        <v>198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66"/>
    </row>
    <row r="23" spans="1:17" x14ac:dyDescent="0.25">
      <c r="A23" s="28">
        <v>24</v>
      </c>
      <c r="B23" s="41" t="s">
        <v>121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7" t="s">
        <v>31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66"/>
    </row>
    <row r="25" spans="1:17" x14ac:dyDescent="0.25">
      <c r="A25" s="27">
        <v>27</v>
      </c>
      <c r="B25" s="37" t="s">
        <v>174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66"/>
    </row>
    <row r="26" spans="1:17" x14ac:dyDescent="0.25">
      <c r="A26" s="28">
        <v>28</v>
      </c>
      <c r="B26" s="41" t="s">
        <v>123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6" t="s">
        <v>179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66"/>
    </row>
    <row r="28" spans="1:17" x14ac:dyDescent="0.25">
      <c r="A28" s="28">
        <v>30</v>
      </c>
      <c r="B28" s="41" t="s">
        <v>129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6" t="s">
        <v>120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66"/>
    </row>
    <row r="30" spans="1:17" x14ac:dyDescent="0.25">
      <c r="A30" s="28">
        <v>32</v>
      </c>
      <c r="B30" s="41" t="s">
        <v>182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66"/>
    </row>
    <row r="31" spans="1:17" x14ac:dyDescent="0.25">
      <c r="A31" s="28">
        <v>33</v>
      </c>
      <c r="B31" s="41" t="s">
        <v>130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66"/>
    </row>
    <row r="32" spans="1:17" x14ac:dyDescent="0.25">
      <c r="A32" s="27">
        <v>34</v>
      </c>
      <c r="B32" s="36" t="s">
        <v>110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66"/>
    </row>
    <row r="33" spans="1:17" x14ac:dyDescent="0.25">
      <c r="A33" s="27">
        <v>35</v>
      </c>
      <c r="B33" s="36" t="s">
        <v>196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66"/>
    </row>
    <row r="34" spans="1:17" x14ac:dyDescent="0.25">
      <c r="A34" s="28">
        <v>47</v>
      </c>
      <c r="B34" s="41" t="s">
        <v>186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66"/>
    </row>
    <row r="35" spans="1:17" x14ac:dyDescent="0.25">
      <c r="A35" s="28">
        <v>65</v>
      </c>
      <c r="B35" s="41" t="s">
        <v>127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1" t="s">
        <v>188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A26" sqref="A26:XFD26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66"/>
    </row>
    <row r="6" spans="1:16" x14ac:dyDescent="0.25">
      <c r="A6" s="28">
        <v>3</v>
      </c>
      <c r="B6" s="38" t="s">
        <v>199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66"/>
    </row>
    <row r="7" spans="1:16" x14ac:dyDescent="0.25">
      <c r="A7" s="27">
        <v>4</v>
      </c>
      <c r="B7" s="40" t="s">
        <v>204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66"/>
    </row>
    <row r="8" spans="1:16" x14ac:dyDescent="0.25">
      <c r="A8" s="27">
        <v>6</v>
      </c>
      <c r="B8" s="40" t="s">
        <v>206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66"/>
    </row>
    <row r="9" spans="1:16" x14ac:dyDescent="0.25">
      <c r="A9" s="27">
        <v>7</v>
      </c>
      <c r="B9" s="36" t="s">
        <v>188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66"/>
    </row>
    <row r="10" spans="1:16" x14ac:dyDescent="0.25">
      <c r="A10" s="27">
        <v>8</v>
      </c>
      <c r="B10" s="36" t="s">
        <v>195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66"/>
    </row>
    <row r="11" spans="1:16" x14ac:dyDescent="0.25">
      <c r="A11" s="27">
        <v>9</v>
      </c>
      <c r="B11" s="40" t="s">
        <v>118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66"/>
    </row>
    <row r="12" spans="1:16" x14ac:dyDescent="0.25">
      <c r="A12" s="27">
        <v>11</v>
      </c>
      <c r="B12" s="40" t="s">
        <v>176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66"/>
    </row>
    <row r="13" spans="1:16" x14ac:dyDescent="0.25">
      <c r="A13" s="27">
        <v>11</v>
      </c>
      <c r="B13" s="40" t="s">
        <v>227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66"/>
    </row>
    <row r="14" spans="1:16" x14ac:dyDescent="0.25">
      <c r="A14" s="27">
        <v>12</v>
      </c>
      <c r="B14" s="40" t="s">
        <v>205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66"/>
    </row>
    <row r="15" spans="1:16" x14ac:dyDescent="0.25">
      <c r="A15" s="27">
        <v>13</v>
      </c>
      <c r="B15" s="40" t="s">
        <v>213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66"/>
    </row>
    <row r="16" spans="1:16" x14ac:dyDescent="0.25">
      <c r="A16" s="27">
        <v>14</v>
      </c>
      <c r="B16" s="37" t="s">
        <v>137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66"/>
    </row>
    <row r="17" spans="1:16" x14ac:dyDescent="0.25">
      <c r="A17" s="27">
        <v>15</v>
      </c>
      <c r="B17" s="37" t="s">
        <v>44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66"/>
    </row>
    <row r="18" spans="1:16" x14ac:dyDescent="0.25">
      <c r="A18" s="27">
        <v>16</v>
      </c>
      <c r="B18" s="40" t="s">
        <v>109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66"/>
    </row>
    <row r="19" spans="1:16" x14ac:dyDescent="0.25">
      <c r="A19" s="27">
        <v>17</v>
      </c>
      <c r="B19" s="40" t="s">
        <v>200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66"/>
    </row>
    <row r="20" spans="1:16" x14ac:dyDescent="0.25">
      <c r="A20" s="27">
        <v>18</v>
      </c>
      <c r="B20" s="40" t="s">
        <v>212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66"/>
    </row>
    <row r="21" spans="1:16" x14ac:dyDescent="0.25">
      <c r="A21" s="27">
        <v>19</v>
      </c>
      <c r="B21" s="35" t="s">
        <v>197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66"/>
    </row>
    <row r="22" spans="1:16" x14ac:dyDescent="0.25">
      <c r="A22" s="27">
        <v>21</v>
      </c>
      <c r="B22" s="35" t="s">
        <v>27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66"/>
    </row>
    <row r="23" spans="1:16" x14ac:dyDescent="0.25">
      <c r="A23" s="27">
        <v>22</v>
      </c>
      <c r="B23" s="35" t="s">
        <v>201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66"/>
    </row>
    <row r="24" spans="1:16" x14ac:dyDescent="0.25">
      <c r="A24" s="27">
        <v>23</v>
      </c>
      <c r="B24" s="35" t="s">
        <v>198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66"/>
    </row>
    <row r="25" spans="1:16" x14ac:dyDescent="0.25">
      <c r="A25" s="28">
        <v>24</v>
      </c>
      <c r="B25" s="41" t="s">
        <v>121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1" t="s">
        <v>106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7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28</v>
      </c>
      <c r="B28" s="41" t="s">
        <v>123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6" t="s">
        <v>179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30</v>
      </c>
      <c r="B30" s="41" t="s">
        <v>129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6" t="s">
        <v>120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66"/>
    </row>
    <row r="32" spans="1:16" x14ac:dyDescent="0.25">
      <c r="A32" s="28">
        <v>32</v>
      </c>
      <c r="B32" s="41" t="s">
        <v>182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66"/>
    </row>
    <row r="33" spans="1:16" x14ac:dyDescent="0.25">
      <c r="A33" s="28">
        <v>33</v>
      </c>
      <c r="B33" s="41" t="s">
        <v>226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66"/>
    </row>
    <row r="34" spans="1:16" x14ac:dyDescent="0.25">
      <c r="A34" s="27">
        <v>34</v>
      </c>
      <c r="B34" s="36" t="s">
        <v>110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66"/>
    </row>
    <row r="35" spans="1:16" x14ac:dyDescent="0.25">
      <c r="A35" s="27">
        <v>35</v>
      </c>
      <c r="B35" s="36" t="s">
        <v>196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66"/>
    </row>
    <row r="36" spans="1:16" x14ac:dyDescent="0.25">
      <c r="A36" s="27">
        <v>38</v>
      </c>
      <c r="B36" s="36" t="s">
        <v>214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66"/>
    </row>
    <row r="37" spans="1:16" x14ac:dyDescent="0.25">
      <c r="A37" s="27">
        <v>41</v>
      </c>
      <c r="B37" s="36" t="s">
        <v>215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47</v>
      </c>
      <c r="B38" s="41" t="s">
        <v>186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66"/>
    </row>
    <row r="39" spans="1:16" x14ac:dyDescent="0.25">
      <c r="A39" s="28">
        <v>65</v>
      </c>
      <c r="B39" s="41" t="s">
        <v>127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1" t="s">
        <v>216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A25" sqref="A25:XFD25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5" t="s">
        <v>178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66"/>
    </row>
    <row r="5" spans="1:16" x14ac:dyDescent="0.25">
      <c r="A5" s="28">
        <v>2</v>
      </c>
      <c r="B5" s="38" t="s">
        <v>37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66"/>
    </row>
    <row r="6" spans="1:16" x14ac:dyDescent="0.25">
      <c r="A6" s="28">
        <v>3</v>
      </c>
      <c r="B6" s="38" t="s">
        <v>199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66"/>
    </row>
    <row r="7" spans="1:16" x14ac:dyDescent="0.25">
      <c r="A7" s="27">
        <v>4</v>
      </c>
      <c r="B7" s="40" t="s">
        <v>229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66"/>
    </row>
    <row r="8" spans="1:16" x14ac:dyDescent="0.25">
      <c r="A8" s="27">
        <v>5</v>
      </c>
      <c r="B8" s="40" t="s">
        <v>212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66"/>
    </row>
    <row r="9" spans="1:16" x14ac:dyDescent="0.25">
      <c r="A9" s="27">
        <v>6</v>
      </c>
      <c r="B9" s="36" t="s">
        <v>206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66"/>
    </row>
    <row r="10" spans="1:16" x14ac:dyDescent="0.25">
      <c r="A10" s="27">
        <v>7</v>
      </c>
      <c r="B10" s="36" t="s">
        <v>188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66"/>
    </row>
    <row r="11" spans="1:16" x14ac:dyDescent="0.25">
      <c r="A11" s="27">
        <v>8</v>
      </c>
      <c r="B11" s="40" t="s">
        <v>227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66"/>
    </row>
    <row r="12" spans="1:16" x14ac:dyDescent="0.25">
      <c r="A12" s="27">
        <v>9</v>
      </c>
      <c r="B12" s="40" t="s">
        <v>118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66"/>
    </row>
    <row r="13" spans="1:16" x14ac:dyDescent="0.25">
      <c r="A13" s="27">
        <v>10</v>
      </c>
      <c r="B13" s="40" t="s">
        <v>182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66"/>
    </row>
    <row r="14" spans="1:16" x14ac:dyDescent="0.25">
      <c r="A14" s="27">
        <v>11</v>
      </c>
      <c r="B14" s="40" t="s">
        <v>176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66"/>
    </row>
    <row r="15" spans="1:16" x14ac:dyDescent="0.25">
      <c r="A15" s="27">
        <v>13</v>
      </c>
      <c r="B15" s="37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7">
        <v>15</v>
      </c>
      <c r="B16" s="40" t="s">
        <v>44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66"/>
    </row>
    <row r="17" spans="1:16" x14ac:dyDescent="0.25">
      <c r="A17" s="27">
        <v>16</v>
      </c>
      <c r="B17" s="40" t="s">
        <v>109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66"/>
    </row>
    <row r="18" spans="1:16" x14ac:dyDescent="0.25">
      <c r="A18" s="27">
        <v>17</v>
      </c>
      <c r="B18" s="40" t="s">
        <v>200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66"/>
    </row>
    <row r="19" spans="1:16" x14ac:dyDescent="0.25">
      <c r="A19" s="27">
        <v>18</v>
      </c>
      <c r="B19" s="40" t="s">
        <v>234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66"/>
    </row>
    <row r="20" spans="1:16" x14ac:dyDescent="0.25">
      <c r="A20" s="27">
        <v>19</v>
      </c>
      <c r="B20" s="35" t="s">
        <v>197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66"/>
    </row>
    <row r="21" spans="1:16" x14ac:dyDescent="0.25">
      <c r="A21" s="27">
        <v>20</v>
      </c>
      <c r="B21" s="35" t="s">
        <v>231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66"/>
    </row>
    <row r="22" spans="1:16" x14ac:dyDescent="0.25">
      <c r="A22" s="27">
        <v>22</v>
      </c>
      <c r="B22" s="35" t="s">
        <v>201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1" t="s">
        <v>232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66"/>
    </row>
    <row r="24" spans="1:16" x14ac:dyDescent="0.25">
      <c r="A24" s="28">
        <v>24</v>
      </c>
      <c r="B24" s="41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7" t="s">
        <v>106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66"/>
    </row>
    <row r="26" spans="1:16" x14ac:dyDescent="0.25">
      <c r="A26" s="28">
        <v>26</v>
      </c>
      <c r="B26" s="41" t="s">
        <v>214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6" t="s">
        <v>174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7">
        <v>29</v>
      </c>
      <c r="B28" s="36" t="s">
        <v>179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30</v>
      </c>
      <c r="B29" s="41" t="s">
        <v>129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66"/>
    </row>
    <row r="30" spans="1:16" x14ac:dyDescent="0.25">
      <c r="A30" s="28">
        <v>32</v>
      </c>
      <c r="B30" s="41" t="s">
        <v>233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66"/>
    </row>
    <row r="31" spans="1:16" x14ac:dyDescent="0.25">
      <c r="A31" s="27">
        <v>33</v>
      </c>
      <c r="B31" s="36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34</v>
      </c>
      <c r="B32" s="36" t="s">
        <v>110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66"/>
    </row>
    <row r="33" spans="1:16" x14ac:dyDescent="0.25">
      <c r="A33" s="27">
        <v>35</v>
      </c>
      <c r="B33" s="36" t="s">
        <v>196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66"/>
    </row>
    <row r="34" spans="1:16" x14ac:dyDescent="0.25">
      <c r="A34" s="27">
        <v>41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1" t="s">
        <v>216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1" t="s">
        <v>235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119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66"/>
    </row>
    <row r="5" spans="1:16" x14ac:dyDescent="0.25">
      <c r="A5" s="28">
        <v>3</v>
      </c>
      <c r="B5" s="38" t="s">
        <v>199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66"/>
    </row>
    <row r="7" spans="1:16" x14ac:dyDescent="0.25">
      <c r="A7" s="27">
        <v>5</v>
      </c>
      <c r="B7" s="38" t="s">
        <v>212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66"/>
    </row>
    <row r="8" spans="1:16" x14ac:dyDescent="0.25">
      <c r="A8" s="27">
        <v>6</v>
      </c>
      <c r="B8" s="38" t="s">
        <v>206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66"/>
    </row>
    <row r="9" spans="1:16" x14ac:dyDescent="0.25">
      <c r="A9" s="27">
        <v>7</v>
      </c>
      <c r="B9" s="38" t="s">
        <v>188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66"/>
    </row>
    <row r="10" spans="1:16" x14ac:dyDescent="0.25">
      <c r="A10" s="27">
        <v>8</v>
      </c>
      <c r="B10" s="38" t="s">
        <v>227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66"/>
    </row>
    <row r="11" spans="1:16" x14ac:dyDescent="0.25">
      <c r="A11" s="27">
        <v>9</v>
      </c>
      <c r="B11" s="38" t="s">
        <v>268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66"/>
    </row>
    <row r="12" spans="1:16" x14ac:dyDescent="0.25">
      <c r="A12" s="27">
        <v>10</v>
      </c>
      <c r="B12" s="38" t="s">
        <v>182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66"/>
    </row>
    <row r="13" spans="1:16" x14ac:dyDescent="0.25">
      <c r="A13" s="27">
        <v>11</v>
      </c>
      <c r="B13" s="36" t="s">
        <v>196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66"/>
    </row>
    <row r="14" spans="1:16" x14ac:dyDescent="0.25">
      <c r="A14" s="27">
        <v>12</v>
      </c>
      <c r="B14" s="36" t="s">
        <v>204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66"/>
    </row>
    <row r="15" spans="1:16" x14ac:dyDescent="0.25">
      <c r="A15" s="27">
        <v>13</v>
      </c>
      <c r="B15" s="23" t="s">
        <v>213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66"/>
    </row>
    <row r="17" spans="1:16" x14ac:dyDescent="0.25">
      <c r="A17" s="27">
        <v>15</v>
      </c>
      <c r="B17" s="23" t="s">
        <v>44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66"/>
    </row>
    <row r="18" spans="1:16" x14ac:dyDescent="0.25">
      <c r="A18" s="27">
        <v>15</v>
      </c>
      <c r="B18" s="38" t="s">
        <v>282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66"/>
    </row>
    <row r="19" spans="1:16" x14ac:dyDescent="0.25">
      <c r="A19" s="27">
        <v>16</v>
      </c>
      <c r="B19" s="38" t="s">
        <v>109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66"/>
    </row>
    <row r="20" spans="1:16" x14ac:dyDescent="0.25">
      <c r="A20" s="27">
        <v>17</v>
      </c>
      <c r="B20" s="23" t="s">
        <v>200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66"/>
    </row>
    <row r="21" spans="1:16" x14ac:dyDescent="0.25">
      <c r="A21" s="27">
        <v>18</v>
      </c>
      <c r="B21" s="38" t="s">
        <v>234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66"/>
    </row>
    <row r="22" spans="1:16" x14ac:dyDescent="0.25">
      <c r="A22" s="27">
        <v>19</v>
      </c>
      <c r="B22" s="23" t="s">
        <v>197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7">
        <v>19</v>
      </c>
      <c r="B23" s="38" t="s">
        <v>280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66"/>
    </row>
    <row r="24" spans="1:16" x14ac:dyDescent="0.25">
      <c r="A24" s="27">
        <v>20</v>
      </c>
      <c r="B24" s="23" t="s">
        <v>231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66"/>
    </row>
    <row r="25" spans="1:16" x14ac:dyDescent="0.25">
      <c r="A25" s="27">
        <v>20</v>
      </c>
      <c r="B25" s="38" t="s">
        <v>281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66"/>
    </row>
    <row r="26" spans="1:16" x14ac:dyDescent="0.25">
      <c r="A26" s="27">
        <v>21</v>
      </c>
      <c r="B26" s="38" t="s">
        <v>267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201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23</v>
      </c>
      <c r="B28" s="38" t="s">
        <v>232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8" t="s">
        <v>121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66"/>
    </row>
    <row r="30" spans="1:16" x14ac:dyDescent="0.25">
      <c r="A30" s="27">
        <v>25</v>
      </c>
      <c r="B30" s="38" t="s">
        <v>106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214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8" t="s">
        <v>271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8" t="s">
        <v>269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66"/>
    </row>
    <row r="34" spans="1:16" x14ac:dyDescent="0.25">
      <c r="A34" s="28">
        <v>31</v>
      </c>
      <c r="B34" s="38" t="s">
        <v>279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33</v>
      </c>
      <c r="B35" s="23" t="s">
        <v>230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66"/>
    </row>
    <row r="36" spans="1:16" x14ac:dyDescent="0.25">
      <c r="A36" s="27">
        <v>34</v>
      </c>
      <c r="B36" s="38" t="s">
        <v>110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66"/>
    </row>
    <row r="37" spans="1:16" x14ac:dyDescent="0.25">
      <c r="A37" s="27">
        <v>35</v>
      </c>
      <c r="B37" s="36" t="s">
        <v>270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66"/>
    </row>
    <row r="38" spans="1:16" x14ac:dyDescent="0.25">
      <c r="A38" s="27">
        <v>41</v>
      </c>
      <c r="B38" s="36" t="s">
        <v>215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1" t="s">
        <v>216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1" t="s">
        <v>272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235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A12" sqref="A12:XFD1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8" t="s">
        <v>233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66"/>
    </row>
    <row r="5" spans="1:16" x14ac:dyDescent="0.25">
      <c r="A5" s="27">
        <v>2</v>
      </c>
      <c r="B5" s="36" t="s">
        <v>204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66"/>
    </row>
    <row r="6" spans="1:16" x14ac:dyDescent="0.25">
      <c r="A6" s="28">
        <v>3</v>
      </c>
      <c r="B6" s="23" t="s">
        <v>199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66"/>
    </row>
    <row r="8" spans="1:16" x14ac:dyDescent="0.25">
      <c r="A8" s="27">
        <v>5</v>
      </c>
      <c r="B8" s="38" t="s">
        <v>212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66"/>
    </row>
    <row r="9" spans="1:16" x14ac:dyDescent="0.25">
      <c r="A9" s="27">
        <v>6</v>
      </c>
      <c r="B9" s="38" t="s">
        <v>206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66"/>
    </row>
    <row r="11" spans="1:16" x14ac:dyDescent="0.25">
      <c r="A11" s="27">
        <v>8</v>
      </c>
      <c r="B11" s="38" t="s">
        <v>227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66"/>
    </row>
    <row r="12" spans="1:16" x14ac:dyDescent="0.25">
      <c r="A12" s="27">
        <v>9</v>
      </c>
      <c r="B12" s="38" t="s">
        <v>268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66"/>
    </row>
    <row r="13" spans="1:16" x14ac:dyDescent="0.25">
      <c r="A13" s="27">
        <v>10</v>
      </c>
      <c r="B13" s="38" t="s">
        <v>182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66"/>
    </row>
    <row r="14" spans="1:16" x14ac:dyDescent="0.25">
      <c r="A14" s="27">
        <v>11</v>
      </c>
      <c r="B14" s="36" t="s">
        <v>196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66"/>
    </row>
    <row r="15" spans="1:16" x14ac:dyDescent="0.25">
      <c r="A15" s="27">
        <v>12</v>
      </c>
      <c r="B15" s="36" t="s">
        <v>285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66"/>
    </row>
    <row r="16" spans="1:16" x14ac:dyDescent="0.25">
      <c r="A16" s="28">
        <v>14</v>
      </c>
      <c r="B16" s="38" t="s">
        <v>129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66"/>
    </row>
    <row r="17" spans="1:16" x14ac:dyDescent="0.25">
      <c r="A17" s="27">
        <v>15</v>
      </c>
      <c r="B17" s="38" t="s">
        <v>282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66"/>
    </row>
    <row r="18" spans="1:16" x14ac:dyDescent="0.25">
      <c r="A18" s="27">
        <v>17</v>
      </c>
      <c r="B18" s="38" t="s">
        <v>200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66"/>
    </row>
    <row r="19" spans="1:16" x14ac:dyDescent="0.25">
      <c r="A19" s="27">
        <v>18</v>
      </c>
      <c r="B19" s="38" t="s">
        <v>234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66"/>
    </row>
    <row r="20" spans="1:16" x14ac:dyDescent="0.25">
      <c r="A20" s="27">
        <v>19</v>
      </c>
      <c r="B20" s="38" t="s">
        <v>280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66"/>
    </row>
    <row r="21" spans="1:16" x14ac:dyDescent="0.25">
      <c r="A21" s="27">
        <v>20</v>
      </c>
      <c r="B21" s="23" t="s">
        <v>231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66"/>
    </row>
    <row r="22" spans="1:16" x14ac:dyDescent="0.25">
      <c r="A22" s="27">
        <v>20</v>
      </c>
      <c r="B22" s="38" t="s">
        <v>281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66"/>
    </row>
    <row r="23" spans="1:16" x14ac:dyDescent="0.25">
      <c r="A23" s="27">
        <v>21</v>
      </c>
      <c r="B23" s="38" t="s">
        <v>267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8" t="s">
        <v>287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232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8" t="s">
        <v>121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66"/>
    </row>
    <row r="27" spans="1:16" x14ac:dyDescent="0.25">
      <c r="A27" s="27">
        <v>25</v>
      </c>
      <c r="B27" s="38" t="s">
        <v>106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8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8" t="s">
        <v>284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8" t="s">
        <v>279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66"/>
    </row>
    <row r="31" spans="1:16" x14ac:dyDescent="0.25">
      <c r="A31" s="27">
        <v>33</v>
      </c>
      <c r="B31" s="23" t="s">
        <v>230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66"/>
    </row>
    <row r="32" spans="1:16" x14ac:dyDescent="0.25">
      <c r="A32" s="27">
        <v>35</v>
      </c>
      <c r="B32" s="36" t="s">
        <v>270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66"/>
    </row>
    <row r="33" spans="1:16" x14ac:dyDescent="0.25">
      <c r="A33" s="27">
        <v>41</v>
      </c>
      <c r="B33" s="36" t="s">
        <v>286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66"/>
    </row>
    <row r="34" spans="1:16" x14ac:dyDescent="0.25">
      <c r="A34" s="27">
        <v>42</v>
      </c>
      <c r="B34" s="36" t="s">
        <v>215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1" t="s">
        <v>272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1" t="s">
        <v>216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41" t="s">
        <v>288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235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M37" sqref="M3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6" t="s">
        <v>204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66"/>
    </row>
    <row r="5" spans="1:16" x14ac:dyDescent="0.25">
      <c r="A5" s="28">
        <v>3</v>
      </c>
      <c r="B5" s="38" t="s">
        <v>199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66"/>
    </row>
    <row r="6" spans="1:16" x14ac:dyDescent="0.25">
      <c r="A6" s="27">
        <v>4</v>
      </c>
      <c r="B6" s="38" t="s">
        <v>229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66"/>
    </row>
    <row r="7" spans="1:16" x14ac:dyDescent="0.25">
      <c r="A7" s="27">
        <v>5</v>
      </c>
      <c r="B7" s="38" t="s">
        <v>212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66"/>
    </row>
    <row r="8" spans="1:16" x14ac:dyDescent="0.25">
      <c r="A8" s="27">
        <v>6</v>
      </c>
      <c r="B8" s="38" t="s">
        <v>206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66"/>
    </row>
    <row r="9" spans="1:16" x14ac:dyDescent="0.25">
      <c r="A9" s="27">
        <v>7</v>
      </c>
      <c r="B9" s="38" t="s">
        <v>188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66"/>
    </row>
    <row r="10" spans="1:16" x14ac:dyDescent="0.25">
      <c r="A10" s="27">
        <v>8</v>
      </c>
      <c r="B10" s="38" t="s">
        <v>227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66"/>
    </row>
    <row r="11" spans="1:16" x14ac:dyDescent="0.25">
      <c r="A11" s="27">
        <v>9</v>
      </c>
      <c r="B11" s="38" t="s">
        <v>268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66"/>
    </row>
    <row r="12" spans="1:16" x14ac:dyDescent="0.25">
      <c r="A12" s="27">
        <v>11</v>
      </c>
      <c r="B12" s="36" t="s">
        <v>196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66"/>
    </row>
    <row r="13" spans="1:16" x14ac:dyDescent="0.25">
      <c r="A13" s="27">
        <v>12</v>
      </c>
      <c r="B13" s="36" t="s">
        <v>285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66"/>
    </row>
    <row r="14" spans="1:16" x14ac:dyDescent="0.25">
      <c r="A14" s="27">
        <v>15</v>
      </c>
      <c r="B14" s="38" t="s">
        <v>282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66"/>
    </row>
    <row r="15" spans="1:16" x14ac:dyDescent="0.25">
      <c r="A15" s="27">
        <v>17</v>
      </c>
      <c r="B15" s="36" t="s">
        <v>270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66"/>
    </row>
    <row r="16" spans="1:16" x14ac:dyDescent="0.25">
      <c r="A16" s="27">
        <v>18</v>
      </c>
      <c r="B16" s="38" t="s">
        <v>234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66"/>
    </row>
    <row r="17" spans="1:16" x14ac:dyDescent="0.25">
      <c r="A17" s="27">
        <v>19</v>
      </c>
      <c r="B17" s="38" t="s">
        <v>280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66"/>
    </row>
    <row r="18" spans="1:16" x14ac:dyDescent="0.25">
      <c r="A18" s="27">
        <v>20</v>
      </c>
      <c r="B18" s="23" t="s">
        <v>231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20</v>
      </c>
      <c r="B19" s="38" t="s">
        <v>281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66"/>
    </row>
    <row r="20" spans="1:16" x14ac:dyDescent="0.25">
      <c r="A20" s="27">
        <v>21</v>
      </c>
      <c r="B20" s="23" t="s">
        <v>267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8" t="s">
        <v>287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8" t="s">
        <v>303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232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121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66"/>
    </row>
    <row r="25" spans="1:16" x14ac:dyDescent="0.25">
      <c r="A25" s="28">
        <v>27</v>
      </c>
      <c r="B25" s="23" t="s">
        <v>271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8" t="s">
        <v>284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8" t="s">
        <v>304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66"/>
    </row>
    <row r="28" spans="1:16" x14ac:dyDescent="0.25">
      <c r="A28" s="28">
        <v>31</v>
      </c>
      <c r="B28" s="23" t="s">
        <v>279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66"/>
    </row>
    <row r="29" spans="1:16" x14ac:dyDescent="0.25">
      <c r="A29" s="28">
        <v>32</v>
      </c>
      <c r="B29" s="38" t="s">
        <v>305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66"/>
    </row>
    <row r="30" spans="1:16" x14ac:dyDescent="0.25">
      <c r="A30" s="28">
        <v>33</v>
      </c>
      <c r="B30" s="38" t="s">
        <v>301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66"/>
    </row>
    <row r="31" spans="1:16" x14ac:dyDescent="0.25">
      <c r="A31" s="28">
        <v>36</v>
      </c>
      <c r="B31" s="38" t="s">
        <v>313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66"/>
    </row>
    <row r="32" spans="1:16" x14ac:dyDescent="0.25">
      <c r="A32" s="28">
        <v>37</v>
      </c>
      <c r="B32" s="38" t="s">
        <v>317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66"/>
    </row>
    <row r="33" spans="1:16" x14ac:dyDescent="0.25">
      <c r="A33" s="27">
        <v>41</v>
      </c>
      <c r="B33" s="36" t="s">
        <v>286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66"/>
    </row>
    <row r="34" spans="1:16" x14ac:dyDescent="0.25">
      <c r="A34" s="27">
        <v>46</v>
      </c>
      <c r="B34" s="36" t="s">
        <v>308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66"/>
    </row>
    <row r="35" spans="1:16" x14ac:dyDescent="0.25">
      <c r="A35" s="27">
        <v>47</v>
      </c>
      <c r="B35" s="36" t="s">
        <v>309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66"/>
    </row>
    <row r="36" spans="1:16" x14ac:dyDescent="0.25">
      <c r="A36" s="27">
        <v>49</v>
      </c>
      <c r="B36" s="36" t="s">
        <v>307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66"/>
    </row>
    <row r="37" spans="1:16" x14ac:dyDescent="0.25">
      <c r="A37" s="27">
        <v>51</v>
      </c>
      <c r="B37" s="36" t="s">
        <v>310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66"/>
    </row>
    <row r="38" spans="1:16" x14ac:dyDescent="0.25">
      <c r="A38" s="28">
        <v>53</v>
      </c>
      <c r="B38" s="41" t="s">
        <v>272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302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8" t="s">
        <v>314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8" t="s">
        <v>311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K29" sqref="K29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6" t="s">
        <v>204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66"/>
    </row>
    <row r="6" spans="1:16" x14ac:dyDescent="0.25">
      <c r="A6" s="27">
        <v>3</v>
      </c>
      <c r="B6" s="36" t="s">
        <v>326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66"/>
    </row>
    <row r="7" spans="1:16" x14ac:dyDescent="0.25">
      <c r="A7" s="27">
        <v>4</v>
      </c>
      <c r="B7" s="38" t="s">
        <v>229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66"/>
    </row>
    <row r="8" spans="1:16" x14ac:dyDescent="0.25">
      <c r="A8" s="27">
        <v>5</v>
      </c>
      <c r="B8" s="38" t="s">
        <v>328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66"/>
    </row>
    <row r="9" spans="1:16" x14ac:dyDescent="0.25">
      <c r="A9" s="27">
        <v>6</v>
      </c>
      <c r="B9" s="38" t="s">
        <v>206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66"/>
    </row>
    <row r="10" spans="1:16" x14ac:dyDescent="0.25">
      <c r="A10" s="27">
        <v>7</v>
      </c>
      <c r="B10" s="38" t="s">
        <v>188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66"/>
    </row>
    <row r="11" spans="1:16" x14ac:dyDescent="0.25">
      <c r="A11" s="27">
        <v>8</v>
      </c>
      <c r="B11" s="38" t="s">
        <v>227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66"/>
    </row>
    <row r="12" spans="1:16" x14ac:dyDescent="0.25">
      <c r="A12" s="27">
        <v>9</v>
      </c>
      <c r="B12" s="38" t="s">
        <v>268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66"/>
    </row>
    <row r="13" spans="1:16" x14ac:dyDescent="0.25">
      <c r="A13" s="27">
        <v>10</v>
      </c>
      <c r="B13" s="38" t="s">
        <v>329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66"/>
    </row>
    <row r="14" spans="1:16" x14ac:dyDescent="0.25">
      <c r="A14" s="27">
        <v>11</v>
      </c>
      <c r="B14" s="36" t="s">
        <v>196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66"/>
    </row>
    <row r="15" spans="1:16" x14ac:dyDescent="0.25">
      <c r="A15" s="27">
        <v>12</v>
      </c>
      <c r="B15" s="36" t="s">
        <v>285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66"/>
    </row>
    <row r="16" spans="1:16" x14ac:dyDescent="0.25">
      <c r="A16" s="27">
        <v>13</v>
      </c>
      <c r="B16" s="181" t="s">
        <v>322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66"/>
    </row>
    <row r="17" spans="1:16" x14ac:dyDescent="0.25">
      <c r="A17" s="27">
        <v>14</v>
      </c>
      <c r="B17" s="181" t="s">
        <v>327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66"/>
    </row>
    <row r="18" spans="1:16" x14ac:dyDescent="0.25">
      <c r="A18" s="27">
        <v>15</v>
      </c>
      <c r="B18" s="23" t="s">
        <v>282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66"/>
    </row>
    <row r="19" spans="1:16" x14ac:dyDescent="0.25">
      <c r="A19" s="27">
        <v>16</v>
      </c>
      <c r="B19" s="38" t="s">
        <v>324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66"/>
    </row>
    <row r="20" spans="1:16" x14ac:dyDescent="0.25">
      <c r="A20" s="27">
        <v>19</v>
      </c>
      <c r="B20" s="38" t="s">
        <v>280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80" t="s">
        <v>325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267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66"/>
    </row>
    <row r="23" spans="1:16" x14ac:dyDescent="0.25">
      <c r="A23" s="28">
        <v>22</v>
      </c>
      <c r="B23" s="41" t="s">
        <v>272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8" t="s">
        <v>303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93" t="s">
        <v>121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66"/>
    </row>
    <row r="26" spans="1:16" x14ac:dyDescent="0.25">
      <c r="A26" s="28">
        <v>29</v>
      </c>
      <c r="B26" s="180" t="s">
        <v>284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66"/>
    </row>
    <row r="27" spans="1:16" x14ac:dyDescent="0.25">
      <c r="A27" s="28">
        <v>31</v>
      </c>
      <c r="B27" s="193" t="s">
        <v>279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66"/>
    </row>
    <row r="28" spans="1:16" x14ac:dyDescent="0.25">
      <c r="A28" s="28">
        <v>33</v>
      </c>
      <c r="B28" s="180" t="s">
        <v>301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66"/>
    </row>
    <row r="29" spans="1:16" x14ac:dyDescent="0.25">
      <c r="A29" s="27">
        <v>35</v>
      </c>
      <c r="B29" s="180" t="s">
        <v>313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66"/>
    </row>
    <row r="30" spans="1:16" x14ac:dyDescent="0.25">
      <c r="A30" s="27">
        <v>36</v>
      </c>
      <c r="B30" s="180" t="s">
        <v>323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66"/>
    </row>
    <row r="31" spans="1:16" x14ac:dyDescent="0.25">
      <c r="A31" s="27">
        <v>41</v>
      </c>
      <c r="B31" s="36" t="s">
        <v>286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66"/>
    </row>
    <row r="32" spans="1:16" x14ac:dyDescent="0.25">
      <c r="A32" s="27">
        <v>46</v>
      </c>
      <c r="B32" s="68" t="s">
        <v>308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66"/>
    </row>
    <row r="33" spans="1:14" x14ac:dyDescent="0.25">
      <c r="A33" s="28">
        <v>49</v>
      </c>
      <c r="B33" s="36" t="s">
        <v>307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6" t="s">
        <v>310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81" t="s">
        <v>351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80" t="s">
        <v>302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81" t="s">
        <v>332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80" t="s">
        <v>337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80" t="s">
        <v>348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80" t="s">
        <v>349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80" t="s">
        <v>343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8" t="s">
        <v>311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P40"/>
  <sheetViews>
    <sheetView zoomScale="90" zoomScaleNormal="90" zoomScalePageLayoutView="110" workbookViewId="0">
      <selection activeCell="E20" sqref="E20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3" t="s">
        <v>4</v>
      </c>
      <c r="D2" s="203"/>
      <c r="E2" s="205" t="s">
        <v>126</v>
      </c>
      <c r="F2" s="205"/>
      <c r="G2" s="203" t="s">
        <v>114</v>
      </c>
      <c r="H2" s="203"/>
      <c r="I2" s="205" t="s">
        <v>116</v>
      </c>
      <c r="J2" s="205"/>
      <c r="K2" s="203" t="s">
        <v>40</v>
      </c>
      <c r="L2" s="203"/>
      <c r="M2" s="202" t="s">
        <v>7</v>
      </c>
      <c r="N2" s="202"/>
    </row>
    <row r="3" spans="1:16" x14ac:dyDescent="0.25">
      <c r="A3" s="3" t="s">
        <v>49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8" t="s">
        <v>287</v>
      </c>
      <c r="C4" s="6">
        <f>'Premier League'!C4</f>
        <v>0</v>
      </c>
      <c r="D4" s="6">
        <f>'Premier League'!D4</f>
        <v>0</v>
      </c>
      <c r="E4" s="4">
        <f>Europe!C4</f>
        <v>0</v>
      </c>
      <c r="F4" s="4">
        <f>Europe!D4</f>
        <v>0</v>
      </c>
      <c r="G4" s="6">
        <f>'FA Cup'!C4</f>
        <v>0</v>
      </c>
      <c r="H4" s="6">
        <f>'FA Cup'!D4</f>
        <v>0</v>
      </c>
      <c r="I4" s="4">
        <f>'League Cup'!C4</f>
        <v>0</v>
      </c>
      <c r="J4" s="4">
        <f>'League Cup'!D4</f>
        <v>0</v>
      </c>
      <c r="K4" s="6">
        <f>'Other (CS)'!C3</f>
        <v>1</v>
      </c>
      <c r="L4" s="6">
        <f>'Other (CS)'!D3</f>
        <v>0</v>
      </c>
      <c r="M4" s="2">
        <f t="shared" ref="M4:N17" si="0">SUM(C4,E4,G4,I4,K4)</f>
        <v>1</v>
      </c>
      <c r="N4" s="2">
        <f t="shared" si="0"/>
        <v>0</v>
      </c>
    </row>
    <row r="5" spans="1:16" x14ac:dyDescent="0.25">
      <c r="A5" s="27">
        <v>2</v>
      </c>
      <c r="B5" s="36" t="s">
        <v>204</v>
      </c>
      <c r="C5" s="6">
        <f>'Premier League'!C5</f>
        <v>0</v>
      </c>
      <c r="D5" s="6">
        <f>'Premier League'!D5</f>
        <v>0</v>
      </c>
      <c r="E5" s="4">
        <f>Europe!C5</f>
        <v>0</v>
      </c>
      <c r="F5" s="4">
        <f>Europe!D5</f>
        <v>0</v>
      </c>
      <c r="G5" s="6">
        <f>'FA Cup'!C5</f>
        <v>0</v>
      </c>
      <c r="H5" s="6">
        <f>'FA Cup'!D5</f>
        <v>0</v>
      </c>
      <c r="I5" s="4">
        <f>'League Cup'!C5</f>
        <v>0</v>
      </c>
      <c r="J5" s="4">
        <f>'League Cup'!D5</f>
        <v>0</v>
      </c>
      <c r="K5" s="6">
        <f>'Other (CS)'!C4</f>
        <v>0</v>
      </c>
      <c r="L5" s="6">
        <f>'Other (CS)'!D4</f>
        <v>0</v>
      </c>
      <c r="M5" s="2">
        <f t="shared" si="0"/>
        <v>0</v>
      </c>
      <c r="N5" s="2">
        <f t="shared" si="0"/>
        <v>0</v>
      </c>
      <c r="P5" s="66"/>
    </row>
    <row r="6" spans="1:16" x14ac:dyDescent="0.25">
      <c r="A6" s="27">
        <v>3</v>
      </c>
      <c r="B6" s="36" t="s">
        <v>326</v>
      </c>
      <c r="C6" s="6">
        <f>'Premier League'!C6</f>
        <v>0</v>
      </c>
      <c r="D6" s="6">
        <f>'Premier League'!D6</f>
        <v>0</v>
      </c>
      <c r="E6" s="4">
        <f>Europe!C6</f>
        <v>0</v>
      </c>
      <c r="F6" s="4">
        <f>Europe!D6</f>
        <v>0</v>
      </c>
      <c r="G6" s="6">
        <f>'FA Cup'!C6</f>
        <v>0</v>
      </c>
      <c r="H6" s="6">
        <f>'FA Cup'!D6</f>
        <v>0</v>
      </c>
      <c r="I6" s="4">
        <f>'League Cup'!C6</f>
        <v>0</v>
      </c>
      <c r="J6" s="4">
        <f>'League Cup'!D6</f>
        <v>0</v>
      </c>
      <c r="K6" s="6">
        <f>'Other (CS)'!C5</f>
        <v>1</v>
      </c>
      <c r="L6" s="6">
        <f>'Other (CS)'!D5</f>
        <v>0</v>
      </c>
      <c r="M6" s="2">
        <f t="shared" si="0"/>
        <v>1</v>
      </c>
      <c r="N6" s="2">
        <f t="shared" si="0"/>
        <v>0</v>
      </c>
      <c r="P6" s="66"/>
    </row>
    <row r="7" spans="1:16" x14ac:dyDescent="0.25">
      <c r="A7" s="27">
        <v>4</v>
      </c>
      <c r="B7" s="38" t="s">
        <v>229</v>
      </c>
      <c r="C7" s="6">
        <f>'Premier League'!C7</f>
        <v>0</v>
      </c>
      <c r="D7" s="6">
        <f>'Premier League'!D7</f>
        <v>0</v>
      </c>
      <c r="E7" s="4">
        <f>Europe!C7</f>
        <v>0</v>
      </c>
      <c r="F7" s="4">
        <f>Europe!D7</f>
        <v>0</v>
      </c>
      <c r="G7" s="6">
        <f>'FA Cup'!C7</f>
        <v>0</v>
      </c>
      <c r="H7" s="6">
        <f>'FA Cup'!D7</f>
        <v>0</v>
      </c>
      <c r="I7" s="4">
        <f>'League Cup'!C7</f>
        <v>0</v>
      </c>
      <c r="J7" s="4">
        <f>'League Cup'!D7</f>
        <v>0</v>
      </c>
      <c r="K7" s="6">
        <f>'Other (CS)'!C6</f>
        <v>1</v>
      </c>
      <c r="L7" s="6">
        <f>'Other (CS)'!D6</f>
        <v>0</v>
      </c>
      <c r="M7" s="2">
        <f t="shared" si="0"/>
        <v>1</v>
      </c>
      <c r="N7" s="2">
        <f t="shared" si="0"/>
        <v>0</v>
      </c>
      <c r="P7" s="66"/>
    </row>
    <row r="8" spans="1:16" x14ac:dyDescent="0.25">
      <c r="A8" s="27">
        <v>5</v>
      </c>
      <c r="B8" s="38" t="s">
        <v>328</v>
      </c>
      <c r="C8" s="6">
        <f>'Premier League'!C8</f>
        <v>0</v>
      </c>
      <c r="D8" s="6">
        <f>'Premier League'!D8</f>
        <v>0</v>
      </c>
      <c r="E8" s="4">
        <f>Europe!C8</f>
        <v>0</v>
      </c>
      <c r="F8" s="4">
        <f>Europe!D8</f>
        <v>0</v>
      </c>
      <c r="G8" s="6">
        <f>'FA Cup'!C8</f>
        <v>0</v>
      </c>
      <c r="H8" s="6">
        <f>'FA Cup'!D8</f>
        <v>0</v>
      </c>
      <c r="I8" s="4">
        <f>'League Cup'!C8</f>
        <v>0</v>
      </c>
      <c r="J8" s="4">
        <f>'League Cup'!D8</f>
        <v>0</v>
      </c>
      <c r="K8" s="6">
        <f>'Other (CS)'!C7</f>
        <v>1</v>
      </c>
      <c r="L8" s="6">
        <f>'Other (CS)'!D7</f>
        <v>0</v>
      </c>
      <c r="M8" s="2">
        <f t="shared" si="0"/>
        <v>1</v>
      </c>
      <c r="N8" s="2">
        <f t="shared" si="0"/>
        <v>0</v>
      </c>
      <c r="P8" s="66"/>
    </row>
    <row r="9" spans="1:16" x14ac:dyDescent="0.25">
      <c r="A9" s="27">
        <v>6</v>
      </c>
      <c r="B9" s="38" t="s">
        <v>206</v>
      </c>
      <c r="C9" s="6">
        <f>'Premier League'!C9</f>
        <v>0</v>
      </c>
      <c r="D9" s="6">
        <f>'Premier League'!D9</f>
        <v>0</v>
      </c>
      <c r="E9" s="4">
        <f>Europe!C9</f>
        <v>0</v>
      </c>
      <c r="F9" s="4">
        <f>Europe!D9</f>
        <v>0</v>
      </c>
      <c r="G9" s="6">
        <f>'FA Cup'!C9</f>
        <v>0</v>
      </c>
      <c r="H9" s="6">
        <f>'FA Cup'!D9</f>
        <v>0</v>
      </c>
      <c r="I9" s="4">
        <f>'League Cup'!C9</f>
        <v>0</v>
      </c>
      <c r="J9" s="4">
        <f>'League Cup'!D9</f>
        <v>0</v>
      </c>
      <c r="K9" s="6">
        <f>'Other (CS)'!C8</f>
        <v>1</v>
      </c>
      <c r="L9" s="6">
        <f>'Other (CS)'!D8</f>
        <v>0</v>
      </c>
      <c r="M9" s="2">
        <f t="shared" si="0"/>
        <v>1</v>
      </c>
      <c r="N9" s="2">
        <f t="shared" si="0"/>
        <v>0</v>
      </c>
      <c r="P9" s="66"/>
    </row>
    <row r="10" spans="1:16" x14ac:dyDescent="0.25">
      <c r="A10" s="27">
        <v>7</v>
      </c>
      <c r="B10" s="38" t="s">
        <v>188</v>
      </c>
      <c r="C10" s="6">
        <f>'Premier League'!C10</f>
        <v>0</v>
      </c>
      <c r="D10" s="6">
        <f>'Premier League'!D10</f>
        <v>0</v>
      </c>
      <c r="E10" s="4">
        <f>Europe!C10</f>
        <v>0</v>
      </c>
      <c r="F10" s="4">
        <f>Europe!D10</f>
        <v>0</v>
      </c>
      <c r="G10" s="6">
        <f>'FA Cup'!C10</f>
        <v>0</v>
      </c>
      <c r="H10" s="6">
        <f>'FA Cup'!D10</f>
        <v>0</v>
      </c>
      <c r="I10" s="4">
        <f>'League Cup'!C10</f>
        <v>0</v>
      </c>
      <c r="J10" s="4">
        <f>'League Cup'!D10</f>
        <v>0</v>
      </c>
      <c r="K10" s="6">
        <f>'Other (CS)'!C9</f>
        <v>1</v>
      </c>
      <c r="L10" s="6">
        <f>'Other (CS)'!D9</f>
        <v>0</v>
      </c>
      <c r="M10" s="2">
        <f t="shared" si="0"/>
        <v>1</v>
      </c>
      <c r="N10" s="2">
        <f t="shared" si="0"/>
        <v>0</v>
      </c>
      <c r="P10" s="66"/>
    </row>
    <row r="11" spans="1:16" x14ac:dyDescent="0.25">
      <c r="A11" s="27">
        <v>8</v>
      </c>
      <c r="B11" s="38" t="s">
        <v>227</v>
      </c>
      <c r="C11" s="6">
        <f>'Premier League'!C11</f>
        <v>0</v>
      </c>
      <c r="D11" s="6">
        <f>'Premier League'!D11</f>
        <v>0</v>
      </c>
      <c r="E11" s="4">
        <f>Europe!C11</f>
        <v>0</v>
      </c>
      <c r="F11" s="4">
        <f>Europe!D11</f>
        <v>0</v>
      </c>
      <c r="G11" s="6">
        <f>'FA Cup'!C11</f>
        <v>0</v>
      </c>
      <c r="H11" s="6">
        <f>'FA Cup'!D11</f>
        <v>0</v>
      </c>
      <c r="I11" s="4">
        <f>'League Cup'!C11</f>
        <v>0</v>
      </c>
      <c r="J11" s="4">
        <f>'League Cup'!D11</f>
        <v>0</v>
      </c>
      <c r="K11" s="6">
        <f>'Other (CS)'!C10</f>
        <v>1</v>
      </c>
      <c r="L11" s="6">
        <f>'Other (CS)'!D10</f>
        <v>1</v>
      </c>
      <c r="M11" s="2">
        <f t="shared" si="0"/>
        <v>1</v>
      </c>
      <c r="N11" s="2">
        <f t="shared" si="0"/>
        <v>1</v>
      </c>
      <c r="P11" s="66"/>
    </row>
    <row r="12" spans="1:16" x14ac:dyDescent="0.25">
      <c r="A12" s="27">
        <v>9</v>
      </c>
      <c r="B12" s="38" t="s">
        <v>268</v>
      </c>
      <c r="C12" s="6">
        <f>'Premier League'!C12</f>
        <v>0</v>
      </c>
      <c r="D12" s="6">
        <f>'Premier League'!D12</f>
        <v>0</v>
      </c>
      <c r="E12" s="4">
        <f>Europe!C12</f>
        <v>0</v>
      </c>
      <c r="F12" s="4">
        <f>Europe!D12</f>
        <v>0</v>
      </c>
      <c r="G12" s="6">
        <f>'FA Cup'!C12</f>
        <v>0</v>
      </c>
      <c r="H12" s="6">
        <f>'FA Cup'!D12</f>
        <v>0</v>
      </c>
      <c r="I12" s="4">
        <f>'League Cup'!C12</f>
        <v>0</v>
      </c>
      <c r="J12" s="4">
        <f>'League Cup'!D12</f>
        <v>0</v>
      </c>
      <c r="K12" s="6">
        <f>'Other (CS)'!C11</f>
        <v>0</v>
      </c>
      <c r="L12" s="6">
        <f>'Other (CS)'!D11</f>
        <v>0</v>
      </c>
      <c r="M12" s="2">
        <f t="shared" si="0"/>
        <v>0</v>
      </c>
      <c r="N12" s="2">
        <f t="shared" si="0"/>
        <v>0</v>
      </c>
      <c r="P12" s="66"/>
    </row>
    <row r="13" spans="1:16" x14ac:dyDescent="0.25">
      <c r="A13" s="27">
        <v>10</v>
      </c>
      <c r="B13" s="38" t="s">
        <v>329</v>
      </c>
      <c r="C13" s="6">
        <f>'Premier League'!C13</f>
        <v>0</v>
      </c>
      <c r="D13" s="6">
        <f>'Premier League'!D13</f>
        <v>0</v>
      </c>
      <c r="E13" s="4">
        <f>Europe!C13</f>
        <v>0</v>
      </c>
      <c r="F13" s="4">
        <f>Europe!D13</f>
        <v>0</v>
      </c>
      <c r="G13" s="6">
        <f>'FA Cup'!C13</f>
        <v>0</v>
      </c>
      <c r="H13" s="6">
        <f>'FA Cup'!D13</f>
        <v>0</v>
      </c>
      <c r="I13" s="4">
        <f>'League Cup'!C13</f>
        <v>0</v>
      </c>
      <c r="J13" s="4">
        <f>'League Cup'!D13</f>
        <v>0</v>
      </c>
      <c r="K13" s="6">
        <f>'Other (CS)'!C12</f>
        <v>1</v>
      </c>
      <c r="L13" s="6">
        <f>'Other (CS)'!D12</f>
        <v>0</v>
      </c>
      <c r="M13" s="2">
        <f t="shared" si="0"/>
        <v>1</v>
      </c>
      <c r="N13" s="2">
        <f t="shared" si="0"/>
        <v>0</v>
      </c>
      <c r="P13" s="66"/>
    </row>
    <row r="14" spans="1:16" x14ac:dyDescent="0.25">
      <c r="A14" s="27">
        <v>11</v>
      </c>
      <c r="B14" s="36" t="s">
        <v>196</v>
      </c>
      <c r="C14" s="6">
        <f>'Premier League'!C14</f>
        <v>0</v>
      </c>
      <c r="D14" s="6">
        <f>'Premier League'!D14</f>
        <v>0</v>
      </c>
      <c r="E14" s="4">
        <f>Europe!C14</f>
        <v>0</v>
      </c>
      <c r="F14" s="4">
        <f>Europe!D14</f>
        <v>0</v>
      </c>
      <c r="G14" s="6">
        <f>'FA Cup'!C14</f>
        <v>0</v>
      </c>
      <c r="H14" s="6">
        <f>'FA Cup'!D14</f>
        <v>0</v>
      </c>
      <c r="I14" s="4">
        <f>'League Cup'!C14</f>
        <v>0</v>
      </c>
      <c r="J14" s="4">
        <f>'League Cup'!D14</f>
        <v>0</v>
      </c>
      <c r="K14" s="6">
        <f>'Other (CS)'!C13</f>
        <v>0</v>
      </c>
      <c r="L14" s="6">
        <f>'Other (CS)'!D13</f>
        <v>0</v>
      </c>
      <c r="M14" s="2">
        <f t="shared" si="0"/>
        <v>0</v>
      </c>
      <c r="N14" s="2">
        <f t="shared" si="0"/>
        <v>0</v>
      </c>
      <c r="P14" s="66"/>
    </row>
    <row r="15" spans="1:16" x14ac:dyDescent="0.25">
      <c r="A15" s="27">
        <v>12</v>
      </c>
      <c r="B15" s="36" t="s">
        <v>285</v>
      </c>
      <c r="C15" s="6">
        <f>'Premier League'!C15</f>
        <v>0</v>
      </c>
      <c r="D15" s="6">
        <f>'Premier League'!D15</f>
        <v>0</v>
      </c>
      <c r="E15" s="4">
        <f>Europe!C15</f>
        <v>0</v>
      </c>
      <c r="F15" s="4">
        <f>Europe!D15</f>
        <v>0</v>
      </c>
      <c r="G15" s="6">
        <f>'FA Cup'!C15</f>
        <v>0</v>
      </c>
      <c r="H15" s="6">
        <f>'FA Cup'!D15</f>
        <v>0</v>
      </c>
      <c r="I15" s="4">
        <f>'League Cup'!C15</f>
        <v>0</v>
      </c>
      <c r="J15" s="4">
        <f>'League Cup'!D15</f>
        <v>0</v>
      </c>
      <c r="K15" s="6">
        <f>'Other (CS)'!C14</f>
        <v>0</v>
      </c>
      <c r="L15" s="6">
        <f>'Other (CS)'!D14</f>
        <v>0</v>
      </c>
      <c r="M15" s="2">
        <f t="shared" si="0"/>
        <v>0</v>
      </c>
      <c r="N15" s="2">
        <f t="shared" si="0"/>
        <v>0</v>
      </c>
      <c r="P15" s="66"/>
    </row>
    <row r="16" spans="1:16" x14ac:dyDescent="0.25">
      <c r="A16" s="27">
        <v>13</v>
      </c>
      <c r="B16" s="181" t="s">
        <v>322</v>
      </c>
      <c r="C16" s="6">
        <f>'Premier League'!C16</f>
        <v>0</v>
      </c>
      <c r="D16" s="6">
        <f>'Premier League'!D16</f>
        <v>0</v>
      </c>
      <c r="E16" s="4">
        <f>Europe!C16</f>
        <v>0</v>
      </c>
      <c r="F16" s="4">
        <f>Europe!D16</f>
        <v>0</v>
      </c>
      <c r="G16" s="6">
        <f>'FA Cup'!C16</f>
        <v>0</v>
      </c>
      <c r="H16" s="6">
        <f>'FA Cup'!D16</f>
        <v>0</v>
      </c>
      <c r="I16" s="4">
        <f>'League Cup'!C16</f>
        <v>0</v>
      </c>
      <c r="J16" s="4">
        <f>'League Cup'!D16</f>
        <v>0</v>
      </c>
      <c r="K16" s="6">
        <f>'Other (CS)'!C15</f>
        <v>0</v>
      </c>
      <c r="L16" s="6">
        <f>'Other (CS)'!D15</f>
        <v>0</v>
      </c>
      <c r="M16" s="2">
        <f t="shared" si="0"/>
        <v>0</v>
      </c>
      <c r="N16" s="2">
        <f t="shared" si="0"/>
        <v>0</v>
      </c>
      <c r="P16" s="66"/>
    </row>
    <row r="17" spans="1:16" x14ac:dyDescent="0.25">
      <c r="A17" s="27">
        <v>14</v>
      </c>
      <c r="B17" s="181" t="s">
        <v>327</v>
      </c>
      <c r="C17" s="6">
        <f>'Premier League'!C17</f>
        <v>0</v>
      </c>
      <c r="D17" s="6">
        <f>'Premier League'!D17</f>
        <v>0</v>
      </c>
      <c r="E17" s="4">
        <f>Europe!C17</f>
        <v>0</v>
      </c>
      <c r="F17" s="4">
        <f>Europe!D17</f>
        <v>0</v>
      </c>
      <c r="G17" s="6">
        <f>'FA Cup'!C17</f>
        <v>0</v>
      </c>
      <c r="H17" s="6">
        <f>'FA Cup'!D17</f>
        <v>0</v>
      </c>
      <c r="I17" s="4">
        <f>'League Cup'!C17</f>
        <v>0</v>
      </c>
      <c r="J17" s="4">
        <f>'League Cup'!D17</f>
        <v>0</v>
      </c>
      <c r="K17" s="6">
        <f>'Other (CS)'!C16</f>
        <v>1</v>
      </c>
      <c r="L17" s="6">
        <f>'Other (CS)'!D16</f>
        <v>0</v>
      </c>
      <c r="M17" s="2">
        <f t="shared" si="0"/>
        <v>1</v>
      </c>
      <c r="N17" s="2">
        <f t="shared" si="0"/>
        <v>0</v>
      </c>
      <c r="P17" s="66"/>
    </row>
    <row r="18" spans="1:16" x14ac:dyDescent="0.25">
      <c r="A18" s="27">
        <v>17</v>
      </c>
      <c r="B18" s="180" t="s">
        <v>353</v>
      </c>
      <c r="C18" s="6">
        <f>'Premier League'!C18</f>
        <v>0</v>
      </c>
      <c r="D18" s="6">
        <f>'Premier League'!D18</f>
        <v>0</v>
      </c>
      <c r="E18" s="4">
        <f>Europe!C18</f>
        <v>0</v>
      </c>
      <c r="F18" s="4">
        <f>Europe!D18</f>
        <v>0</v>
      </c>
      <c r="G18" s="6">
        <f>'FA Cup'!C18</f>
        <v>0</v>
      </c>
      <c r="H18" s="6">
        <f>'FA Cup'!D18</f>
        <v>0</v>
      </c>
      <c r="I18" s="4">
        <f>'League Cup'!C18</f>
        <v>0</v>
      </c>
      <c r="J18" s="4">
        <f>'League Cup'!D18</f>
        <v>0</v>
      </c>
      <c r="K18" s="6">
        <f>'Other (CS)'!C17</f>
        <v>1</v>
      </c>
      <c r="L18" s="6">
        <f>'Other (CS)'!D17</f>
        <v>0</v>
      </c>
      <c r="M18" s="2">
        <f t="shared" ref="M18:M24" si="1">SUM(C18,E18,G18,I18,K18)</f>
        <v>1</v>
      </c>
      <c r="N18" s="2">
        <f t="shared" ref="N18:N24" si="2">SUM(D18,F18,H18,J18,L18)</f>
        <v>0</v>
      </c>
      <c r="P18" s="66"/>
    </row>
    <row r="19" spans="1:16" x14ac:dyDescent="0.25">
      <c r="A19" s="27">
        <v>20</v>
      </c>
      <c r="B19" s="180" t="s">
        <v>325</v>
      </c>
      <c r="C19" s="6">
        <f>'Premier League'!C19</f>
        <v>0</v>
      </c>
      <c r="D19" s="6">
        <f>'Premier League'!D19</f>
        <v>0</v>
      </c>
      <c r="E19" s="4">
        <f>Europe!C19</f>
        <v>0</v>
      </c>
      <c r="F19" s="4">
        <f>Europe!D19</f>
        <v>0</v>
      </c>
      <c r="G19" s="6">
        <f>'FA Cup'!C19</f>
        <v>0</v>
      </c>
      <c r="H19" s="6">
        <f>'FA Cup'!D19</f>
        <v>0</v>
      </c>
      <c r="I19" s="4">
        <f>'League Cup'!C19</f>
        <v>0</v>
      </c>
      <c r="J19" s="4">
        <f>'League Cup'!D19</f>
        <v>0</v>
      </c>
      <c r="K19" s="6">
        <f>'Other (CS)'!C18</f>
        <v>1</v>
      </c>
      <c r="L19" s="6">
        <f>'Other (CS)'!D18</f>
        <v>0</v>
      </c>
      <c r="M19" s="2">
        <f t="shared" si="1"/>
        <v>1</v>
      </c>
      <c r="N19" s="2">
        <f t="shared" si="2"/>
        <v>0</v>
      </c>
    </row>
    <row r="20" spans="1:16" x14ac:dyDescent="0.25">
      <c r="A20" s="28">
        <v>21</v>
      </c>
      <c r="B20" s="38" t="s">
        <v>267</v>
      </c>
      <c r="C20" s="6">
        <f>'Premier League'!C20</f>
        <v>0</v>
      </c>
      <c r="D20" s="6">
        <f>'Premier League'!D20</f>
        <v>0</v>
      </c>
      <c r="E20" s="4">
        <f>Europe!C20</f>
        <v>0</v>
      </c>
      <c r="F20" s="4">
        <f>Europe!D20</f>
        <v>0</v>
      </c>
      <c r="G20" s="6">
        <f>'FA Cup'!C20</f>
        <v>0</v>
      </c>
      <c r="H20" s="6">
        <f>'FA Cup'!D20</f>
        <v>0</v>
      </c>
      <c r="I20" s="4">
        <f>'League Cup'!C20</f>
        <v>0</v>
      </c>
      <c r="J20" s="4">
        <f>'League Cup'!D20</f>
        <v>0</v>
      </c>
      <c r="K20" s="6">
        <f>'Other (CS)'!C19</f>
        <v>0</v>
      </c>
      <c r="L20" s="6">
        <f>'Other (CS)'!D19</f>
        <v>0</v>
      </c>
      <c r="M20" s="2">
        <f t="shared" si="1"/>
        <v>0</v>
      </c>
      <c r="N20" s="2">
        <f t="shared" si="2"/>
        <v>0</v>
      </c>
      <c r="P20" s="66"/>
    </row>
    <row r="21" spans="1:16" x14ac:dyDescent="0.25">
      <c r="A21" s="28">
        <v>22</v>
      </c>
      <c r="B21" s="41" t="s">
        <v>272</v>
      </c>
      <c r="C21" s="6">
        <f>'Premier League'!C21</f>
        <v>0</v>
      </c>
      <c r="D21" s="6">
        <f>'Premier League'!D21</f>
        <v>0</v>
      </c>
      <c r="E21" s="4">
        <f>Europe!C21</f>
        <v>0</v>
      </c>
      <c r="F21" s="4">
        <f>Europe!D21</f>
        <v>0</v>
      </c>
      <c r="G21" s="6">
        <f>'FA Cup'!C21</f>
        <v>0</v>
      </c>
      <c r="H21" s="6">
        <f>'FA Cup'!D21</f>
        <v>0</v>
      </c>
      <c r="I21" s="4">
        <f>'League Cup'!C21</f>
        <v>0</v>
      </c>
      <c r="J21" s="4">
        <f>'League Cup'!D21</f>
        <v>0</v>
      </c>
      <c r="K21" s="6">
        <f>'Other (CS)'!C20</f>
        <v>0</v>
      </c>
      <c r="L21" s="6">
        <f>'Other (CS)'!D20</f>
        <v>0</v>
      </c>
      <c r="M21" s="2">
        <f t="shared" si="1"/>
        <v>0</v>
      </c>
      <c r="N21" s="2">
        <f t="shared" si="2"/>
        <v>0</v>
      </c>
    </row>
    <row r="22" spans="1:16" x14ac:dyDescent="0.25">
      <c r="A22" s="28">
        <v>23</v>
      </c>
      <c r="B22" s="38" t="s">
        <v>303</v>
      </c>
      <c r="C22" s="6">
        <f>'Premier League'!C22</f>
        <v>0</v>
      </c>
      <c r="D22" s="6">
        <f>'Premier League'!D22</f>
        <v>0</v>
      </c>
      <c r="E22" s="4">
        <f>Europe!C22</f>
        <v>0</v>
      </c>
      <c r="F22" s="4">
        <f>Europe!D22</f>
        <v>0</v>
      </c>
      <c r="G22" s="6">
        <f>'FA Cup'!C22</f>
        <v>0</v>
      </c>
      <c r="H22" s="6">
        <f>'FA Cup'!D22</f>
        <v>0</v>
      </c>
      <c r="I22" s="4">
        <f>'League Cup'!C22</f>
        <v>0</v>
      </c>
      <c r="J22" s="4">
        <f>'League Cup'!D22</f>
        <v>0</v>
      </c>
      <c r="K22" s="6">
        <f>'Other (CS)'!C21</f>
        <v>0</v>
      </c>
      <c r="L22" s="6">
        <f>'Other (CS)'!D21</f>
        <v>0</v>
      </c>
      <c r="M22" s="2">
        <f t="shared" si="1"/>
        <v>0</v>
      </c>
      <c r="N22" s="2">
        <f t="shared" si="2"/>
        <v>0</v>
      </c>
    </row>
    <row r="23" spans="1:16" x14ac:dyDescent="0.25">
      <c r="A23" s="28">
        <v>24</v>
      </c>
      <c r="B23" s="180" t="s">
        <v>121</v>
      </c>
      <c r="C23" s="6">
        <f>'Premier League'!C23</f>
        <v>0</v>
      </c>
      <c r="D23" s="6">
        <f>'Premier League'!D23</f>
        <v>0</v>
      </c>
      <c r="E23" s="4">
        <f>Europe!C23</f>
        <v>0</v>
      </c>
      <c r="F23" s="4">
        <f>Europe!D23</f>
        <v>0</v>
      </c>
      <c r="G23" s="6">
        <f>'FA Cup'!C23</f>
        <v>0</v>
      </c>
      <c r="H23" s="6">
        <f>'FA Cup'!D23</f>
        <v>0</v>
      </c>
      <c r="I23" s="4">
        <f>'League Cup'!C23</f>
        <v>0</v>
      </c>
      <c r="J23" s="4">
        <f>'League Cup'!D23</f>
        <v>0</v>
      </c>
      <c r="K23" s="6">
        <f>'Other (CS)'!C22</f>
        <v>0</v>
      </c>
      <c r="L23" s="6">
        <f>'Other (CS)'!D22</f>
        <v>0</v>
      </c>
      <c r="M23" s="2">
        <f t="shared" si="1"/>
        <v>0</v>
      </c>
      <c r="N23" s="2">
        <f t="shared" si="2"/>
        <v>0</v>
      </c>
      <c r="P23" s="66"/>
    </row>
    <row r="24" spans="1:16" x14ac:dyDescent="0.25">
      <c r="A24" s="28">
        <v>29</v>
      </c>
      <c r="B24" s="180" t="s">
        <v>284</v>
      </c>
      <c r="C24" s="6">
        <f>'Premier League'!C24</f>
        <v>0</v>
      </c>
      <c r="D24" s="6">
        <f>'Premier League'!D24</f>
        <v>0</v>
      </c>
      <c r="E24" s="4">
        <f>Europe!C24</f>
        <v>0</v>
      </c>
      <c r="F24" s="4">
        <f>Europe!D24</f>
        <v>0</v>
      </c>
      <c r="G24" s="6">
        <f>'FA Cup'!C24</f>
        <v>0</v>
      </c>
      <c r="H24" s="6">
        <f>'FA Cup'!D24</f>
        <v>0</v>
      </c>
      <c r="I24" s="4">
        <f>'League Cup'!C24</f>
        <v>0</v>
      </c>
      <c r="J24" s="4">
        <f>'League Cup'!D24</f>
        <v>0</v>
      </c>
      <c r="K24" s="6">
        <f>'Other (CS)'!C23</f>
        <v>1</v>
      </c>
      <c r="L24" s="6">
        <f>'Other (CS)'!D23</f>
        <v>1</v>
      </c>
      <c r="M24" s="2">
        <f t="shared" si="1"/>
        <v>1</v>
      </c>
      <c r="N24" s="2">
        <f t="shared" si="2"/>
        <v>1</v>
      </c>
      <c r="P24" s="66"/>
    </row>
    <row r="25" spans="1:16" x14ac:dyDescent="0.25">
      <c r="A25" s="28">
        <v>30</v>
      </c>
      <c r="B25" s="180" t="s">
        <v>354</v>
      </c>
      <c r="C25" s="6">
        <f>'Premier League'!C25</f>
        <v>0</v>
      </c>
      <c r="D25" s="6">
        <f>'Premier League'!D25</f>
        <v>0</v>
      </c>
      <c r="E25" s="4">
        <f>Europe!C25</f>
        <v>0</v>
      </c>
      <c r="F25" s="4">
        <f>Europe!D25</f>
        <v>0</v>
      </c>
      <c r="G25" s="6">
        <f>'FA Cup'!C25</f>
        <v>0</v>
      </c>
      <c r="H25" s="6">
        <f>'FA Cup'!D25</f>
        <v>0</v>
      </c>
      <c r="I25" s="4">
        <f>'League Cup'!C25</f>
        <v>0</v>
      </c>
      <c r="J25" s="4">
        <f>'League Cup'!D25</f>
        <v>0</v>
      </c>
      <c r="K25" s="6">
        <f>'Other (CS)'!C24</f>
        <v>0</v>
      </c>
      <c r="L25" s="6">
        <f>'Other (CS)'!D24</f>
        <v>0</v>
      </c>
      <c r="M25" s="2">
        <f t="shared" ref="M25:M28" si="3">SUM(C25,E25,G25,I25,K25)</f>
        <v>0</v>
      </c>
      <c r="N25" s="2">
        <f t="shared" ref="N25:N28" si="4">SUM(D25,F25,H25,J25,L25)</f>
        <v>0</v>
      </c>
      <c r="P25" s="66"/>
    </row>
    <row r="26" spans="1:16" x14ac:dyDescent="0.25">
      <c r="A26" s="28">
        <v>33</v>
      </c>
      <c r="B26" s="180" t="s">
        <v>301</v>
      </c>
      <c r="C26" s="6">
        <f>'Premier League'!C26</f>
        <v>0</v>
      </c>
      <c r="D26" s="6">
        <f>'Premier League'!D26</f>
        <v>0</v>
      </c>
      <c r="E26" s="4">
        <f>Europe!C26</f>
        <v>0</v>
      </c>
      <c r="F26" s="4">
        <f>Europe!D26</f>
        <v>0</v>
      </c>
      <c r="G26" s="6">
        <f>'FA Cup'!C26</f>
        <v>0</v>
      </c>
      <c r="H26" s="6">
        <f>'FA Cup'!D26</f>
        <v>0</v>
      </c>
      <c r="I26" s="4">
        <f>'League Cup'!C26</f>
        <v>0</v>
      </c>
      <c r="J26" s="4">
        <f>'League Cup'!D26</f>
        <v>0</v>
      </c>
      <c r="K26" s="6">
        <f>'Other (CS)'!C25</f>
        <v>1</v>
      </c>
      <c r="L26" s="6">
        <f>'Other (CS)'!D25</f>
        <v>1</v>
      </c>
      <c r="M26" s="2">
        <f t="shared" si="3"/>
        <v>1</v>
      </c>
      <c r="N26" s="2">
        <f t="shared" si="4"/>
        <v>1</v>
      </c>
      <c r="P26" s="66"/>
    </row>
    <row r="27" spans="1:16" x14ac:dyDescent="0.25">
      <c r="A27" s="27">
        <v>35</v>
      </c>
      <c r="B27" s="180" t="s">
        <v>313</v>
      </c>
      <c r="C27" s="6">
        <f>'Premier League'!C27</f>
        <v>0</v>
      </c>
      <c r="D27" s="6">
        <f>'Premier League'!D27</f>
        <v>0</v>
      </c>
      <c r="E27" s="4">
        <f>Europe!C27</f>
        <v>0</v>
      </c>
      <c r="F27" s="4">
        <f>Europe!D27</f>
        <v>0</v>
      </c>
      <c r="G27" s="6">
        <f>'FA Cup'!C27</f>
        <v>0</v>
      </c>
      <c r="H27" s="6">
        <f>'FA Cup'!D27</f>
        <v>0</v>
      </c>
      <c r="I27" s="4">
        <f>'League Cup'!C27</f>
        <v>0</v>
      </c>
      <c r="J27" s="4">
        <f>'League Cup'!D27</f>
        <v>0</v>
      </c>
      <c r="K27" s="6">
        <f>'Other (CS)'!C26</f>
        <v>0</v>
      </c>
      <c r="L27" s="6">
        <f>'Other (CS)'!D26</f>
        <v>0</v>
      </c>
      <c r="M27" s="2">
        <f t="shared" si="3"/>
        <v>0</v>
      </c>
      <c r="N27" s="2">
        <f t="shared" si="4"/>
        <v>0</v>
      </c>
      <c r="P27" s="66"/>
    </row>
    <row r="28" spans="1:16" x14ac:dyDescent="0.25">
      <c r="A28" s="27">
        <v>36</v>
      </c>
      <c r="B28" s="180" t="s">
        <v>323</v>
      </c>
      <c r="C28" s="6">
        <f>'Premier League'!C28</f>
        <v>0</v>
      </c>
      <c r="D28" s="6">
        <f>'Premier League'!D28</f>
        <v>0</v>
      </c>
      <c r="E28" s="4">
        <f>Europe!C28</f>
        <v>0</v>
      </c>
      <c r="F28" s="4">
        <f>Europe!D28</f>
        <v>0</v>
      </c>
      <c r="G28" s="6">
        <f>'FA Cup'!C28</f>
        <v>0</v>
      </c>
      <c r="H28" s="6">
        <f>'FA Cup'!D28</f>
        <v>0</v>
      </c>
      <c r="I28" s="4">
        <f>'League Cup'!C28</f>
        <v>0</v>
      </c>
      <c r="J28" s="4">
        <f>'League Cup'!D28</f>
        <v>0</v>
      </c>
      <c r="K28" s="6">
        <f>'Other (CS)'!C27</f>
        <v>1</v>
      </c>
      <c r="L28" s="6">
        <f>'Other (CS)'!D27</f>
        <v>0</v>
      </c>
      <c r="M28" s="2">
        <f t="shared" si="3"/>
        <v>1</v>
      </c>
      <c r="N28" s="2">
        <f t="shared" si="4"/>
        <v>0</v>
      </c>
      <c r="P28" s="66"/>
    </row>
    <row r="29" spans="1:16" x14ac:dyDescent="0.25">
      <c r="A29" s="27">
        <v>39</v>
      </c>
      <c r="B29" s="180" t="s">
        <v>355</v>
      </c>
      <c r="C29" s="6">
        <f>'Premier League'!C29</f>
        <v>0</v>
      </c>
      <c r="D29" s="6">
        <f>'Premier League'!D29</f>
        <v>0</v>
      </c>
      <c r="E29" s="4">
        <f>Europe!C29</f>
        <v>0</v>
      </c>
      <c r="F29" s="4">
        <f>Europe!D29</f>
        <v>0</v>
      </c>
      <c r="G29" s="6">
        <f>'FA Cup'!C29</f>
        <v>0</v>
      </c>
      <c r="H29" s="6">
        <f>'FA Cup'!D29</f>
        <v>0</v>
      </c>
      <c r="I29" s="4">
        <f>'League Cup'!C29</f>
        <v>0</v>
      </c>
      <c r="J29" s="4">
        <f>'League Cup'!D29</f>
        <v>0</v>
      </c>
      <c r="K29" s="6">
        <f>'Other (CS)'!C28</f>
        <v>1</v>
      </c>
      <c r="L29" s="6">
        <f>'Other (CS)'!D28</f>
        <v>0</v>
      </c>
      <c r="M29" s="2">
        <f t="shared" ref="M29:M40" si="5">SUM(C29,E29,G29,I29,K29)</f>
        <v>1</v>
      </c>
      <c r="N29" s="2">
        <f t="shared" ref="N29:N40" si="6">SUM(D29,F29,H29,J29,L29)</f>
        <v>0</v>
      </c>
      <c r="P29" s="66"/>
    </row>
    <row r="30" spans="1:16" x14ac:dyDescent="0.25">
      <c r="A30" s="27">
        <v>41</v>
      </c>
      <c r="B30" s="36" t="s">
        <v>286</v>
      </c>
      <c r="C30" s="6">
        <f>'Premier League'!C30</f>
        <v>0</v>
      </c>
      <c r="D30" s="6">
        <f>'Premier League'!D30</f>
        <v>0</v>
      </c>
      <c r="E30" s="4">
        <f>Europe!C30</f>
        <v>0</v>
      </c>
      <c r="F30" s="4">
        <f>Europe!D30</f>
        <v>0</v>
      </c>
      <c r="G30" s="6">
        <f>'FA Cup'!C30</f>
        <v>0</v>
      </c>
      <c r="H30" s="6">
        <f>'FA Cup'!D30</f>
        <v>0</v>
      </c>
      <c r="I30" s="4">
        <f>'League Cup'!C30</f>
        <v>0</v>
      </c>
      <c r="J30" s="4">
        <f>'League Cup'!D30</f>
        <v>0</v>
      </c>
      <c r="K30" s="6">
        <f>'Other (CS)'!C29</f>
        <v>1</v>
      </c>
      <c r="L30" s="6">
        <f>'Other (CS)'!D29</f>
        <v>0</v>
      </c>
      <c r="M30" s="2">
        <f t="shared" si="5"/>
        <v>1</v>
      </c>
      <c r="N30" s="2">
        <f t="shared" si="6"/>
        <v>0</v>
      </c>
      <c r="P30" s="66"/>
    </row>
    <row r="31" spans="1:16" x14ac:dyDescent="0.25">
      <c r="A31" s="27">
        <v>46</v>
      </c>
      <c r="B31" s="35" t="s">
        <v>308</v>
      </c>
      <c r="C31" s="6">
        <f>'Premier League'!C31</f>
        <v>0</v>
      </c>
      <c r="D31" s="6">
        <f>'Premier League'!D31</f>
        <v>0</v>
      </c>
      <c r="E31" s="4">
        <f>Europe!C31</f>
        <v>0</v>
      </c>
      <c r="F31" s="4">
        <f>Europe!D31</f>
        <v>0</v>
      </c>
      <c r="G31" s="6">
        <f>'FA Cup'!C31</f>
        <v>0</v>
      </c>
      <c r="H31" s="6">
        <f>'FA Cup'!D31</f>
        <v>0</v>
      </c>
      <c r="I31" s="4">
        <f>'League Cup'!C31</f>
        <v>0</v>
      </c>
      <c r="J31" s="4">
        <f>'League Cup'!D31</f>
        <v>0</v>
      </c>
      <c r="K31" s="6">
        <f>'Other (CS)'!C30</f>
        <v>0</v>
      </c>
      <c r="L31" s="6">
        <f>'Other (CS)'!D30</f>
        <v>0</v>
      </c>
      <c r="M31" s="2">
        <f t="shared" si="5"/>
        <v>0</v>
      </c>
      <c r="N31" s="2">
        <f t="shared" si="6"/>
        <v>0</v>
      </c>
      <c r="P31" s="66"/>
    </row>
    <row r="32" spans="1:16" x14ac:dyDescent="0.25">
      <c r="A32" s="28">
        <v>49</v>
      </c>
      <c r="B32" s="36" t="s">
        <v>307</v>
      </c>
      <c r="C32" s="6">
        <f>'Premier League'!C32</f>
        <v>0</v>
      </c>
      <c r="D32" s="6">
        <f>'Premier League'!D32</f>
        <v>0</v>
      </c>
      <c r="E32" s="4">
        <f>Europe!C32</f>
        <v>0</v>
      </c>
      <c r="F32" s="4">
        <f>Europe!D32</f>
        <v>0</v>
      </c>
      <c r="G32" s="6">
        <f>'FA Cup'!C32</f>
        <v>0</v>
      </c>
      <c r="H32" s="6">
        <f>'FA Cup'!D32</f>
        <v>0</v>
      </c>
      <c r="I32" s="4">
        <f>'League Cup'!C32</f>
        <v>0</v>
      </c>
      <c r="J32" s="4">
        <f>'League Cup'!D32</f>
        <v>0</v>
      </c>
      <c r="K32" s="6">
        <f>'Other (CS)'!C31</f>
        <v>1</v>
      </c>
      <c r="L32" s="6">
        <f>'Other (CS)'!D31</f>
        <v>0</v>
      </c>
      <c r="M32" s="2">
        <f t="shared" si="5"/>
        <v>1</v>
      </c>
      <c r="N32" s="2">
        <f t="shared" si="6"/>
        <v>0</v>
      </c>
    </row>
    <row r="33" spans="1:14" x14ac:dyDescent="0.25">
      <c r="A33" s="27">
        <v>52</v>
      </c>
      <c r="B33" s="181" t="s">
        <v>351</v>
      </c>
      <c r="C33" s="6">
        <f>'Premier League'!C33</f>
        <v>0</v>
      </c>
      <c r="D33" s="6">
        <f>'Premier League'!D33</f>
        <v>0</v>
      </c>
      <c r="E33" s="4">
        <f>Europe!C33</f>
        <v>0</v>
      </c>
      <c r="F33" s="4">
        <f>Europe!D33</f>
        <v>0</v>
      </c>
      <c r="G33" s="6">
        <f>'FA Cup'!C33</f>
        <v>0</v>
      </c>
      <c r="H33" s="6">
        <f>'FA Cup'!D33</f>
        <v>0</v>
      </c>
      <c r="I33" s="4">
        <f>'League Cup'!C33</f>
        <v>0</v>
      </c>
      <c r="J33" s="4">
        <f>'League Cup'!D33</f>
        <v>0</v>
      </c>
      <c r="K33" s="6">
        <f>'Other (CS)'!C32</f>
        <v>0</v>
      </c>
      <c r="L33" s="6">
        <f>'Other (CS)'!D32</f>
        <v>0</v>
      </c>
      <c r="M33" s="2">
        <f t="shared" si="5"/>
        <v>0</v>
      </c>
      <c r="N33" s="2">
        <f t="shared" si="6"/>
        <v>0</v>
      </c>
    </row>
    <row r="34" spans="1:14" x14ac:dyDescent="0.25">
      <c r="A34" s="28">
        <v>53</v>
      </c>
      <c r="B34" s="180" t="s">
        <v>302</v>
      </c>
      <c r="C34" s="6">
        <f>'Premier League'!C34</f>
        <v>0</v>
      </c>
      <c r="D34" s="6">
        <f>'Premier League'!D34</f>
        <v>0</v>
      </c>
      <c r="E34" s="4">
        <f>Europe!C34</f>
        <v>0</v>
      </c>
      <c r="F34" s="4">
        <f>Europe!D34</f>
        <v>0</v>
      </c>
      <c r="G34" s="6">
        <f>'FA Cup'!C34</f>
        <v>0</v>
      </c>
      <c r="H34" s="6">
        <f>'FA Cup'!D34</f>
        <v>0</v>
      </c>
      <c r="I34" s="4">
        <f>'League Cup'!C34</f>
        <v>0</v>
      </c>
      <c r="J34" s="4">
        <f>'League Cup'!D34</f>
        <v>0</v>
      </c>
      <c r="K34" s="6">
        <f>'Other (CS)'!C33</f>
        <v>0</v>
      </c>
      <c r="L34" s="6">
        <f>'Other (CS)'!D33</f>
        <v>0</v>
      </c>
      <c r="M34" s="2">
        <f t="shared" si="5"/>
        <v>0</v>
      </c>
      <c r="N34" s="2">
        <f t="shared" si="6"/>
        <v>0</v>
      </c>
    </row>
    <row r="35" spans="1:14" x14ac:dyDescent="0.25">
      <c r="A35" s="28">
        <v>56</v>
      </c>
      <c r="B35" s="181" t="s">
        <v>332</v>
      </c>
      <c r="C35" s="6">
        <f>'Premier League'!C35</f>
        <v>0</v>
      </c>
      <c r="D35" s="6">
        <f>'Premier League'!D35</f>
        <v>0</v>
      </c>
      <c r="E35" s="4">
        <f>Europe!C35</f>
        <v>0</v>
      </c>
      <c r="F35" s="4">
        <f>Europe!D35</f>
        <v>0</v>
      </c>
      <c r="G35" s="6">
        <f>'FA Cup'!C35</f>
        <v>0</v>
      </c>
      <c r="H35" s="6">
        <f>'FA Cup'!D35</f>
        <v>0</v>
      </c>
      <c r="I35" s="4">
        <f>'League Cup'!C35</f>
        <v>0</v>
      </c>
      <c r="J35" s="4">
        <f>'League Cup'!D35</f>
        <v>0</v>
      </c>
      <c r="K35" s="6">
        <f>'Other (CS)'!C34</f>
        <v>0</v>
      </c>
      <c r="L35" s="6">
        <f>'Other (CS)'!D34</f>
        <v>0</v>
      </c>
      <c r="M35" s="2">
        <f t="shared" si="5"/>
        <v>0</v>
      </c>
      <c r="N35" s="2">
        <f t="shared" si="6"/>
        <v>0</v>
      </c>
    </row>
    <row r="36" spans="1:14" x14ac:dyDescent="0.25">
      <c r="A36" s="28">
        <v>71</v>
      </c>
      <c r="B36" s="180" t="s">
        <v>337</v>
      </c>
      <c r="C36" s="6">
        <f>'Premier League'!C36</f>
        <v>0</v>
      </c>
      <c r="D36" s="6">
        <f>'Premier League'!D36</f>
        <v>0</v>
      </c>
      <c r="E36" s="4">
        <f>Europe!C36</f>
        <v>0</v>
      </c>
      <c r="F36" s="4">
        <f>Europe!D36</f>
        <v>0</v>
      </c>
      <c r="G36" s="6">
        <f>'FA Cup'!C36</f>
        <v>0</v>
      </c>
      <c r="H36" s="6">
        <f>'FA Cup'!D36</f>
        <v>0</v>
      </c>
      <c r="I36" s="4">
        <f>'League Cup'!C36</f>
        <v>0</v>
      </c>
      <c r="J36" s="4">
        <f>'League Cup'!D36</f>
        <v>0</v>
      </c>
      <c r="K36" s="6">
        <f>'Other (CS)'!C35</f>
        <v>0</v>
      </c>
      <c r="L36" s="6">
        <f>'Other (CS)'!D35</f>
        <v>0</v>
      </c>
      <c r="M36" s="2">
        <f t="shared" si="5"/>
        <v>0</v>
      </c>
      <c r="N36" s="2">
        <f t="shared" si="6"/>
        <v>0</v>
      </c>
    </row>
    <row r="37" spans="1:14" x14ac:dyDescent="0.25">
      <c r="A37" s="28">
        <v>72</v>
      </c>
      <c r="B37" s="180" t="s">
        <v>348</v>
      </c>
      <c r="C37" s="6">
        <f>'Premier League'!C37</f>
        <v>0</v>
      </c>
      <c r="D37" s="6">
        <f>'Premier League'!D37</f>
        <v>0</v>
      </c>
      <c r="E37" s="4">
        <f>Europe!C37</f>
        <v>0</v>
      </c>
      <c r="F37" s="4">
        <f>Europe!D37</f>
        <v>0</v>
      </c>
      <c r="G37" s="6">
        <f>'FA Cup'!C37</f>
        <v>0</v>
      </c>
      <c r="H37" s="6">
        <f>'FA Cup'!D37</f>
        <v>0</v>
      </c>
      <c r="I37" s="4">
        <f>'League Cup'!C37</f>
        <v>0</v>
      </c>
      <c r="J37" s="4">
        <f>'League Cup'!D37</f>
        <v>0</v>
      </c>
      <c r="K37" s="6">
        <f>'Other (CS)'!C36</f>
        <v>0</v>
      </c>
      <c r="L37" s="6">
        <f>'Other (CS)'!D36</f>
        <v>0</v>
      </c>
      <c r="M37" s="2">
        <f t="shared" si="5"/>
        <v>0</v>
      </c>
      <c r="N37" s="2">
        <f t="shared" si="6"/>
        <v>0</v>
      </c>
    </row>
    <row r="38" spans="1:14" x14ac:dyDescent="0.25">
      <c r="A38" s="28">
        <v>81</v>
      </c>
      <c r="B38" s="180" t="s">
        <v>349</v>
      </c>
      <c r="C38" s="6">
        <f>'Premier League'!C38</f>
        <v>0</v>
      </c>
      <c r="D38" s="6">
        <f>'Premier League'!D38</f>
        <v>0</v>
      </c>
      <c r="E38" s="4">
        <f>Europe!C38</f>
        <v>0</v>
      </c>
      <c r="F38" s="4">
        <f>Europe!D38</f>
        <v>0</v>
      </c>
      <c r="G38" s="6">
        <f>'FA Cup'!C38</f>
        <v>0</v>
      </c>
      <c r="H38" s="6">
        <f>'FA Cup'!D38</f>
        <v>0</v>
      </c>
      <c r="I38" s="4">
        <f>'League Cup'!C38</f>
        <v>0</v>
      </c>
      <c r="J38" s="4">
        <f>'League Cup'!D38</f>
        <v>0</v>
      </c>
      <c r="K38" s="6">
        <f>'Other (CS)'!C37</f>
        <v>0</v>
      </c>
      <c r="L38" s="6">
        <f>'Other (CS)'!D37</f>
        <v>0</v>
      </c>
      <c r="M38" s="2">
        <f t="shared" si="5"/>
        <v>0</v>
      </c>
      <c r="N38" s="2">
        <f t="shared" si="6"/>
        <v>0</v>
      </c>
    </row>
    <row r="39" spans="1:14" x14ac:dyDescent="0.25">
      <c r="A39" s="28">
        <v>89</v>
      </c>
      <c r="B39" s="180" t="s">
        <v>343</v>
      </c>
      <c r="C39" s="6">
        <f>'Premier League'!C39</f>
        <v>0</v>
      </c>
      <c r="D39" s="6">
        <f>'Premier League'!D39</f>
        <v>0</v>
      </c>
      <c r="E39" s="4">
        <f>Europe!C39</f>
        <v>0</v>
      </c>
      <c r="F39" s="4">
        <f>Europe!D39</f>
        <v>0</v>
      </c>
      <c r="G39" s="6">
        <f>'FA Cup'!C39</f>
        <v>0</v>
      </c>
      <c r="H39" s="6">
        <f>'FA Cup'!D39</f>
        <v>0</v>
      </c>
      <c r="I39" s="4">
        <f>'League Cup'!C39</f>
        <v>0</v>
      </c>
      <c r="J39" s="4">
        <f>'League Cup'!D39</f>
        <v>0</v>
      </c>
      <c r="K39" s="6">
        <f>'Other (CS)'!C38</f>
        <v>0</v>
      </c>
      <c r="L39" s="6">
        <f>'Other (CS)'!D38</f>
        <v>0</v>
      </c>
      <c r="M39" s="2">
        <f t="shared" si="5"/>
        <v>0</v>
      </c>
      <c r="N39" s="2">
        <f t="shared" si="6"/>
        <v>0</v>
      </c>
    </row>
    <row r="40" spans="1:14" x14ac:dyDescent="0.25">
      <c r="A40" s="28">
        <v>92</v>
      </c>
      <c r="B40" s="38" t="s">
        <v>311</v>
      </c>
      <c r="C40" s="6">
        <f>'Premier League'!C40</f>
        <v>0</v>
      </c>
      <c r="D40" s="6">
        <f>'Premier League'!D40</f>
        <v>0</v>
      </c>
      <c r="E40" s="4">
        <f>Europe!C40</f>
        <v>0</v>
      </c>
      <c r="F40" s="4">
        <f>Europe!D40</f>
        <v>0</v>
      </c>
      <c r="G40" s="6">
        <f>'FA Cup'!C40</f>
        <v>0</v>
      </c>
      <c r="H40" s="6">
        <f>'FA Cup'!D40</f>
        <v>0</v>
      </c>
      <c r="I40" s="4">
        <f>'League Cup'!C40</f>
        <v>0</v>
      </c>
      <c r="J40" s="4">
        <f>'League Cup'!D40</f>
        <v>0</v>
      </c>
      <c r="K40" s="6">
        <f>'Other (CS)'!C39</f>
        <v>0</v>
      </c>
      <c r="L40" s="6">
        <f>'Other (CS)'!D39</f>
        <v>0</v>
      </c>
      <c r="M40" s="2">
        <f t="shared" si="5"/>
        <v>0</v>
      </c>
      <c r="N40" s="2">
        <f t="shared" si="6"/>
        <v>0</v>
      </c>
    </row>
  </sheetData>
  <autoFilter ref="A3:N20" xr:uid="{00000000-0009-0000-0000-000002000000}">
    <sortState xmlns:xlrd2="http://schemas.microsoft.com/office/spreadsheetml/2017/richdata2" ref="A4:N22">
      <sortCondition ref="A3:A20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Q326"/>
  <sheetViews>
    <sheetView zoomScale="80" zoomScaleNormal="80" zoomScalePageLayoutView="90" workbookViewId="0">
      <selection activeCell="B101" sqref="B101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16" width="8.85546875" customWidth="1"/>
  </cols>
  <sheetData>
    <row r="1" spans="1:17" x14ac:dyDescent="0.25">
      <c r="A1" s="3"/>
      <c r="B1" s="3"/>
      <c r="C1" s="3"/>
      <c r="D1" s="5"/>
      <c r="E1" s="203" t="s">
        <v>4</v>
      </c>
      <c r="F1" s="203"/>
      <c r="G1" s="205" t="s">
        <v>126</v>
      </c>
      <c r="H1" s="205"/>
      <c r="I1" s="203" t="s">
        <v>114</v>
      </c>
      <c r="J1" s="203"/>
      <c r="K1" s="205" t="s">
        <v>116</v>
      </c>
      <c r="L1" s="205"/>
      <c r="M1" s="203" t="s">
        <v>40</v>
      </c>
      <c r="N1" s="208"/>
      <c r="O1" s="202" t="s">
        <v>7</v>
      </c>
      <c r="P1" s="202"/>
    </row>
    <row r="2" spans="1:17" x14ac:dyDescent="0.25">
      <c r="A2" s="3" t="s">
        <v>49</v>
      </c>
      <c r="B2" s="3"/>
      <c r="C2" s="3"/>
      <c r="D2" s="5" t="s">
        <v>1</v>
      </c>
      <c r="E2" s="5" t="s">
        <v>2</v>
      </c>
      <c r="F2" s="5" t="s">
        <v>3</v>
      </c>
      <c r="G2" s="3" t="s">
        <v>2</v>
      </c>
      <c r="H2" s="3" t="s">
        <v>3</v>
      </c>
      <c r="I2" s="5" t="s">
        <v>5</v>
      </c>
      <c r="J2" s="5" t="s">
        <v>3</v>
      </c>
      <c r="K2" s="3" t="s">
        <v>2</v>
      </c>
      <c r="L2" s="3" t="s">
        <v>3</v>
      </c>
      <c r="M2" s="5" t="s">
        <v>2</v>
      </c>
      <c r="N2" s="17" t="s">
        <v>3</v>
      </c>
      <c r="O2" s="8" t="s">
        <v>2</v>
      </c>
      <c r="P2" s="8" t="s">
        <v>3</v>
      </c>
    </row>
    <row r="3" spans="1:17" x14ac:dyDescent="0.25">
      <c r="A3" s="4">
        <v>14</v>
      </c>
      <c r="B3" s="4" t="s">
        <v>365</v>
      </c>
      <c r="C3" s="4" t="s">
        <v>364</v>
      </c>
      <c r="D3" s="36" t="s">
        <v>19</v>
      </c>
      <c r="E3" s="6">
        <v>270</v>
      </c>
      <c r="F3" s="6">
        <v>65</v>
      </c>
      <c r="G3" s="7">
        <v>72</v>
      </c>
      <c r="H3" s="7">
        <v>21</v>
      </c>
      <c r="I3" s="6">
        <v>32</v>
      </c>
      <c r="J3" s="6">
        <v>12</v>
      </c>
      <c r="K3" s="7">
        <v>21</v>
      </c>
      <c r="L3" s="7">
        <v>10</v>
      </c>
      <c r="M3" s="6">
        <v>2</v>
      </c>
      <c r="N3" s="129">
        <v>0</v>
      </c>
      <c r="O3" s="2">
        <v>397</v>
      </c>
      <c r="P3" s="2">
        <v>108</v>
      </c>
    </row>
    <row r="4" spans="1:17" x14ac:dyDescent="0.25">
      <c r="A4" s="67">
        <v>8</v>
      </c>
      <c r="B4" s="67" t="s">
        <v>375</v>
      </c>
      <c r="C4" s="67" t="s">
        <v>363</v>
      </c>
      <c r="D4" s="41" t="s">
        <v>22</v>
      </c>
      <c r="E4" s="6">
        <v>263</v>
      </c>
      <c r="F4" s="6">
        <v>40</v>
      </c>
      <c r="G4" s="4">
        <v>63</v>
      </c>
      <c r="H4" s="4">
        <v>17</v>
      </c>
      <c r="I4" s="6">
        <v>27</v>
      </c>
      <c r="J4" s="6">
        <v>6</v>
      </c>
      <c r="K4" s="4">
        <v>15</v>
      </c>
      <c r="L4" s="4">
        <v>0</v>
      </c>
      <c r="M4" s="6">
        <v>2</v>
      </c>
      <c r="N4" s="129">
        <v>1</v>
      </c>
      <c r="O4" s="2">
        <v>369</v>
      </c>
      <c r="P4" s="2">
        <v>64</v>
      </c>
    </row>
    <row r="5" spans="1:17" x14ac:dyDescent="0.25">
      <c r="A5" s="67">
        <v>6</v>
      </c>
      <c r="B5" s="67" t="s">
        <v>361</v>
      </c>
      <c r="C5" s="67" t="s">
        <v>362</v>
      </c>
      <c r="D5" s="41" t="s">
        <v>12</v>
      </c>
      <c r="E5" s="6">
        <v>255</v>
      </c>
      <c r="F5" s="6">
        <v>22</v>
      </c>
      <c r="G5" s="4">
        <v>61</v>
      </c>
      <c r="H5" s="4">
        <v>2</v>
      </c>
      <c r="I5" s="6">
        <v>23</v>
      </c>
      <c r="J5" s="6">
        <v>1</v>
      </c>
      <c r="K5" s="4">
        <v>12</v>
      </c>
      <c r="L5" s="4">
        <v>2</v>
      </c>
      <c r="M5" s="6">
        <v>2</v>
      </c>
      <c r="N5" s="129">
        <v>0</v>
      </c>
      <c r="O5" s="2">
        <v>353</v>
      </c>
      <c r="P5" s="2">
        <v>27</v>
      </c>
    </row>
    <row r="6" spans="1:17" x14ac:dyDescent="0.25">
      <c r="A6" s="28">
        <v>34</v>
      </c>
      <c r="B6" s="28" t="s">
        <v>376</v>
      </c>
      <c r="C6" s="28" t="s">
        <v>363</v>
      </c>
      <c r="D6" s="38" t="s">
        <v>110</v>
      </c>
      <c r="E6" s="6">
        <v>225</v>
      </c>
      <c r="F6" s="6">
        <v>17</v>
      </c>
      <c r="G6" s="31">
        <v>43</v>
      </c>
      <c r="H6" s="31">
        <v>4</v>
      </c>
      <c r="I6" s="6">
        <v>16</v>
      </c>
      <c r="J6" s="6">
        <v>0</v>
      </c>
      <c r="K6" s="31">
        <v>11</v>
      </c>
      <c r="L6" s="31">
        <v>2</v>
      </c>
      <c r="M6" s="6">
        <v>2</v>
      </c>
      <c r="N6" s="129">
        <v>0</v>
      </c>
      <c r="O6" s="2">
        <v>297</v>
      </c>
      <c r="P6" s="2">
        <v>23</v>
      </c>
    </row>
    <row r="7" spans="1:17" x14ac:dyDescent="0.25">
      <c r="A7" s="28">
        <v>10</v>
      </c>
      <c r="B7" s="28" t="s">
        <v>373</v>
      </c>
      <c r="C7" s="28" t="s">
        <v>363</v>
      </c>
      <c r="D7" s="38" t="s">
        <v>17</v>
      </c>
      <c r="E7" s="6">
        <v>184</v>
      </c>
      <c r="F7" s="6">
        <v>33</v>
      </c>
      <c r="G7" s="31">
        <v>48</v>
      </c>
      <c r="H7" s="31">
        <v>9</v>
      </c>
      <c r="I7" s="6">
        <v>17</v>
      </c>
      <c r="J7" s="6">
        <v>2</v>
      </c>
      <c r="K7" s="31">
        <v>4</v>
      </c>
      <c r="L7" s="31">
        <v>0</v>
      </c>
      <c r="M7" s="6">
        <v>1</v>
      </c>
      <c r="N7" s="129">
        <v>0</v>
      </c>
      <c r="O7" s="2">
        <v>254</v>
      </c>
      <c r="P7" s="2">
        <v>44</v>
      </c>
      <c r="Q7" s="66"/>
    </row>
    <row r="8" spans="1:17" x14ac:dyDescent="0.25">
      <c r="A8" s="27">
        <v>12</v>
      </c>
      <c r="B8" s="27" t="s">
        <v>361</v>
      </c>
      <c r="C8" s="27" t="s">
        <v>364</v>
      </c>
      <c r="D8" s="36" t="s">
        <v>18</v>
      </c>
      <c r="E8" s="6">
        <v>179</v>
      </c>
      <c r="F8" s="6">
        <v>73</v>
      </c>
      <c r="G8" s="30">
        <v>38</v>
      </c>
      <c r="H8" s="30">
        <v>16</v>
      </c>
      <c r="I8" s="6">
        <v>23</v>
      </c>
      <c r="J8" s="6">
        <v>13</v>
      </c>
      <c r="K8" s="30">
        <v>9</v>
      </c>
      <c r="L8" s="30">
        <v>2</v>
      </c>
      <c r="M8" s="6">
        <v>3</v>
      </c>
      <c r="N8" s="129">
        <v>1</v>
      </c>
      <c r="O8" s="2">
        <v>253</v>
      </c>
      <c r="P8" s="2">
        <v>105</v>
      </c>
    </row>
    <row r="9" spans="1:17" x14ac:dyDescent="0.25">
      <c r="A9" s="28">
        <v>18</v>
      </c>
      <c r="B9" s="28" t="s">
        <v>359</v>
      </c>
      <c r="C9" s="28" t="s">
        <v>362</v>
      </c>
      <c r="D9" s="41" t="s">
        <v>24</v>
      </c>
      <c r="E9" s="6">
        <v>187</v>
      </c>
      <c r="F9" s="6">
        <v>7</v>
      </c>
      <c r="G9" s="30">
        <v>42</v>
      </c>
      <c r="H9" s="30">
        <v>1</v>
      </c>
      <c r="I9" s="6">
        <v>13</v>
      </c>
      <c r="J9" s="6">
        <v>2</v>
      </c>
      <c r="K9" s="30">
        <v>6</v>
      </c>
      <c r="L9" s="30">
        <v>0</v>
      </c>
      <c r="M9" s="6">
        <v>3</v>
      </c>
      <c r="N9" s="129">
        <v>0</v>
      </c>
      <c r="O9" s="2">
        <v>251</v>
      </c>
      <c r="P9" s="2">
        <v>10</v>
      </c>
    </row>
    <row r="10" spans="1:17" x14ac:dyDescent="0.25">
      <c r="A10" s="27">
        <v>7</v>
      </c>
      <c r="B10" s="27" t="s">
        <v>377</v>
      </c>
      <c r="C10" s="27" t="s">
        <v>363</v>
      </c>
      <c r="D10" s="40" t="s">
        <v>13</v>
      </c>
      <c r="E10" s="6">
        <v>170</v>
      </c>
      <c r="F10" s="6">
        <v>19</v>
      </c>
      <c r="G10" s="29">
        <v>46</v>
      </c>
      <c r="H10" s="29">
        <v>4</v>
      </c>
      <c r="I10" s="6">
        <v>21</v>
      </c>
      <c r="J10" s="6">
        <v>5</v>
      </c>
      <c r="K10" s="29">
        <v>9</v>
      </c>
      <c r="L10" s="29">
        <v>0</v>
      </c>
      <c r="M10" s="6">
        <v>1</v>
      </c>
      <c r="N10" s="129">
        <v>0</v>
      </c>
      <c r="O10" s="2">
        <v>247</v>
      </c>
      <c r="P10" s="2">
        <v>28</v>
      </c>
    </row>
    <row r="11" spans="1:17" x14ac:dyDescent="0.25">
      <c r="A11" s="4">
        <v>20</v>
      </c>
      <c r="B11" s="4" t="s">
        <v>361</v>
      </c>
      <c r="C11" s="27" t="s">
        <v>363</v>
      </c>
      <c r="D11" s="40" t="s">
        <v>26</v>
      </c>
      <c r="E11" s="6">
        <f>102+66</f>
        <v>168</v>
      </c>
      <c r="F11" s="6">
        <v>10</v>
      </c>
      <c r="G11" s="30">
        <v>47</v>
      </c>
      <c r="H11" s="30">
        <v>1</v>
      </c>
      <c r="I11" s="6">
        <v>29</v>
      </c>
      <c r="J11" s="6">
        <v>2</v>
      </c>
      <c r="K11" s="30">
        <v>8</v>
      </c>
      <c r="L11" s="30">
        <v>2</v>
      </c>
      <c r="M11" s="6">
        <v>2</v>
      </c>
      <c r="N11" s="129">
        <v>0</v>
      </c>
      <c r="O11" s="2">
        <v>246</v>
      </c>
      <c r="P11" s="2">
        <v>13</v>
      </c>
    </row>
    <row r="12" spans="1:17" x14ac:dyDescent="0.25">
      <c r="A12" s="28">
        <v>2</v>
      </c>
      <c r="B12" s="28" t="s">
        <v>359</v>
      </c>
      <c r="C12" s="28" t="s">
        <v>362</v>
      </c>
      <c r="D12" s="38" t="s">
        <v>37</v>
      </c>
      <c r="E12" s="6">
        <v>183</v>
      </c>
      <c r="F12" s="6">
        <v>8</v>
      </c>
      <c r="G12" s="31">
        <v>33</v>
      </c>
      <c r="H12" s="31">
        <v>1</v>
      </c>
      <c r="I12" s="6">
        <v>12</v>
      </c>
      <c r="J12" s="6">
        <v>0</v>
      </c>
      <c r="K12" s="31">
        <v>8</v>
      </c>
      <c r="L12" s="31">
        <v>0</v>
      </c>
      <c r="M12" s="6">
        <v>3</v>
      </c>
      <c r="N12" s="129">
        <v>0</v>
      </c>
      <c r="O12" s="2">
        <v>239</v>
      </c>
      <c r="P12" s="2">
        <v>9</v>
      </c>
    </row>
    <row r="13" spans="1:17" x14ac:dyDescent="0.25">
      <c r="A13" s="27">
        <v>3</v>
      </c>
      <c r="B13" s="27" t="s">
        <v>365</v>
      </c>
      <c r="C13" s="28" t="s">
        <v>362</v>
      </c>
      <c r="D13" s="35" t="s">
        <v>10</v>
      </c>
      <c r="E13" s="6">
        <v>137</v>
      </c>
      <c r="F13" s="6">
        <v>2</v>
      </c>
      <c r="G13" s="29">
        <v>43</v>
      </c>
      <c r="H13" s="29">
        <v>2</v>
      </c>
      <c r="I13" s="6">
        <v>30</v>
      </c>
      <c r="J13" s="6">
        <v>1</v>
      </c>
      <c r="K13" s="29">
        <v>18</v>
      </c>
      <c r="L13" s="29">
        <v>1</v>
      </c>
      <c r="M13" s="6">
        <v>2</v>
      </c>
      <c r="N13" s="129">
        <v>0</v>
      </c>
      <c r="O13" s="2">
        <v>230</v>
      </c>
      <c r="P13" s="2">
        <v>6</v>
      </c>
    </row>
    <row r="14" spans="1:17" x14ac:dyDescent="0.25">
      <c r="A14" s="28">
        <v>4</v>
      </c>
      <c r="B14" s="28" t="s">
        <v>373</v>
      </c>
      <c r="C14" s="28" t="s">
        <v>362</v>
      </c>
      <c r="D14" s="41" t="s">
        <v>11</v>
      </c>
      <c r="E14" s="6">
        <v>156</v>
      </c>
      <c r="F14" s="6">
        <v>6</v>
      </c>
      <c r="G14" s="30">
        <v>39</v>
      </c>
      <c r="H14" s="30">
        <v>0</v>
      </c>
      <c r="I14" s="6">
        <v>19</v>
      </c>
      <c r="J14" s="6">
        <v>4</v>
      </c>
      <c r="K14" s="30">
        <v>5</v>
      </c>
      <c r="L14" s="30">
        <v>0</v>
      </c>
      <c r="M14" s="6">
        <v>2</v>
      </c>
      <c r="N14" s="129">
        <v>0</v>
      </c>
      <c r="O14" s="2">
        <v>221</v>
      </c>
      <c r="P14" s="2">
        <v>10</v>
      </c>
    </row>
    <row r="15" spans="1:17" x14ac:dyDescent="0.25">
      <c r="A15" s="28">
        <v>9</v>
      </c>
      <c r="B15" s="28" t="s">
        <v>361</v>
      </c>
      <c r="C15" s="28" t="s">
        <v>364</v>
      </c>
      <c r="D15" s="38" t="s">
        <v>118</v>
      </c>
      <c r="E15" s="6">
        <v>158</v>
      </c>
      <c r="F15" s="6">
        <v>54</v>
      </c>
      <c r="G15" s="31">
        <v>27</v>
      </c>
      <c r="H15" s="31">
        <v>13</v>
      </c>
      <c r="I15" s="6">
        <v>9</v>
      </c>
      <c r="J15" s="6">
        <v>0</v>
      </c>
      <c r="K15" s="31">
        <v>11</v>
      </c>
      <c r="L15" s="31">
        <v>4</v>
      </c>
      <c r="M15" s="6">
        <v>1</v>
      </c>
      <c r="N15" s="129">
        <v>0</v>
      </c>
      <c r="O15" s="2">
        <v>206</v>
      </c>
      <c r="P15" s="2">
        <v>71</v>
      </c>
    </row>
    <row r="16" spans="1:17" x14ac:dyDescent="0.25">
      <c r="A16" s="27">
        <v>15</v>
      </c>
      <c r="B16" s="27" t="s">
        <v>365</v>
      </c>
      <c r="C16" s="27" t="s">
        <v>363</v>
      </c>
      <c r="D16" s="40" t="s">
        <v>20</v>
      </c>
      <c r="E16" s="6">
        <v>132</v>
      </c>
      <c r="F16" s="6">
        <v>9</v>
      </c>
      <c r="G16" s="29">
        <v>31</v>
      </c>
      <c r="H16" s="29">
        <v>4</v>
      </c>
      <c r="I16" s="6">
        <v>21</v>
      </c>
      <c r="J16" s="6">
        <v>1</v>
      </c>
      <c r="K16" s="29">
        <v>11</v>
      </c>
      <c r="L16" s="29">
        <v>5</v>
      </c>
      <c r="M16" s="6">
        <v>3</v>
      </c>
      <c r="N16" s="129">
        <v>1</v>
      </c>
      <c r="O16" s="2">
        <v>198</v>
      </c>
      <c r="P16" s="2">
        <v>20</v>
      </c>
    </row>
    <row r="17" spans="1:16" x14ac:dyDescent="0.25">
      <c r="A17" s="28">
        <v>10</v>
      </c>
      <c r="B17" s="28" t="s">
        <v>365</v>
      </c>
      <c r="C17" s="28" t="s">
        <v>363</v>
      </c>
      <c r="D17" s="41" t="s">
        <v>16</v>
      </c>
      <c r="E17" s="6">
        <v>125</v>
      </c>
      <c r="F17" s="6">
        <v>7</v>
      </c>
      <c r="G17" s="30">
        <v>40</v>
      </c>
      <c r="H17" s="30">
        <v>5</v>
      </c>
      <c r="I17" s="6">
        <v>13</v>
      </c>
      <c r="J17" s="6">
        <v>1</v>
      </c>
      <c r="K17" s="30">
        <v>18</v>
      </c>
      <c r="L17" s="30">
        <v>1</v>
      </c>
      <c r="M17" s="6">
        <v>1</v>
      </c>
      <c r="N17" s="129">
        <v>0</v>
      </c>
      <c r="O17" s="2">
        <v>197</v>
      </c>
      <c r="P17" s="2">
        <v>14</v>
      </c>
    </row>
    <row r="18" spans="1:16" x14ac:dyDescent="0.25">
      <c r="A18" s="27">
        <v>1</v>
      </c>
      <c r="B18" s="27" t="s">
        <v>378</v>
      </c>
      <c r="C18" s="27" t="s">
        <v>360</v>
      </c>
      <c r="D18" s="36" t="s">
        <v>117</v>
      </c>
      <c r="E18" s="6">
        <v>132</v>
      </c>
      <c r="F18" s="6">
        <v>0</v>
      </c>
      <c r="G18" s="31">
        <v>29</v>
      </c>
      <c r="H18" s="31">
        <v>0</v>
      </c>
      <c r="I18" s="6">
        <v>12</v>
      </c>
      <c r="J18" s="6">
        <v>0</v>
      </c>
      <c r="K18" s="31">
        <v>7</v>
      </c>
      <c r="L18" s="31">
        <v>0</v>
      </c>
      <c r="M18" s="6">
        <v>1</v>
      </c>
      <c r="N18" s="129">
        <v>0</v>
      </c>
      <c r="O18" s="2">
        <v>181</v>
      </c>
      <c r="P18" s="2">
        <v>0</v>
      </c>
    </row>
    <row r="19" spans="1:16" x14ac:dyDescent="0.25">
      <c r="A19" s="28">
        <v>19</v>
      </c>
      <c r="B19" s="28" t="s">
        <v>359</v>
      </c>
      <c r="C19" s="28" t="s">
        <v>363</v>
      </c>
      <c r="D19" s="41" t="s">
        <v>306</v>
      </c>
      <c r="E19" s="6">
        <v>129</v>
      </c>
      <c r="F19" s="6">
        <v>25</v>
      </c>
      <c r="G19" s="30">
        <v>32</v>
      </c>
      <c r="H19" s="30">
        <v>0</v>
      </c>
      <c r="I19" s="6">
        <v>14</v>
      </c>
      <c r="J19" s="6">
        <v>3</v>
      </c>
      <c r="K19" s="30">
        <v>3</v>
      </c>
      <c r="L19" s="30">
        <v>0</v>
      </c>
      <c r="M19" s="6">
        <v>2</v>
      </c>
      <c r="N19" s="129">
        <v>1</v>
      </c>
      <c r="O19" s="2">
        <v>180</v>
      </c>
      <c r="P19" s="2">
        <v>29</v>
      </c>
    </row>
    <row r="20" spans="1:16" x14ac:dyDescent="0.25">
      <c r="A20" s="27">
        <v>24</v>
      </c>
      <c r="B20" s="27" t="s">
        <v>361</v>
      </c>
      <c r="C20" s="27" t="s">
        <v>363</v>
      </c>
      <c r="D20" s="169" t="s">
        <v>30</v>
      </c>
      <c r="E20" s="6">
        <v>124</v>
      </c>
      <c r="F20" s="6">
        <v>14</v>
      </c>
      <c r="G20" s="30">
        <v>29</v>
      </c>
      <c r="H20" s="30">
        <v>4</v>
      </c>
      <c r="I20" s="6">
        <v>19</v>
      </c>
      <c r="J20" s="6">
        <v>1</v>
      </c>
      <c r="K20" s="30">
        <v>8</v>
      </c>
      <c r="L20" s="30">
        <v>0</v>
      </c>
      <c r="M20" s="6">
        <v>0</v>
      </c>
      <c r="N20" s="129">
        <v>0</v>
      </c>
      <c r="O20" s="2">
        <v>180</v>
      </c>
      <c r="P20" s="2">
        <v>19</v>
      </c>
    </row>
    <row r="21" spans="1:16" x14ac:dyDescent="0.25">
      <c r="A21" s="28">
        <v>19</v>
      </c>
      <c r="B21" s="28" t="s">
        <v>379</v>
      </c>
      <c r="C21" s="28" t="s">
        <v>364</v>
      </c>
      <c r="D21" s="38" t="s">
        <v>280</v>
      </c>
      <c r="E21" s="6">
        <v>123</v>
      </c>
      <c r="F21" s="6">
        <v>27</v>
      </c>
      <c r="G21" s="31">
        <v>35</v>
      </c>
      <c r="H21" s="31">
        <v>7</v>
      </c>
      <c r="I21" s="6">
        <v>5</v>
      </c>
      <c r="J21" s="6">
        <v>0</v>
      </c>
      <c r="K21" s="31">
        <v>10</v>
      </c>
      <c r="L21" s="31">
        <v>1</v>
      </c>
      <c r="M21" s="6">
        <v>1</v>
      </c>
      <c r="N21" s="129">
        <v>1</v>
      </c>
      <c r="O21" s="2">
        <v>174</v>
      </c>
      <c r="P21" s="2">
        <v>36</v>
      </c>
    </row>
    <row r="22" spans="1:16" x14ac:dyDescent="0.25">
      <c r="A22" s="28">
        <v>14</v>
      </c>
      <c r="B22" s="28" t="s">
        <v>365</v>
      </c>
      <c r="C22" s="28" t="s">
        <v>364</v>
      </c>
      <c r="D22" s="38" t="s">
        <v>129</v>
      </c>
      <c r="E22" s="6">
        <v>116</v>
      </c>
      <c r="F22" s="6">
        <v>19</v>
      </c>
      <c r="G22" s="31">
        <v>27</v>
      </c>
      <c r="H22" s="31">
        <v>6</v>
      </c>
      <c r="I22" s="6">
        <v>11</v>
      </c>
      <c r="J22" s="6">
        <v>4</v>
      </c>
      <c r="K22" s="31">
        <v>12</v>
      </c>
      <c r="L22" s="31">
        <v>9</v>
      </c>
      <c r="M22" s="6">
        <v>2</v>
      </c>
      <c r="N22" s="129">
        <v>0</v>
      </c>
      <c r="O22" s="2">
        <v>168</v>
      </c>
      <c r="P22" s="2">
        <v>38</v>
      </c>
    </row>
    <row r="23" spans="1:16" x14ac:dyDescent="0.25">
      <c r="A23" s="27">
        <v>7</v>
      </c>
      <c r="B23" s="27" t="s">
        <v>380</v>
      </c>
      <c r="C23" s="27" t="s">
        <v>364</v>
      </c>
      <c r="D23" s="36" t="s">
        <v>23</v>
      </c>
      <c r="E23" s="6">
        <v>122</v>
      </c>
      <c r="F23" s="6">
        <v>60</v>
      </c>
      <c r="G23" s="7">
        <v>25</v>
      </c>
      <c r="H23" s="7">
        <v>11</v>
      </c>
      <c r="I23" s="6">
        <v>14</v>
      </c>
      <c r="J23" s="6">
        <v>8</v>
      </c>
      <c r="K23" s="7">
        <v>3</v>
      </c>
      <c r="L23" s="7">
        <v>1</v>
      </c>
      <c r="M23" s="6">
        <v>1</v>
      </c>
      <c r="N23" s="129">
        <v>0</v>
      </c>
      <c r="O23" s="2">
        <v>165</v>
      </c>
      <c r="P23" s="2">
        <v>80</v>
      </c>
    </row>
    <row r="24" spans="1:16" x14ac:dyDescent="0.25">
      <c r="A24" s="28">
        <v>5</v>
      </c>
      <c r="B24" s="28" t="s">
        <v>381</v>
      </c>
      <c r="C24" s="28" t="s">
        <v>363</v>
      </c>
      <c r="D24" s="38" t="s">
        <v>212</v>
      </c>
      <c r="E24" s="6">
        <v>129</v>
      </c>
      <c r="F24" s="6">
        <v>9</v>
      </c>
      <c r="G24" s="67">
        <v>25</v>
      </c>
      <c r="H24" s="67">
        <v>0</v>
      </c>
      <c r="I24" s="6">
        <v>3</v>
      </c>
      <c r="J24" s="6">
        <v>0</v>
      </c>
      <c r="K24" s="67">
        <v>6</v>
      </c>
      <c r="L24" s="67">
        <v>0</v>
      </c>
      <c r="M24" s="6">
        <v>1</v>
      </c>
      <c r="N24" s="129">
        <v>0</v>
      </c>
      <c r="O24" s="2">
        <v>164</v>
      </c>
      <c r="P24" s="2">
        <v>9</v>
      </c>
    </row>
    <row r="25" spans="1:16" x14ac:dyDescent="0.25">
      <c r="A25" s="28">
        <v>14</v>
      </c>
      <c r="B25" s="28" t="s">
        <v>382</v>
      </c>
      <c r="C25" s="28" t="s">
        <v>364</v>
      </c>
      <c r="D25" s="38" t="s">
        <v>137</v>
      </c>
      <c r="E25" s="6">
        <v>128</v>
      </c>
      <c r="F25" s="6">
        <v>68</v>
      </c>
      <c r="G25" s="67">
        <v>26</v>
      </c>
      <c r="H25" s="67">
        <v>14</v>
      </c>
      <c r="I25" s="6">
        <v>4</v>
      </c>
      <c r="J25" s="6">
        <v>6</v>
      </c>
      <c r="K25" s="67">
        <v>4</v>
      </c>
      <c r="L25" s="67">
        <v>3</v>
      </c>
      <c r="M25" s="6">
        <v>1</v>
      </c>
      <c r="N25" s="129">
        <v>1</v>
      </c>
      <c r="O25" s="2">
        <v>163</v>
      </c>
      <c r="P25" s="2">
        <v>92</v>
      </c>
    </row>
    <row r="26" spans="1:16" x14ac:dyDescent="0.25">
      <c r="A26" s="28">
        <v>25</v>
      </c>
      <c r="B26" s="28" t="s">
        <v>383</v>
      </c>
      <c r="C26" s="28" t="s">
        <v>363</v>
      </c>
      <c r="D26" s="38" t="s">
        <v>106</v>
      </c>
      <c r="E26" s="6">
        <v>91</v>
      </c>
      <c r="F26" s="6">
        <v>1</v>
      </c>
      <c r="G26" s="67">
        <v>39</v>
      </c>
      <c r="H26" s="67">
        <v>4</v>
      </c>
      <c r="I26" s="6">
        <v>11</v>
      </c>
      <c r="J26" s="6">
        <v>1</v>
      </c>
      <c r="K26" s="67">
        <v>17</v>
      </c>
      <c r="L26" s="67">
        <v>0</v>
      </c>
      <c r="M26" s="6">
        <v>2</v>
      </c>
      <c r="N26" s="129">
        <v>0</v>
      </c>
      <c r="O26" s="2">
        <v>161</v>
      </c>
      <c r="P26" s="2">
        <v>6</v>
      </c>
    </row>
    <row r="27" spans="1:16" x14ac:dyDescent="0.25">
      <c r="A27" s="28">
        <v>16</v>
      </c>
      <c r="B27" s="28" t="s">
        <v>365</v>
      </c>
      <c r="C27" s="28" t="s">
        <v>362</v>
      </c>
      <c r="D27" s="38" t="s">
        <v>109</v>
      </c>
      <c r="E27" s="6">
        <v>98</v>
      </c>
      <c r="F27" s="6">
        <v>2</v>
      </c>
      <c r="G27" s="67">
        <v>29</v>
      </c>
      <c r="H27" s="67">
        <v>2</v>
      </c>
      <c r="I27" s="6">
        <v>14</v>
      </c>
      <c r="J27" s="6">
        <v>0</v>
      </c>
      <c r="K27" s="67">
        <v>18</v>
      </c>
      <c r="L27" s="67">
        <v>1</v>
      </c>
      <c r="M27" s="6">
        <v>2</v>
      </c>
      <c r="N27" s="129">
        <v>0</v>
      </c>
      <c r="O27" s="2">
        <v>161</v>
      </c>
      <c r="P27" s="2">
        <v>5</v>
      </c>
    </row>
    <row r="28" spans="1:16" x14ac:dyDescent="0.25">
      <c r="A28" s="27">
        <v>34</v>
      </c>
      <c r="B28" s="27" t="s">
        <v>361</v>
      </c>
      <c r="C28" s="27" t="s">
        <v>363</v>
      </c>
      <c r="D28" s="40" t="s">
        <v>34</v>
      </c>
      <c r="E28" s="6">
        <v>105</v>
      </c>
      <c r="F28" s="6">
        <v>0</v>
      </c>
      <c r="G28" s="4">
        <v>25</v>
      </c>
      <c r="H28" s="4">
        <v>0</v>
      </c>
      <c r="I28" s="6">
        <v>16</v>
      </c>
      <c r="J28" s="6">
        <v>0</v>
      </c>
      <c r="K28" s="4">
        <v>13</v>
      </c>
      <c r="L28" s="4">
        <v>0</v>
      </c>
      <c r="M28" s="6">
        <v>1</v>
      </c>
      <c r="N28" s="129">
        <v>0</v>
      </c>
      <c r="O28" s="2">
        <v>160</v>
      </c>
      <c r="P28" s="2">
        <v>0</v>
      </c>
    </row>
    <row r="29" spans="1:16" x14ac:dyDescent="0.25">
      <c r="A29" s="27">
        <v>20</v>
      </c>
      <c r="B29" s="27" t="s">
        <v>373</v>
      </c>
      <c r="C29" s="27" t="s">
        <v>362</v>
      </c>
      <c r="D29" s="40" t="s">
        <v>113</v>
      </c>
      <c r="E29" s="6">
        <v>102</v>
      </c>
      <c r="F29" s="6">
        <v>7</v>
      </c>
      <c r="G29" s="4">
        <v>33</v>
      </c>
      <c r="H29" s="4">
        <v>2</v>
      </c>
      <c r="I29" s="6">
        <v>8</v>
      </c>
      <c r="J29" s="6">
        <v>0</v>
      </c>
      <c r="K29" s="4">
        <v>8</v>
      </c>
      <c r="L29" s="4">
        <v>0</v>
      </c>
      <c r="M29" s="6">
        <v>0</v>
      </c>
      <c r="N29" s="129">
        <v>0</v>
      </c>
      <c r="O29" s="2">
        <v>151</v>
      </c>
      <c r="P29" s="2">
        <v>9</v>
      </c>
    </row>
    <row r="30" spans="1:16" x14ac:dyDescent="0.25">
      <c r="A30" s="27">
        <v>8</v>
      </c>
      <c r="B30" s="27" t="s">
        <v>359</v>
      </c>
      <c r="C30" s="27" t="s">
        <v>363</v>
      </c>
      <c r="D30" s="40" t="s">
        <v>14</v>
      </c>
      <c r="E30" s="6">
        <v>110</v>
      </c>
      <c r="F30" s="6">
        <v>14</v>
      </c>
      <c r="G30" s="7">
        <v>24</v>
      </c>
      <c r="H30" s="7">
        <v>1</v>
      </c>
      <c r="I30" s="6">
        <v>10</v>
      </c>
      <c r="J30" s="6">
        <v>1</v>
      </c>
      <c r="K30" s="7">
        <v>5</v>
      </c>
      <c r="L30" s="7">
        <v>0</v>
      </c>
      <c r="M30" s="6">
        <v>0</v>
      </c>
      <c r="N30" s="129">
        <v>0</v>
      </c>
      <c r="O30" s="2">
        <v>149</v>
      </c>
      <c r="P30" s="2">
        <v>16</v>
      </c>
    </row>
    <row r="31" spans="1:16" x14ac:dyDescent="0.25">
      <c r="A31" s="28">
        <v>17</v>
      </c>
      <c r="B31" s="28" t="s">
        <v>384</v>
      </c>
      <c r="C31" s="28" t="s">
        <v>363</v>
      </c>
      <c r="D31" s="41" t="s">
        <v>101</v>
      </c>
      <c r="E31" s="6">
        <v>100</v>
      </c>
      <c r="F31" s="6">
        <v>11</v>
      </c>
      <c r="G31" s="4">
        <v>26</v>
      </c>
      <c r="H31" s="4">
        <v>3</v>
      </c>
      <c r="I31" s="6">
        <v>11</v>
      </c>
      <c r="J31" s="6">
        <v>0</v>
      </c>
      <c r="K31" s="4">
        <v>11</v>
      </c>
      <c r="L31" s="4">
        <v>0</v>
      </c>
      <c r="M31" s="6">
        <v>1</v>
      </c>
      <c r="N31" s="129">
        <v>0</v>
      </c>
      <c r="O31" s="2">
        <v>149</v>
      </c>
      <c r="P31" s="2">
        <v>14</v>
      </c>
    </row>
    <row r="32" spans="1:16" x14ac:dyDescent="0.25">
      <c r="A32" s="28">
        <v>3</v>
      </c>
      <c r="B32" s="28" t="s">
        <v>385</v>
      </c>
      <c r="C32" s="28" t="s">
        <v>362</v>
      </c>
      <c r="D32" s="38" t="s">
        <v>199</v>
      </c>
      <c r="E32" s="6">
        <v>104</v>
      </c>
      <c r="F32" s="6">
        <v>4</v>
      </c>
      <c r="G32" s="67">
        <v>24</v>
      </c>
      <c r="H32" s="67">
        <v>2</v>
      </c>
      <c r="I32" s="6">
        <v>8</v>
      </c>
      <c r="J32" s="6">
        <v>0</v>
      </c>
      <c r="K32" s="67">
        <v>6</v>
      </c>
      <c r="L32" s="67">
        <v>0</v>
      </c>
      <c r="M32" s="6">
        <v>2</v>
      </c>
      <c r="N32" s="129">
        <v>0</v>
      </c>
      <c r="O32" s="2">
        <v>144</v>
      </c>
      <c r="P32" s="2">
        <v>6</v>
      </c>
    </row>
    <row r="33" spans="1:16" x14ac:dyDescent="0.25">
      <c r="A33" s="28">
        <v>1</v>
      </c>
      <c r="B33" s="28" t="s">
        <v>377</v>
      </c>
      <c r="C33" s="28" t="s">
        <v>360</v>
      </c>
      <c r="D33" s="41" t="s">
        <v>96</v>
      </c>
      <c r="E33" s="6">
        <v>110</v>
      </c>
      <c r="F33" s="6">
        <v>0</v>
      </c>
      <c r="G33" s="4">
        <v>19</v>
      </c>
      <c r="H33" s="4">
        <v>0</v>
      </c>
      <c r="I33" s="6">
        <v>5</v>
      </c>
      <c r="J33" s="6">
        <v>0</v>
      </c>
      <c r="K33" s="4">
        <v>3</v>
      </c>
      <c r="L33" s="4">
        <v>0</v>
      </c>
      <c r="M33" s="6">
        <v>2</v>
      </c>
      <c r="N33" s="129">
        <v>0</v>
      </c>
      <c r="O33" s="2">
        <v>139</v>
      </c>
      <c r="P33" s="2">
        <v>0</v>
      </c>
    </row>
    <row r="34" spans="1:16" x14ac:dyDescent="0.25">
      <c r="A34" s="28">
        <v>15</v>
      </c>
      <c r="B34" s="28" t="s">
        <v>365</v>
      </c>
      <c r="C34" s="28" t="s">
        <v>362</v>
      </c>
      <c r="D34" s="38" t="s">
        <v>44</v>
      </c>
      <c r="E34" s="6">
        <v>72</v>
      </c>
      <c r="F34" s="6">
        <v>1</v>
      </c>
      <c r="G34" s="67">
        <v>31</v>
      </c>
      <c r="H34" s="67">
        <v>1</v>
      </c>
      <c r="I34" s="6">
        <v>13</v>
      </c>
      <c r="J34" s="6">
        <v>0</v>
      </c>
      <c r="K34" s="67">
        <v>15</v>
      </c>
      <c r="L34" s="67">
        <v>1</v>
      </c>
      <c r="M34" s="6">
        <v>1</v>
      </c>
      <c r="N34" s="129">
        <v>0</v>
      </c>
      <c r="O34" s="2">
        <v>132</v>
      </c>
      <c r="P34" s="2">
        <v>3</v>
      </c>
    </row>
    <row r="35" spans="1:16" x14ac:dyDescent="0.25">
      <c r="A35" s="28">
        <v>1</v>
      </c>
      <c r="B35" s="28" t="s">
        <v>373</v>
      </c>
      <c r="C35" s="28" t="s">
        <v>360</v>
      </c>
      <c r="D35" s="38" t="s">
        <v>178</v>
      </c>
      <c r="E35" s="6">
        <v>101</v>
      </c>
      <c r="F35" s="6">
        <v>0</v>
      </c>
      <c r="G35" s="67">
        <v>15</v>
      </c>
      <c r="H35" s="67">
        <v>0</v>
      </c>
      <c r="I35" s="6">
        <v>3</v>
      </c>
      <c r="J35" s="6">
        <v>0</v>
      </c>
      <c r="K35" s="67">
        <v>6</v>
      </c>
      <c r="L35" s="67">
        <v>0</v>
      </c>
      <c r="M35" s="6">
        <v>0</v>
      </c>
      <c r="N35" s="129">
        <v>0</v>
      </c>
      <c r="O35" s="2">
        <v>125</v>
      </c>
      <c r="P35" s="2">
        <v>0</v>
      </c>
    </row>
    <row r="36" spans="1:16" x14ac:dyDescent="0.25">
      <c r="A36" s="28">
        <v>23</v>
      </c>
      <c r="B36" s="28" t="s">
        <v>365</v>
      </c>
      <c r="C36" s="28" t="s">
        <v>364</v>
      </c>
      <c r="D36" s="41" t="s">
        <v>29</v>
      </c>
      <c r="E36" s="6">
        <v>88</v>
      </c>
      <c r="F36" s="6">
        <v>16</v>
      </c>
      <c r="G36" s="4">
        <v>20</v>
      </c>
      <c r="H36" s="4">
        <v>8</v>
      </c>
      <c r="I36" s="6">
        <v>10</v>
      </c>
      <c r="J36" s="6">
        <v>5</v>
      </c>
      <c r="K36" s="4">
        <v>5</v>
      </c>
      <c r="L36" s="4">
        <v>3</v>
      </c>
      <c r="M36" s="6">
        <v>1</v>
      </c>
      <c r="N36" s="129">
        <v>0</v>
      </c>
      <c r="O36" s="2">
        <v>124</v>
      </c>
      <c r="P36" s="2">
        <v>32</v>
      </c>
    </row>
    <row r="37" spans="1:16" x14ac:dyDescent="0.25">
      <c r="A37" s="28">
        <v>21</v>
      </c>
      <c r="B37" s="28" t="s">
        <v>365</v>
      </c>
      <c r="C37" s="28" t="s">
        <v>362</v>
      </c>
      <c r="D37" s="38" t="s">
        <v>27</v>
      </c>
      <c r="E37" s="6">
        <v>74</v>
      </c>
      <c r="F37" s="6">
        <v>3</v>
      </c>
      <c r="G37" s="67">
        <v>27</v>
      </c>
      <c r="H37" s="67">
        <v>0</v>
      </c>
      <c r="I37" s="6">
        <v>10</v>
      </c>
      <c r="J37" s="6">
        <v>1</v>
      </c>
      <c r="K37" s="67">
        <v>11</v>
      </c>
      <c r="L37" s="67">
        <v>1</v>
      </c>
      <c r="M37" s="6">
        <v>1</v>
      </c>
      <c r="N37" s="129">
        <v>0</v>
      </c>
      <c r="O37" s="2">
        <v>123</v>
      </c>
      <c r="P37" s="2">
        <v>5</v>
      </c>
    </row>
    <row r="38" spans="1:16" x14ac:dyDescent="0.25">
      <c r="A38" s="28">
        <v>31</v>
      </c>
      <c r="B38" s="28" t="s">
        <v>386</v>
      </c>
      <c r="C38" s="28" t="s">
        <v>362</v>
      </c>
      <c r="D38" s="38" t="s">
        <v>120</v>
      </c>
      <c r="E38" s="6">
        <v>80</v>
      </c>
      <c r="F38" s="6">
        <v>2</v>
      </c>
      <c r="G38" s="67">
        <v>20</v>
      </c>
      <c r="H38" s="67">
        <v>2</v>
      </c>
      <c r="I38" s="6">
        <v>7</v>
      </c>
      <c r="J38" s="6">
        <v>0</v>
      </c>
      <c r="K38" s="67">
        <v>9</v>
      </c>
      <c r="L38" s="67">
        <v>0</v>
      </c>
      <c r="M38" s="6">
        <v>2</v>
      </c>
      <c r="N38" s="129">
        <v>1</v>
      </c>
      <c r="O38" s="2">
        <v>118</v>
      </c>
      <c r="P38" s="2">
        <v>5</v>
      </c>
    </row>
    <row r="39" spans="1:16" x14ac:dyDescent="0.25">
      <c r="A39" s="28">
        <v>10</v>
      </c>
      <c r="B39" s="28" t="s">
        <v>365</v>
      </c>
      <c r="C39" s="28" t="s">
        <v>363</v>
      </c>
      <c r="D39" s="38" t="s">
        <v>182</v>
      </c>
      <c r="E39" s="6">
        <v>81</v>
      </c>
      <c r="F39" s="6">
        <v>12</v>
      </c>
      <c r="G39" s="67">
        <v>22</v>
      </c>
      <c r="H39" s="67">
        <v>3</v>
      </c>
      <c r="I39" s="6">
        <v>4</v>
      </c>
      <c r="J39" s="6">
        <v>1</v>
      </c>
      <c r="K39" s="67">
        <v>9</v>
      </c>
      <c r="L39" s="67">
        <v>2</v>
      </c>
      <c r="M39" s="6">
        <v>1</v>
      </c>
      <c r="N39" s="129">
        <v>0</v>
      </c>
      <c r="O39" s="2">
        <v>117</v>
      </c>
      <c r="P39" s="2">
        <v>18</v>
      </c>
    </row>
    <row r="40" spans="1:16" x14ac:dyDescent="0.25">
      <c r="A40" s="28">
        <v>19</v>
      </c>
      <c r="B40" s="28" t="s">
        <v>387</v>
      </c>
      <c r="C40" s="28" t="s">
        <v>364</v>
      </c>
      <c r="D40" s="38" t="s">
        <v>197</v>
      </c>
      <c r="E40" s="6">
        <v>80</v>
      </c>
      <c r="F40" s="6">
        <v>16</v>
      </c>
      <c r="G40" s="67">
        <v>19</v>
      </c>
      <c r="H40" s="67">
        <v>8</v>
      </c>
      <c r="I40" s="6">
        <v>7</v>
      </c>
      <c r="J40" s="6">
        <v>1</v>
      </c>
      <c r="K40" s="67">
        <v>6</v>
      </c>
      <c r="L40" s="67">
        <v>2</v>
      </c>
      <c r="M40" s="6">
        <v>0</v>
      </c>
      <c r="N40" s="129">
        <v>0</v>
      </c>
      <c r="O40" s="2">
        <v>112</v>
      </c>
      <c r="P40" s="2">
        <v>27</v>
      </c>
    </row>
    <row r="41" spans="1:16" x14ac:dyDescent="0.25">
      <c r="A41" s="28">
        <v>17</v>
      </c>
      <c r="B41" s="28" t="s">
        <v>388</v>
      </c>
      <c r="C41" s="28" t="s">
        <v>362</v>
      </c>
      <c r="D41" s="38" t="s">
        <v>270</v>
      </c>
      <c r="E41" s="6">
        <v>69</v>
      </c>
      <c r="F41" s="6">
        <v>2</v>
      </c>
      <c r="G41" s="67">
        <v>15</v>
      </c>
      <c r="H41" s="67">
        <v>1</v>
      </c>
      <c r="I41" s="6">
        <v>2</v>
      </c>
      <c r="J41" s="6">
        <v>0</v>
      </c>
      <c r="K41" s="67">
        <v>5</v>
      </c>
      <c r="L41" s="67">
        <v>0</v>
      </c>
      <c r="M41" s="6">
        <v>0</v>
      </c>
      <c r="N41" s="129">
        <v>0</v>
      </c>
      <c r="O41" s="2">
        <v>91</v>
      </c>
      <c r="P41" s="2">
        <v>3</v>
      </c>
    </row>
    <row r="42" spans="1:16" x14ac:dyDescent="0.25">
      <c r="A42" s="28">
        <v>1</v>
      </c>
      <c r="B42" s="28" t="s">
        <v>365</v>
      </c>
      <c r="C42" s="28" t="s">
        <v>360</v>
      </c>
      <c r="D42" s="38" t="s">
        <v>233</v>
      </c>
      <c r="E42" s="6">
        <v>78</v>
      </c>
      <c r="F42" s="6">
        <v>0</v>
      </c>
      <c r="G42" s="67">
        <v>4</v>
      </c>
      <c r="H42" s="67">
        <v>0</v>
      </c>
      <c r="I42" s="6">
        <v>1</v>
      </c>
      <c r="J42" s="6">
        <v>0</v>
      </c>
      <c r="K42" s="67">
        <v>5</v>
      </c>
      <c r="L42" s="67">
        <v>0</v>
      </c>
      <c r="M42" s="6">
        <v>1</v>
      </c>
      <c r="N42" s="129">
        <v>0</v>
      </c>
      <c r="O42" s="2">
        <v>89</v>
      </c>
      <c r="P42" s="2">
        <v>0</v>
      </c>
    </row>
    <row r="43" spans="1:16" x14ac:dyDescent="0.25">
      <c r="A43" s="28">
        <v>11</v>
      </c>
      <c r="B43" s="28" t="s">
        <v>389</v>
      </c>
      <c r="C43" s="28" t="s">
        <v>362</v>
      </c>
      <c r="D43" s="38" t="s">
        <v>176</v>
      </c>
      <c r="E43" s="6">
        <v>63</v>
      </c>
      <c r="F43" s="6">
        <v>3</v>
      </c>
      <c r="G43" s="67">
        <v>18</v>
      </c>
      <c r="H43" s="67">
        <v>0</v>
      </c>
      <c r="I43" s="6">
        <v>2</v>
      </c>
      <c r="J43" s="6">
        <v>0</v>
      </c>
      <c r="K43" s="67">
        <v>5</v>
      </c>
      <c r="L43" s="67">
        <v>1</v>
      </c>
      <c r="M43" s="6">
        <v>0</v>
      </c>
      <c r="N43" s="129">
        <v>0</v>
      </c>
      <c r="O43" s="2">
        <v>88</v>
      </c>
      <c r="P43" s="2">
        <v>4</v>
      </c>
    </row>
    <row r="44" spans="1:16" x14ac:dyDescent="0.25">
      <c r="A44" s="28">
        <v>18</v>
      </c>
      <c r="B44" s="28" t="s">
        <v>390</v>
      </c>
      <c r="C44" s="28" t="s">
        <v>362</v>
      </c>
      <c r="D44" s="38" t="s">
        <v>234</v>
      </c>
      <c r="E44" s="6">
        <v>65</v>
      </c>
      <c r="F44" s="6">
        <v>2</v>
      </c>
      <c r="G44" s="67">
        <v>13</v>
      </c>
      <c r="H44" s="67">
        <v>1</v>
      </c>
      <c r="I44" s="6">
        <v>2</v>
      </c>
      <c r="J44" s="6">
        <v>0</v>
      </c>
      <c r="K44" s="67">
        <v>3</v>
      </c>
      <c r="L44" s="67">
        <v>0</v>
      </c>
      <c r="M44" s="6">
        <v>0</v>
      </c>
      <c r="N44" s="129">
        <v>0</v>
      </c>
      <c r="O44" s="2">
        <v>83</v>
      </c>
      <c r="P44" s="2">
        <v>3</v>
      </c>
    </row>
    <row r="45" spans="1:16" x14ac:dyDescent="0.25">
      <c r="A45" s="28">
        <v>29</v>
      </c>
      <c r="B45" s="28" t="s">
        <v>361</v>
      </c>
      <c r="C45" s="28" t="s">
        <v>363</v>
      </c>
      <c r="D45" s="38" t="s">
        <v>179</v>
      </c>
      <c r="E45" s="6">
        <v>57</v>
      </c>
      <c r="F45" s="6">
        <v>0</v>
      </c>
      <c r="G45" s="67">
        <v>17</v>
      </c>
      <c r="H45" s="67">
        <v>1</v>
      </c>
      <c r="I45" s="6">
        <v>4</v>
      </c>
      <c r="J45" s="6">
        <v>0</v>
      </c>
      <c r="K45" s="67">
        <v>4</v>
      </c>
      <c r="L45" s="67">
        <v>0</v>
      </c>
      <c r="M45" s="6">
        <v>0</v>
      </c>
      <c r="N45" s="129">
        <v>0</v>
      </c>
      <c r="O45" s="2">
        <v>82</v>
      </c>
      <c r="P45" s="2">
        <v>1</v>
      </c>
    </row>
    <row r="46" spans="1:16" x14ac:dyDescent="0.25">
      <c r="A46" s="27">
        <v>9</v>
      </c>
      <c r="B46" s="27" t="s">
        <v>373</v>
      </c>
      <c r="C46" s="27" t="s">
        <v>364</v>
      </c>
      <c r="D46" s="169" t="s">
        <v>15</v>
      </c>
      <c r="E46" s="6">
        <v>60</v>
      </c>
      <c r="F46" s="6">
        <v>19</v>
      </c>
      <c r="G46" s="7">
        <v>14</v>
      </c>
      <c r="H46" s="7">
        <v>8</v>
      </c>
      <c r="I46" s="6">
        <v>3</v>
      </c>
      <c r="J46" s="6">
        <v>2</v>
      </c>
      <c r="K46" s="7">
        <v>3</v>
      </c>
      <c r="L46" s="7">
        <v>2</v>
      </c>
      <c r="M46" s="6">
        <v>2</v>
      </c>
      <c r="N46" s="129">
        <v>0</v>
      </c>
      <c r="O46" s="78">
        <v>82</v>
      </c>
      <c r="P46" s="78">
        <v>31</v>
      </c>
    </row>
    <row r="47" spans="1:16" x14ac:dyDescent="0.25">
      <c r="A47" s="28">
        <v>8</v>
      </c>
      <c r="B47" s="28" t="s">
        <v>359</v>
      </c>
      <c r="C47" s="28" t="s">
        <v>363</v>
      </c>
      <c r="D47" s="38" t="s">
        <v>195</v>
      </c>
      <c r="E47" s="6">
        <v>48</v>
      </c>
      <c r="F47" s="6">
        <v>0</v>
      </c>
      <c r="G47" s="67">
        <v>18</v>
      </c>
      <c r="H47" s="67">
        <v>1</v>
      </c>
      <c r="I47" s="6">
        <v>5</v>
      </c>
      <c r="J47" s="6">
        <v>1</v>
      </c>
      <c r="K47" s="67">
        <v>5</v>
      </c>
      <c r="L47" s="67">
        <v>0</v>
      </c>
      <c r="M47" s="6">
        <v>0</v>
      </c>
      <c r="N47" s="129">
        <v>0</v>
      </c>
      <c r="O47" s="2">
        <v>76</v>
      </c>
      <c r="P47" s="2">
        <v>2</v>
      </c>
    </row>
    <row r="48" spans="1:16" x14ac:dyDescent="0.25">
      <c r="A48" s="28">
        <v>20</v>
      </c>
      <c r="B48" s="28" t="s">
        <v>374</v>
      </c>
      <c r="C48" s="28" t="s">
        <v>363</v>
      </c>
      <c r="D48" s="38" t="s">
        <v>281</v>
      </c>
      <c r="E48" s="6">
        <v>53</v>
      </c>
      <c r="F48" s="6">
        <v>0</v>
      </c>
      <c r="G48" s="67">
        <v>14</v>
      </c>
      <c r="H48" s="67">
        <v>1</v>
      </c>
      <c r="I48" s="6">
        <v>2</v>
      </c>
      <c r="J48" s="6">
        <v>0</v>
      </c>
      <c r="K48" s="67">
        <v>7</v>
      </c>
      <c r="L48" s="67">
        <v>0</v>
      </c>
      <c r="M48" s="6">
        <v>0</v>
      </c>
      <c r="N48" s="6">
        <v>0</v>
      </c>
      <c r="O48" s="2">
        <v>76</v>
      </c>
      <c r="P48" s="2">
        <v>1</v>
      </c>
    </row>
    <row r="49" spans="1:16" x14ac:dyDescent="0.25">
      <c r="A49" s="28">
        <v>28</v>
      </c>
      <c r="B49" s="28" t="s">
        <v>365</v>
      </c>
      <c r="C49" s="28" t="s">
        <v>363</v>
      </c>
      <c r="D49" s="38" t="s">
        <v>123</v>
      </c>
      <c r="E49" s="6">
        <v>40</v>
      </c>
      <c r="F49" s="6">
        <v>1</v>
      </c>
      <c r="G49" s="67">
        <v>20</v>
      </c>
      <c r="H49" s="67">
        <v>6</v>
      </c>
      <c r="I49" s="6">
        <v>7</v>
      </c>
      <c r="J49" s="6">
        <v>2</v>
      </c>
      <c r="K49" s="67">
        <v>8</v>
      </c>
      <c r="L49" s="67">
        <v>2</v>
      </c>
      <c r="M49" s="6">
        <v>1</v>
      </c>
      <c r="N49" s="6">
        <v>0</v>
      </c>
      <c r="O49" s="2">
        <v>76</v>
      </c>
      <c r="P49" s="2">
        <v>11</v>
      </c>
    </row>
    <row r="50" spans="1:16" x14ac:dyDescent="0.25">
      <c r="A50" s="28">
        <v>23</v>
      </c>
      <c r="B50" s="28" t="s">
        <v>367</v>
      </c>
      <c r="C50" s="28" t="s">
        <v>362</v>
      </c>
      <c r="D50" s="38" t="s">
        <v>198</v>
      </c>
      <c r="E50" s="6">
        <v>53</v>
      </c>
      <c r="F50" s="6">
        <v>3</v>
      </c>
      <c r="G50" s="67">
        <v>12</v>
      </c>
      <c r="H50" s="67">
        <v>1</v>
      </c>
      <c r="I50" s="6">
        <v>6</v>
      </c>
      <c r="J50" s="6">
        <v>0</v>
      </c>
      <c r="K50" s="67">
        <v>1</v>
      </c>
      <c r="L50" s="67">
        <v>0</v>
      </c>
      <c r="M50" s="6">
        <v>1</v>
      </c>
      <c r="N50" s="6">
        <v>0</v>
      </c>
      <c r="O50" s="2">
        <v>73</v>
      </c>
      <c r="P50" s="2">
        <v>4</v>
      </c>
    </row>
    <row r="51" spans="1:16" x14ac:dyDescent="0.25">
      <c r="A51" s="67">
        <v>25</v>
      </c>
      <c r="B51" s="67" t="s">
        <v>365</v>
      </c>
      <c r="C51" s="67" t="s">
        <v>362</v>
      </c>
      <c r="D51" s="41" t="s">
        <v>42</v>
      </c>
      <c r="E51" s="6">
        <v>41</v>
      </c>
      <c r="F51" s="6">
        <v>1</v>
      </c>
      <c r="G51" s="4">
        <v>17</v>
      </c>
      <c r="H51" s="4">
        <v>0</v>
      </c>
      <c r="I51" s="6">
        <v>5</v>
      </c>
      <c r="J51" s="6">
        <v>0</v>
      </c>
      <c r="K51" s="4">
        <v>7</v>
      </c>
      <c r="L51" s="4">
        <v>0</v>
      </c>
      <c r="M51" s="6">
        <v>0</v>
      </c>
      <c r="N51" s="6">
        <v>0</v>
      </c>
      <c r="O51" s="2">
        <v>70</v>
      </c>
      <c r="P51" s="2">
        <v>1</v>
      </c>
    </row>
    <row r="52" spans="1:16" x14ac:dyDescent="0.25">
      <c r="A52" s="67">
        <v>13</v>
      </c>
      <c r="B52" s="67" t="s">
        <v>391</v>
      </c>
      <c r="C52" s="67" t="s">
        <v>360</v>
      </c>
      <c r="D52" s="41" t="s">
        <v>21</v>
      </c>
      <c r="E52" s="6">
        <v>29</v>
      </c>
      <c r="F52" s="6">
        <v>0</v>
      </c>
      <c r="G52" s="4">
        <v>24</v>
      </c>
      <c r="H52" s="4">
        <v>0</v>
      </c>
      <c r="I52" s="6">
        <v>10</v>
      </c>
      <c r="J52" s="6">
        <v>0</v>
      </c>
      <c r="K52" s="4">
        <v>7</v>
      </c>
      <c r="L52" s="4">
        <v>0</v>
      </c>
      <c r="M52" s="6">
        <v>0</v>
      </c>
      <c r="N52" s="6">
        <v>0</v>
      </c>
      <c r="O52" s="2">
        <v>70</v>
      </c>
      <c r="P52" s="2">
        <v>0</v>
      </c>
    </row>
    <row r="53" spans="1:16" x14ac:dyDescent="0.25">
      <c r="A53" s="4">
        <v>5</v>
      </c>
      <c r="B53" s="4" t="s">
        <v>371</v>
      </c>
      <c r="C53" s="4" t="s">
        <v>362</v>
      </c>
      <c r="D53" s="40" t="s">
        <v>211</v>
      </c>
      <c r="E53" s="6">
        <v>44</v>
      </c>
      <c r="F53" s="6">
        <v>3</v>
      </c>
      <c r="G53" s="4">
        <v>17</v>
      </c>
      <c r="H53" s="4">
        <v>2</v>
      </c>
      <c r="I53" s="6">
        <v>7</v>
      </c>
      <c r="J53" s="6">
        <v>1</v>
      </c>
      <c r="K53" s="4">
        <v>1</v>
      </c>
      <c r="L53" s="4">
        <v>0</v>
      </c>
      <c r="M53" s="6">
        <v>0</v>
      </c>
      <c r="N53" s="6">
        <v>0</v>
      </c>
      <c r="O53" s="2">
        <v>69</v>
      </c>
      <c r="P53" s="2">
        <v>6</v>
      </c>
    </row>
    <row r="54" spans="1:16" x14ac:dyDescent="0.25">
      <c r="A54" s="67">
        <v>15</v>
      </c>
      <c r="B54" s="67" t="s">
        <v>378</v>
      </c>
      <c r="C54" s="67" t="s">
        <v>362</v>
      </c>
      <c r="D54" s="38" t="s">
        <v>282</v>
      </c>
      <c r="E54" s="6">
        <v>44</v>
      </c>
      <c r="F54" s="6">
        <v>3</v>
      </c>
      <c r="G54" s="67">
        <v>18</v>
      </c>
      <c r="H54" s="67">
        <v>0</v>
      </c>
      <c r="I54" s="6">
        <v>1</v>
      </c>
      <c r="J54" s="6">
        <v>0</v>
      </c>
      <c r="K54" s="67">
        <v>5</v>
      </c>
      <c r="L54" s="67">
        <v>0</v>
      </c>
      <c r="M54" s="6">
        <v>0</v>
      </c>
      <c r="N54" s="6">
        <v>0</v>
      </c>
      <c r="O54" s="2">
        <v>68</v>
      </c>
      <c r="P54" s="2">
        <v>3</v>
      </c>
    </row>
    <row r="55" spans="1:16" x14ac:dyDescent="0.25">
      <c r="A55" s="4">
        <v>5</v>
      </c>
      <c r="B55" s="4" t="s">
        <v>367</v>
      </c>
      <c r="C55" s="4" t="s">
        <v>362</v>
      </c>
      <c r="D55" s="35" t="s">
        <v>85</v>
      </c>
      <c r="E55" s="6">
        <v>46</v>
      </c>
      <c r="F55" s="6">
        <v>1</v>
      </c>
      <c r="G55" s="7">
        <v>6</v>
      </c>
      <c r="H55" s="7">
        <v>0</v>
      </c>
      <c r="I55" s="6">
        <v>9</v>
      </c>
      <c r="J55" s="6">
        <v>0</v>
      </c>
      <c r="K55" s="7">
        <v>3</v>
      </c>
      <c r="L55" s="7">
        <v>0</v>
      </c>
      <c r="M55" s="6">
        <v>0</v>
      </c>
      <c r="N55" s="6">
        <v>0</v>
      </c>
      <c r="O55" s="2">
        <v>64</v>
      </c>
      <c r="P55" s="2">
        <v>1</v>
      </c>
    </row>
    <row r="56" spans="1:16" x14ac:dyDescent="0.25">
      <c r="A56" s="67">
        <v>17</v>
      </c>
      <c r="B56" s="67" t="s">
        <v>372</v>
      </c>
      <c r="C56" s="67" t="s">
        <v>362</v>
      </c>
      <c r="D56" s="38" t="s">
        <v>200</v>
      </c>
      <c r="E56" s="6">
        <v>41</v>
      </c>
      <c r="F56" s="6">
        <v>2</v>
      </c>
      <c r="G56" s="67">
        <v>11</v>
      </c>
      <c r="H56" s="67">
        <v>0</v>
      </c>
      <c r="I56" s="6">
        <v>3</v>
      </c>
      <c r="J56" s="6">
        <v>0</v>
      </c>
      <c r="K56" s="67">
        <v>8</v>
      </c>
      <c r="L56" s="67">
        <v>0</v>
      </c>
      <c r="M56" s="6">
        <v>1</v>
      </c>
      <c r="N56" s="6">
        <v>0</v>
      </c>
      <c r="O56" s="2">
        <v>64</v>
      </c>
      <c r="P56" s="2">
        <v>2</v>
      </c>
    </row>
    <row r="57" spans="1:16" x14ac:dyDescent="0.25">
      <c r="A57" s="67">
        <v>7</v>
      </c>
      <c r="B57" s="67" t="s">
        <v>392</v>
      </c>
      <c r="C57" s="67" t="s">
        <v>364</v>
      </c>
      <c r="D57" s="41" t="s">
        <v>136</v>
      </c>
      <c r="E57" s="6">
        <v>38</v>
      </c>
      <c r="F57" s="6">
        <v>8</v>
      </c>
      <c r="G57" s="4">
        <v>17</v>
      </c>
      <c r="H57" s="4">
        <v>1</v>
      </c>
      <c r="I57" s="6">
        <v>0</v>
      </c>
      <c r="J57" s="6">
        <v>0</v>
      </c>
      <c r="K57" s="4">
        <v>3</v>
      </c>
      <c r="L57" s="4">
        <v>0</v>
      </c>
      <c r="M57" s="6">
        <v>0</v>
      </c>
      <c r="N57" s="6">
        <v>0</v>
      </c>
      <c r="O57" s="2">
        <v>58</v>
      </c>
      <c r="P57" s="2">
        <v>9</v>
      </c>
    </row>
    <row r="58" spans="1:16" x14ac:dyDescent="0.25">
      <c r="A58" s="67">
        <v>28</v>
      </c>
      <c r="B58" s="67" t="s">
        <v>393</v>
      </c>
      <c r="C58" s="67" t="s">
        <v>364</v>
      </c>
      <c r="D58" s="41" t="s">
        <v>33</v>
      </c>
      <c r="E58" s="6">
        <v>23</v>
      </c>
      <c r="F58" s="6">
        <v>3</v>
      </c>
      <c r="G58" s="4">
        <v>8</v>
      </c>
      <c r="H58" s="4">
        <v>0</v>
      </c>
      <c r="I58" s="6">
        <v>4</v>
      </c>
      <c r="J58" s="6">
        <v>1</v>
      </c>
      <c r="K58" s="4">
        <v>3</v>
      </c>
      <c r="L58" s="4">
        <v>0</v>
      </c>
      <c r="M58" s="6">
        <v>1</v>
      </c>
      <c r="N58" s="6">
        <v>0</v>
      </c>
      <c r="O58" s="2">
        <v>39</v>
      </c>
      <c r="P58" s="2">
        <v>4</v>
      </c>
    </row>
    <row r="59" spans="1:16" x14ac:dyDescent="0.25">
      <c r="A59" s="67">
        <v>28</v>
      </c>
      <c r="B59" s="67" t="s">
        <v>379</v>
      </c>
      <c r="C59" s="67" t="s">
        <v>363</v>
      </c>
      <c r="D59" s="38" t="s">
        <v>232</v>
      </c>
      <c r="E59" s="6">
        <v>25</v>
      </c>
      <c r="F59" s="6">
        <v>0</v>
      </c>
      <c r="G59" s="67">
        <v>6</v>
      </c>
      <c r="H59" s="67">
        <v>0</v>
      </c>
      <c r="I59" s="6">
        <v>3</v>
      </c>
      <c r="J59" s="6">
        <v>0</v>
      </c>
      <c r="K59" s="67">
        <v>5</v>
      </c>
      <c r="L59" s="67">
        <v>0</v>
      </c>
      <c r="M59" s="6">
        <v>0</v>
      </c>
      <c r="N59" s="6">
        <v>0</v>
      </c>
      <c r="O59" s="2">
        <v>39</v>
      </c>
      <c r="P59" s="2">
        <v>0</v>
      </c>
    </row>
    <row r="60" spans="1:16" x14ac:dyDescent="0.25">
      <c r="A60" s="67">
        <v>26</v>
      </c>
      <c r="B60" s="67" t="s">
        <v>394</v>
      </c>
      <c r="C60" s="67" t="s">
        <v>360</v>
      </c>
      <c r="D60" s="38" t="s">
        <v>31</v>
      </c>
      <c r="E60" s="6">
        <v>15</v>
      </c>
      <c r="F60" s="6">
        <v>0</v>
      </c>
      <c r="G60" s="67">
        <v>9</v>
      </c>
      <c r="H60" s="67">
        <v>0</v>
      </c>
      <c r="I60" s="6">
        <v>6</v>
      </c>
      <c r="J60" s="6">
        <v>0</v>
      </c>
      <c r="K60" s="67">
        <v>7</v>
      </c>
      <c r="L60" s="67">
        <v>0</v>
      </c>
      <c r="M60" s="6">
        <v>1</v>
      </c>
      <c r="N60" s="6">
        <v>0</v>
      </c>
      <c r="O60" s="2">
        <v>38</v>
      </c>
      <c r="P60" s="2">
        <v>0</v>
      </c>
    </row>
    <row r="61" spans="1:16" x14ac:dyDescent="0.25">
      <c r="A61" s="67">
        <v>12</v>
      </c>
      <c r="B61" s="67" t="s">
        <v>367</v>
      </c>
      <c r="C61" s="67" t="s">
        <v>364</v>
      </c>
      <c r="D61" s="38" t="s">
        <v>205</v>
      </c>
      <c r="E61" s="6">
        <v>25</v>
      </c>
      <c r="F61" s="6">
        <v>1</v>
      </c>
      <c r="G61" s="67">
        <v>9</v>
      </c>
      <c r="H61" s="67">
        <v>0</v>
      </c>
      <c r="I61" s="6">
        <v>2</v>
      </c>
      <c r="J61" s="6">
        <v>0</v>
      </c>
      <c r="K61" s="67">
        <v>1</v>
      </c>
      <c r="L61" s="67">
        <v>0</v>
      </c>
      <c r="M61" s="6">
        <v>0</v>
      </c>
      <c r="N61" s="6">
        <v>0</v>
      </c>
      <c r="O61" s="2">
        <v>37</v>
      </c>
      <c r="P61" s="2">
        <v>1</v>
      </c>
    </row>
    <row r="62" spans="1:16" x14ac:dyDescent="0.25">
      <c r="A62" s="67">
        <v>2</v>
      </c>
      <c r="B62" s="67" t="s">
        <v>361</v>
      </c>
      <c r="C62" s="67" t="s">
        <v>362</v>
      </c>
      <c r="D62" s="41" t="s">
        <v>9</v>
      </c>
      <c r="E62" s="6">
        <v>13</v>
      </c>
      <c r="F62" s="6">
        <v>1</v>
      </c>
      <c r="G62" s="4">
        <v>10</v>
      </c>
      <c r="H62" s="4">
        <v>1</v>
      </c>
      <c r="I62" s="6">
        <v>2</v>
      </c>
      <c r="J62" s="6">
        <v>0</v>
      </c>
      <c r="K62" s="4">
        <v>4</v>
      </c>
      <c r="L62" s="4">
        <v>0</v>
      </c>
      <c r="M62" s="6">
        <v>1</v>
      </c>
      <c r="N62" s="6">
        <v>0</v>
      </c>
      <c r="O62" s="2">
        <v>30</v>
      </c>
      <c r="P62" s="2">
        <v>2</v>
      </c>
    </row>
    <row r="63" spans="1:16" x14ac:dyDescent="0.25">
      <c r="A63" s="67">
        <v>30</v>
      </c>
      <c r="B63" s="67" t="s">
        <v>365</v>
      </c>
      <c r="C63" s="67" t="s">
        <v>364</v>
      </c>
      <c r="D63" s="38" t="s">
        <v>304</v>
      </c>
      <c r="E63" s="6">
        <v>17</v>
      </c>
      <c r="F63" s="6">
        <v>0</v>
      </c>
      <c r="G63" s="67">
        <v>5</v>
      </c>
      <c r="H63" s="67">
        <v>0</v>
      </c>
      <c r="I63" s="6">
        <v>1</v>
      </c>
      <c r="J63" s="6">
        <v>0</v>
      </c>
      <c r="K63" s="67">
        <v>4</v>
      </c>
      <c r="L63" s="67">
        <v>1</v>
      </c>
      <c r="M63" s="6">
        <v>0</v>
      </c>
      <c r="N63" s="6">
        <v>0</v>
      </c>
      <c r="O63" s="2">
        <v>28</v>
      </c>
      <c r="P63" s="2">
        <v>1</v>
      </c>
    </row>
    <row r="64" spans="1:16" x14ac:dyDescent="0.25">
      <c r="A64" s="67">
        <v>20</v>
      </c>
      <c r="B64" s="67" t="s">
        <v>372</v>
      </c>
      <c r="C64" s="67" t="s">
        <v>362</v>
      </c>
      <c r="D64" s="38" t="s">
        <v>231</v>
      </c>
      <c r="E64" s="6">
        <v>22</v>
      </c>
      <c r="F64" s="6">
        <v>1</v>
      </c>
      <c r="G64" s="67">
        <v>0</v>
      </c>
      <c r="H64" s="67">
        <v>0</v>
      </c>
      <c r="I64" s="6">
        <v>1</v>
      </c>
      <c r="J64" s="6">
        <v>0</v>
      </c>
      <c r="K64" s="67">
        <v>5</v>
      </c>
      <c r="L64" s="67">
        <v>0</v>
      </c>
      <c r="M64" s="6">
        <v>0</v>
      </c>
      <c r="N64" s="6">
        <v>0</v>
      </c>
      <c r="O64" s="2">
        <v>28</v>
      </c>
      <c r="P64" s="2">
        <v>1</v>
      </c>
    </row>
    <row r="65" spans="1:16" x14ac:dyDescent="0.25">
      <c r="A65" s="67">
        <v>12</v>
      </c>
      <c r="B65" s="67" t="s">
        <v>376</v>
      </c>
      <c r="C65" s="67" t="s">
        <v>362</v>
      </c>
      <c r="D65" s="41" t="s">
        <v>177</v>
      </c>
      <c r="E65" s="6">
        <v>14</v>
      </c>
      <c r="F65" s="6">
        <v>0</v>
      </c>
      <c r="G65" s="4">
        <v>6</v>
      </c>
      <c r="H65" s="4">
        <v>0</v>
      </c>
      <c r="I65" s="6">
        <v>1</v>
      </c>
      <c r="J65" s="6">
        <v>0</v>
      </c>
      <c r="K65" s="4">
        <v>2</v>
      </c>
      <c r="L65" s="4">
        <v>1</v>
      </c>
      <c r="M65" s="6">
        <v>0</v>
      </c>
      <c r="N65" s="6">
        <v>0</v>
      </c>
      <c r="O65" s="2">
        <v>23</v>
      </c>
      <c r="P65" s="2">
        <v>1</v>
      </c>
    </row>
    <row r="66" spans="1:16" x14ac:dyDescent="0.25">
      <c r="A66" s="67">
        <v>22</v>
      </c>
      <c r="B66" s="67" t="s">
        <v>359</v>
      </c>
      <c r="C66" s="67" t="s">
        <v>362</v>
      </c>
      <c r="D66" s="38" t="s">
        <v>201</v>
      </c>
      <c r="E66" s="6">
        <v>14</v>
      </c>
      <c r="F66" s="6">
        <v>0</v>
      </c>
      <c r="G66" s="67">
        <v>5</v>
      </c>
      <c r="H66" s="67">
        <v>1</v>
      </c>
      <c r="I66" s="6">
        <v>3</v>
      </c>
      <c r="J66" s="6">
        <v>0</v>
      </c>
      <c r="K66" s="67">
        <v>1</v>
      </c>
      <c r="L66" s="67">
        <v>0</v>
      </c>
      <c r="M66" s="6">
        <v>0</v>
      </c>
      <c r="N66" s="6">
        <v>0</v>
      </c>
      <c r="O66" s="2">
        <v>23</v>
      </c>
      <c r="P66" s="2">
        <v>1</v>
      </c>
    </row>
    <row r="67" spans="1:16" x14ac:dyDescent="0.25">
      <c r="A67" s="67">
        <v>28</v>
      </c>
      <c r="B67" s="67" t="s">
        <v>359</v>
      </c>
      <c r="C67" s="67" t="s">
        <v>364</v>
      </c>
      <c r="D67" s="41" t="s">
        <v>112</v>
      </c>
      <c r="E67" s="6">
        <v>12</v>
      </c>
      <c r="F67" s="6">
        <v>1</v>
      </c>
      <c r="G67" s="4">
        <v>3</v>
      </c>
      <c r="H67" s="4">
        <v>3</v>
      </c>
      <c r="I67" s="6">
        <v>4</v>
      </c>
      <c r="J67" s="6">
        <v>1</v>
      </c>
      <c r="K67" s="4">
        <v>3</v>
      </c>
      <c r="L67" s="4">
        <v>2</v>
      </c>
      <c r="M67" s="6">
        <v>0</v>
      </c>
      <c r="N67" s="6">
        <v>0</v>
      </c>
      <c r="O67" s="2">
        <v>22</v>
      </c>
      <c r="P67" s="2">
        <v>7</v>
      </c>
    </row>
    <row r="68" spans="1:16" x14ac:dyDescent="0.25">
      <c r="A68" s="4">
        <v>22</v>
      </c>
      <c r="B68" s="4" t="s">
        <v>361</v>
      </c>
      <c r="C68" s="4" t="s">
        <v>364</v>
      </c>
      <c r="D68" s="36" t="s">
        <v>28</v>
      </c>
      <c r="E68" s="6">
        <v>11</v>
      </c>
      <c r="F68" s="6">
        <v>0</v>
      </c>
      <c r="G68" s="4">
        <v>4</v>
      </c>
      <c r="H68" s="4">
        <v>1</v>
      </c>
      <c r="I68" s="6">
        <v>4</v>
      </c>
      <c r="J68" s="6">
        <v>0</v>
      </c>
      <c r="K68" s="4">
        <v>0</v>
      </c>
      <c r="L68" s="4">
        <v>0</v>
      </c>
      <c r="M68" s="6">
        <v>1</v>
      </c>
      <c r="N68" s="6">
        <v>0</v>
      </c>
      <c r="O68" s="2">
        <v>20</v>
      </c>
      <c r="P68" s="2">
        <v>1</v>
      </c>
    </row>
    <row r="69" spans="1:16" x14ac:dyDescent="0.25">
      <c r="A69" s="67">
        <v>16</v>
      </c>
      <c r="B69" s="67" t="s">
        <v>395</v>
      </c>
      <c r="C69" s="67" t="s">
        <v>363</v>
      </c>
      <c r="D69" s="38" t="s">
        <v>324</v>
      </c>
      <c r="E69" s="6">
        <v>7</v>
      </c>
      <c r="F69" s="6">
        <v>0</v>
      </c>
      <c r="G69" s="67">
        <v>6</v>
      </c>
      <c r="H69" s="67">
        <v>0</v>
      </c>
      <c r="I69" s="6">
        <v>4</v>
      </c>
      <c r="J69" s="6">
        <v>0</v>
      </c>
      <c r="K69" s="67">
        <v>3</v>
      </c>
      <c r="L69" s="67">
        <v>0</v>
      </c>
      <c r="M69" s="6">
        <v>0</v>
      </c>
      <c r="N69" s="6">
        <v>0</v>
      </c>
      <c r="O69" s="2">
        <v>20</v>
      </c>
      <c r="P69" s="2">
        <v>0</v>
      </c>
    </row>
    <row r="70" spans="1:16" x14ac:dyDescent="0.25">
      <c r="A70" s="4">
        <v>27</v>
      </c>
      <c r="B70" s="4" t="s">
        <v>373</v>
      </c>
      <c r="C70" s="4" t="s">
        <v>364</v>
      </c>
      <c r="D70" s="36" t="s">
        <v>32</v>
      </c>
      <c r="E70" s="6">
        <v>10</v>
      </c>
      <c r="F70" s="6">
        <v>1</v>
      </c>
      <c r="G70" s="4">
        <v>3</v>
      </c>
      <c r="H70" s="4">
        <v>0</v>
      </c>
      <c r="I70" s="6">
        <v>2</v>
      </c>
      <c r="J70" s="6">
        <v>0</v>
      </c>
      <c r="K70" s="4">
        <v>3</v>
      </c>
      <c r="L70" s="4">
        <v>0</v>
      </c>
      <c r="M70" s="6">
        <v>0</v>
      </c>
      <c r="N70" s="6">
        <v>0</v>
      </c>
      <c r="O70" s="2">
        <v>18</v>
      </c>
      <c r="P70" s="2">
        <v>1</v>
      </c>
    </row>
    <row r="71" spans="1:16" x14ac:dyDescent="0.25">
      <c r="A71" s="67">
        <v>32</v>
      </c>
      <c r="B71" s="67" t="s">
        <v>365</v>
      </c>
      <c r="C71" s="67" t="s">
        <v>364</v>
      </c>
      <c r="D71" s="41" t="s">
        <v>36</v>
      </c>
      <c r="E71" s="6">
        <v>4</v>
      </c>
      <c r="F71" s="6">
        <v>0</v>
      </c>
      <c r="G71" s="4">
        <v>0</v>
      </c>
      <c r="H71" s="4">
        <v>0</v>
      </c>
      <c r="I71" s="6">
        <v>4</v>
      </c>
      <c r="J71" s="6">
        <v>0</v>
      </c>
      <c r="K71" s="4">
        <v>4</v>
      </c>
      <c r="L71" s="4">
        <v>0</v>
      </c>
      <c r="M71" s="6">
        <v>0</v>
      </c>
      <c r="N71" s="6">
        <v>0</v>
      </c>
      <c r="O71" s="2">
        <v>12</v>
      </c>
      <c r="P71" s="2">
        <v>0</v>
      </c>
    </row>
    <row r="72" spans="1:16" x14ac:dyDescent="0.25">
      <c r="A72" s="67">
        <v>26</v>
      </c>
      <c r="B72" s="67" t="s">
        <v>396</v>
      </c>
      <c r="C72" s="67" t="s">
        <v>364</v>
      </c>
      <c r="D72" s="38" t="s">
        <v>214</v>
      </c>
      <c r="E72" s="6">
        <v>2</v>
      </c>
      <c r="F72" s="6">
        <v>0</v>
      </c>
      <c r="G72" s="67">
        <v>5</v>
      </c>
      <c r="H72" s="67">
        <v>2</v>
      </c>
      <c r="I72" s="6">
        <v>1</v>
      </c>
      <c r="J72" s="6">
        <v>0</v>
      </c>
      <c r="K72" s="67">
        <v>3</v>
      </c>
      <c r="L72" s="67">
        <v>0</v>
      </c>
      <c r="M72" s="6">
        <v>0</v>
      </c>
      <c r="N72" s="6">
        <v>0</v>
      </c>
      <c r="O72" s="2">
        <v>11</v>
      </c>
      <c r="P72" s="2">
        <v>2</v>
      </c>
    </row>
    <row r="73" spans="1:16" x14ac:dyDescent="0.25">
      <c r="A73" s="67">
        <v>27</v>
      </c>
      <c r="B73" s="67" t="s">
        <v>371</v>
      </c>
      <c r="C73" s="67" t="s">
        <v>362</v>
      </c>
      <c r="D73" s="38" t="s">
        <v>174</v>
      </c>
      <c r="E73" s="6">
        <v>7</v>
      </c>
      <c r="F73" s="6">
        <v>0</v>
      </c>
      <c r="G73" s="67">
        <v>1</v>
      </c>
      <c r="H73" s="67">
        <v>0</v>
      </c>
      <c r="I73" s="6">
        <v>0</v>
      </c>
      <c r="J73" s="6">
        <v>0</v>
      </c>
      <c r="K73" s="67">
        <v>0</v>
      </c>
      <c r="L73" s="67">
        <v>0</v>
      </c>
      <c r="M73" s="6">
        <v>0</v>
      </c>
      <c r="N73" s="6">
        <v>0</v>
      </c>
      <c r="O73" s="2">
        <v>8</v>
      </c>
      <c r="P73" s="2">
        <v>0</v>
      </c>
    </row>
    <row r="74" spans="1:16" x14ac:dyDescent="0.25">
      <c r="A74" s="67">
        <v>22</v>
      </c>
      <c r="B74" s="67" t="s">
        <v>361</v>
      </c>
      <c r="C74" s="67" t="s">
        <v>363</v>
      </c>
      <c r="D74" s="41" t="s">
        <v>111</v>
      </c>
      <c r="E74" s="6">
        <v>0</v>
      </c>
      <c r="F74" s="6">
        <v>0</v>
      </c>
      <c r="G74" s="4">
        <v>0</v>
      </c>
      <c r="H74" s="4">
        <v>0</v>
      </c>
      <c r="I74" s="6">
        <v>5</v>
      </c>
      <c r="J74" s="6">
        <v>0</v>
      </c>
      <c r="K74" s="4">
        <v>3</v>
      </c>
      <c r="L74" s="4">
        <v>0</v>
      </c>
      <c r="M74" s="6">
        <v>0</v>
      </c>
      <c r="N74" s="6">
        <v>0</v>
      </c>
      <c r="O74" s="2">
        <v>8</v>
      </c>
      <c r="P74" s="2">
        <v>0</v>
      </c>
    </row>
    <row r="75" spans="1:16" x14ac:dyDescent="0.25">
      <c r="A75" s="4">
        <v>31</v>
      </c>
      <c r="B75" s="4" t="s">
        <v>390</v>
      </c>
      <c r="C75" s="4" t="s">
        <v>364</v>
      </c>
      <c r="D75" s="169" t="s">
        <v>41</v>
      </c>
      <c r="E75" s="6">
        <v>1</v>
      </c>
      <c r="F75" s="6">
        <v>0</v>
      </c>
      <c r="G75" s="4">
        <v>2</v>
      </c>
      <c r="H75" s="4">
        <v>0</v>
      </c>
      <c r="I75" s="6">
        <v>0</v>
      </c>
      <c r="J75" s="6">
        <v>0</v>
      </c>
      <c r="K75" s="4">
        <v>2</v>
      </c>
      <c r="L75" s="4">
        <v>0</v>
      </c>
      <c r="M75" s="6">
        <v>0</v>
      </c>
      <c r="N75" s="6">
        <v>0</v>
      </c>
      <c r="O75" s="2">
        <v>7</v>
      </c>
      <c r="P75" s="2">
        <v>0</v>
      </c>
    </row>
    <row r="76" spans="1:16" x14ac:dyDescent="0.25">
      <c r="A76" s="67">
        <v>30</v>
      </c>
      <c r="B76" s="67" t="s">
        <v>396</v>
      </c>
      <c r="C76" s="67" t="s">
        <v>360</v>
      </c>
      <c r="D76" s="38" t="s">
        <v>269</v>
      </c>
      <c r="E76" s="6">
        <v>0</v>
      </c>
      <c r="F76" s="6">
        <v>0</v>
      </c>
      <c r="G76" s="67">
        <v>5</v>
      </c>
      <c r="H76" s="67">
        <v>0</v>
      </c>
      <c r="I76" s="6">
        <v>2</v>
      </c>
      <c r="J76" s="6">
        <v>0</v>
      </c>
      <c r="K76" s="67">
        <v>0</v>
      </c>
      <c r="L76" s="67">
        <v>0</v>
      </c>
      <c r="M76" s="6">
        <v>0</v>
      </c>
      <c r="N76" s="6">
        <v>0</v>
      </c>
      <c r="O76" s="2">
        <v>7</v>
      </c>
      <c r="P76" s="2">
        <v>0</v>
      </c>
    </row>
    <row r="77" spans="1:16" x14ac:dyDescent="0.25">
      <c r="A77" s="67">
        <v>27</v>
      </c>
      <c r="B77" s="67" t="s">
        <v>367</v>
      </c>
      <c r="C77" s="67" t="s">
        <v>364</v>
      </c>
      <c r="D77" s="38" t="s">
        <v>271</v>
      </c>
      <c r="E77" s="6">
        <v>1</v>
      </c>
      <c r="F77" s="6">
        <v>0</v>
      </c>
      <c r="G77" s="67">
        <v>3</v>
      </c>
      <c r="H77" s="67">
        <v>1</v>
      </c>
      <c r="I77" s="6">
        <v>1</v>
      </c>
      <c r="J77" s="6">
        <v>0</v>
      </c>
      <c r="K77" s="67">
        <v>1</v>
      </c>
      <c r="L77" s="67">
        <v>0</v>
      </c>
      <c r="M77" s="6">
        <v>0</v>
      </c>
      <c r="N77" s="6">
        <v>0</v>
      </c>
      <c r="O77" s="2">
        <v>6</v>
      </c>
      <c r="P77" s="2">
        <v>1</v>
      </c>
    </row>
    <row r="78" spans="1:16" x14ac:dyDescent="0.25">
      <c r="A78" s="67">
        <v>13</v>
      </c>
      <c r="B78" s="67" t="s">
        <v>397</v>
      </c>
      <c r="C78" s="67" t="s">
        <v>360</v>
      </c>
      <c r="D78" s="38" t="s">
        <v>213</v>
      </c>
      <c r="E78" s="6">
        <v>1</v>
      </c>
      <c r="F78" s="6">
        <v>0</v>
      </c>
      <c r="G78" s="67">
        <v>4</v>
      </c>
      <c r="H78" s="67">
        <v>0</v>
      </c>
      <c r="I78" s="6">
        <v>0</v>
      </c>
      <c r="J78" s="6">
        <v>0</v>
      </c>
      <c r="K78" s="67">
        <v>1</v>
      </c>
      <c r="L78" s="67">
        <v>0</v>
      </c>
      <c r="M78" s="6">
        <v>0</v>
      </c>
      <c r="N78" s="6">
        <v>0</v>
      </c>
      <c r="O78" s="2">
        <v>6</v>
      </c>
      <c r="P78" s="2">
        <v>0</v>
      </c>
    </row>
    <row r="79" spans="1:16" x14ac:dyDescent="0.25">
      <c r="A79" s="67">
        <v>22</v>
      </c>
      <c r="B79" s="67" t="s">
        <v>359</v>
      </c>
      <c r="C79" s="67" t="s">
        <v>363</v>
      </c>
      <c r="D79" s="41" t="s">
        <v>193</v>
      </c>
      <c r="E79" s="6">
        <v>4</v>
      </c>
      <c r="F79" s="6">
        <v>0</v>
      </c>
      <c r="G79" s="4">
        <v>2</v>
      </c>
      <c r="H79" s="4">
        <v>0</v>
      </c>
      <c r="I79" s="6">
        <v>0</v>
      </c>
      <c r="J79" s="6">
        <v>0</v>
      </c>
      <c r="K79" s="4">
        <v>0</v>
      </c>
      <c r="L79" s="4">
        <v>0</v>
      </c>
      <c r="M79" s="6">
        <v>0</v>
      </c>
      <c r="N79" s="6">
        <v>0</v>
      </c>
      <c r="O79" s="2">
        <v>6</v>
      </c>
      <c r="P79" s="2">
        <v>0</v>
      </c>
    </row>
    <row r="80" spans="1:16" x14ac:dyDescent="0.25">
      <c r="A80" s="67">
        <v>43</v>
      </c>
      <c r="B80" s="67" t="s">
        <v>365</v>
      </c>
      <c r="C80" s="67" t="s">
        <v>363</v>
      </c>
      <c r="D80" s="41" t="s">
        <v>124</v>
      </c>
      <c r="E80" s="6">
        <v>0</v>
      </c>
      <c r="F80" s="6">
        <v>0</v>
      </c>
      <c r="G80" s="4">
        <v>0</v>
      </c>
      <c r="H80" s="4">
        <v>0</v>
      </c>
      <c r="I80" s="6">
        <v>0</v>
      </c>
      <c r="J80" s="6">
        <v>0</v>
      </c>
      <c r="K80" s="4">
        <v>3</v>
      </c>
      <c r="L80" s="4">
        <v>0</v>
      </c>
      <c r="M80" s="6">
        <v>0</v>
      </c>
      <c r="N80" s="6">
        <v>0</v>
      </c>
      <c r="O80" s="2">
        <v>3</v>
      </c>
      <c r="P80" s="2">
        <v>0</v>
      </c>
    </row>
    <row r="81" spans="1:16" x14ac:dyDescent="0.25">
      <c r="A81" s="67">
        <v>58</v>
      </c>
      <c r="B81" s="67" t="s">
        <v>365</v>
      </c>
      <c r="C81" s="67" t="s">
        <v>363</v>
      </c>
      <c r="D81" s="41" t="s">
        <v>128</v>
      </c>
      <c r="E81" s="6">
        <v>0</v>
      </c>
      <c r="F81" s="6">
        <v>0</v>
      </c>
      <c r="G81" s="4">
        <v>3</v>
      </c>
      <c r="H81" s="4">
        <v>0</v>
      </c>
      <c r="I81" s="6">
        <v>0</v>
      </c>
      <c r="J81" s="6">
        <v>0</v>
      </c>
      <c r="K81" s="4">
        <v>0</v>
      </c>
      <c r="L81" s="4">
        <v>0</v>
      </c>
      <c r="M81" s="6">
        <v>0</v>
      </c>
      <c r="N81" s="6">
        <v>0</v>
      </c>
      <c r="O81" s="2">
        <v>3</v>
      </c>
      <c r="P81" s="2">
        <v>0</v>
      </c>
    </row>
    <row r="82" spans="1:16" x14ac:dyDescent="0.25">
      <c r="A82" s="67">
        <v>47</v>
      </c>
      <c r="B82" s="67" t="s">
        <v>365</v>
      </c>
      <c r="C82" s="67" t="s">
        <v>362</v>
      </c>
      <c r="D82" s="38" t="s">
        <v>186</v>
      </c>
      <c r="E82" s="6">
        <v>0</v>
      </c>
      <c r="F82" s="6">
        <v>0</v>
      </c>
      <c r="G82" s="67">
        <v>2</v>
      </c>
      <c r="H82" s="67">
        <v>0</v>
      </c>
      <c r="I82" s="6">
        <v>1</v>
      </c>
      <c r="J82" s="6">
        <v>0</v>
      </c>
      <c r="K82" s="67">
        <v>0</v>
      </c>
      <c r="L82" s="67">
        <v>0</v>
      </c>
      <c r="M82" s="6">
        <v>0</v>
      </c>
      <c r="N82" s="6">
        <v>0</v>
      </c>
      <c r="O82" s="2">
        <v>3</v>
      </c>
      <c r="P82" s="2">
        <v>0</v>
      </c>
    </row>
    <row r="83" spans="1:16" x14ac:dyDescent="0.25">
      <c r="A83" s="67">
        <v>37</v>
      </c>
      <c r="B83" s="67" t="s">
        <v>378</v>
      </c>
      <c r="C83" s="67" t="s">
        <v>362</v>
      </c>
      <c r="D83" s="41" t="s">
        <v>86</v>
      </c>
      <c r="E83" s="6">
        <v>0</v>
      </c>
      <c r="F83" s="6">
        <v>0</v>
      </c>
      <c r="G83" s="4">
        <v>0</v>
      </c>
      <c r="H83" s="4">
        <v>0</v>
      </c>
      <c r="I83" s="6">
        <v>0</v>
      </c>
      <c r="J83" s="6">
        <v>0</v>
      </c>
      <c r="K83" s="4">
        <v>2</v>
      </c>
      <c r="L83" s="4">
        <v>0</v>
      </c>
      <c r="M83" s="6">
        <v>0</v>
      </c>
      <c r="N83" s="6">
        <v>0</v>
      </c>
      <c r="O83" s="2">
        <v>2</v>
      </c>
      <c r="P83" s="2">
        <v>0</v>
      </c>
    </row>
    <row r="84" spans="1:16" x14ac:dyDescent="0.25">
      <c r="A84" s="67">
        <v>43</v>
      </c>
      <c r="B84" s="67" t="s">
        <v>385</v>
      </c>
      <c r="C84" s="67" t="s">
        <v>363</v>
      </c>
      <c r="D84" s="41" t="s">
        <v>187</v>
      </c>
      <c r="E84" s="6">
        <v>0</v>
      </c>
      <c r="F84" s="6">
        <v>0</v>
      </c>
      <c r="G84" s="4">
        <v>2</v>
      </c>
      <c r="H84" s="4">
        <v>0</v>
      </c>
      <c r="I84" s="6">
        <v>0</v>
      </c>
      <c r="J84" s="6">
        <v>0</v>
      </c>
      <c r="K84" s="4">
        <v>0</v>
      </c>
      <c r="L84" s="4">
        <v>0</v>
      </c>
      <c r="M84" s="6">
        <v>0</v>
      </c>
      <c r="N84" s="6">
        <v>0</v>
      </c>
      <c r="O84" s="2">
        <v>2</v>
      </c>
      <c r="P84" s="2">
        <v>0</v>
      </c>
    </row>
    <row r="85" spans="1:16" x14ac:dyDescent="0.25">
      <c r="A85" s="67">
        <v>42</v>
      </c>
      <c r="B85" s="67" t="s">
        <v>365</v>
      </c>
      <c r="C85" s="67" t="s">
        <v>363</v>
      </c>
      <c r="D85" s="38" t="s">
        <v>38</v>
      </c>
      <c r="E85" s="6">
        <v>0</v>
      </c>
      <c r="F85" s="6">
        <v>0</v>
      </c>
      <c r="G85" s="67">
        <v>0</v>
      </c>
      <c r="H85" s="67">
        <v>0</v>
      </c>
      <c r="I85" s="6">
        <v>0</v>
      </c>
      <c r="J85" s="6">
        <v>0</v>
      </c>
      <c r="K85" s="67">
        <v>2</v>
      </c>
      <c r="L85" s="67">
        <v>0</v>
      </c>
      <c r="M85" s="6">
        <v>0</v>
      </c>
      <c r="N85" s="6">
        <v>0</v>
      </c>
      <c r="O85" s="2">
        <v>2</v>
      </c>
      <c r="P85" s="2">
        <v>0</v>
      </c>
    </row>
    <row r="86" spans="1:16" x14ac:dyDescent="0.25">
      <c r="A86" s="67">
        <v>87</v>
      </c>
      <c r="B86" s="67" t="s">
        <v>365</v>
      </c>
      <c r="C86" s="67" t="s">
        <v>363</v>
      </c>
      <c r="D86" s="38" t="s">
        <v>235</v>
      </c>
      <c r="E86" s="6">
        <v>0</v>
      </c>
      <c r="F86" s="6">
        <v>0</v>
      </c>
      <c r="G86" s="67">
        <v>0</v>
      </c>
      <c r="H86" s="67">
        <v>0</v>
      </c>
      <c r="I86" s="6">
        <v>1</v>
      </c>
      <c r="J86" s="6">
        <v>0</v>
      </c>
      <c r="K86" s="67">
        <v>1</v>
      </c>
      <c r="L86" s="67">
        <v>1</v>
      </c>
      <c r="M86" s="6">
        <v>0</v>
      </c>
      <c r="N86" s="6">
        <v>0</v>
      </c>
      <c r="O86" s="2">
        <v>2</v>
      </c>
      <c r="P86" s="2">
        <v>1</v>
      </c>
    </row>
    <row r="87" spans="1:16" x14ac:dyDescent="0.25">
      <c r="A87" s="67">
        <v>65</v>
      </c>
      <c r="B87" s="67" t="s">
        <v>365</v>
      </c>
      <c r="C87" s="67" t="s">
        <v>363</v>
      </c>
      <c r="D87" s="38" t="s">
        <v>127</v>
      </c>
      <c r="E87" s="6">
        <v>0</v>
      </c>
      <c r="F87" s="6">
        <v>0</v>
      </c>
      <c r="G87" s="67">
        <v>1</v>
      </c>
      <c r="H87" s="67">
        <v>0</v>
      </c>
      <c r="I87" s="6">
        <v>0</v>
      </c>
      <c r="J87" s="6">
        <v>0</v>
      </c>
      <c r="K87" s="67">
        <v>1</v>
      </c>
      <c r="L87" s="67">
        <v>0</v>
      </c>
      <c r="M87" s="6">
        <v>0</v>
      </c>
      <c r="N87" s="6">
        <v>0</v>
      </c>
      <c r="O87" s="2">
        <v>2</v>
      </c>
      <c r="P87" s="2">
        <v>0</v>
      </c>
    </row>
    <row r="88" spans="1:16" x14ac:dyDescent="0.25">
      <c r="A88" s="67">
        <v>68</v>
      </c>
      <c r="B88" s="67" t="s">
        <v>365</v>
      </c>
      <c r="C88" s="67" t="s">
        <v>364</v>
      </c>
      <c r="D88" s="38" t="s">
        <v>115</v>
      </c>
      <c r="E88" s="6">
        <v>0</v>
      </c>
      <c r="F88" s="6">
        <v>0</v>
      </c>
      <c r="G88" s="67">
        <v>0</v>
      </c>
      <c r="H88" s="67">
        <v>0</v>
      </c>
      <c r="I88" s="6">
        <v>0</v>
      </c>
      <c r="J88" s="6">
        <v>0</v>
      </c>
      <c r="K88" s="67">
        <v>2</v>
      </c>
      <c r="L88" s="67">
        <v>0</v>
      </c>
      <c r="M88" s="6">
        <v>0</v>
      </c>
      <c r="N88" s="6">
        <v>0</v>
      </c>
      <c r="O88" s="2">
        <v>2</v>
      </c>
      <c r="P88" s="2">
        <v>0</v>
      </c>
    </row>
    <row r="89" spans="1:16" x14ac:dyDescent="0.25">
      <c r="A89" s="67">
        <v>37</v>
      </c>
      <c r="B89" s="67" t="s">
        <v>365</v>
      </c>
      <c r="C89" s="67" t="s">
        <v>364</v>
      </c>
      <c r="D89" s="38" t="s">
        <v>317</v>
      </c>
      <c r="E89" s="6">
        <v>1</v>
      </c>
      <c r="F89" s="6">
        <v>0</v>
      </c>
      <c r="G89" s="67">
        <v>1</v>
      </c>
      <c r="H89" s="67">
        <v>0</v>
      </c>
      <c r="I89" s="6">
        <v>0</v>
      </c>
      <c r="J89" s="6">
        <v>0</v>
      </c>
      <c r="K89" s="67">
        <v>0</v>
      </c>
      <c r="L89" s="67">
        <v>0</v>
      </c>
      <c r="M89" s="6">
        <v>0</v>
      </c>
      <c r="N89" s="6">
        <v>0</v>
      </c>
      <c r="O89" s="2">
        <v>2</v>
      </c>
      <c r="P89" s="2">
        <v>0</v>
      </c>
    </row>
    <row r="90" spans="1:16" x14ac:dyDescent="0.25">
      <c r="A90" s="67">
        <v>66</v>
      </c>
      <c r="B90" s="67" t="s">
        <v>365</v>
      </c>
      <c r="C90" s="67" t="s">
        <v>363</v>
      </c>
      <c r="D90" s="38" t="s">
        <v>216</v>
      </c>
      <c r="E90" s="6">
        <v>0</v>
      </c>
      <c r="F90" s="6">
        <v>0</v>
      </c>
      <c r="G90" s="67">
        <v>1</v>
      </c>
      <c r="H90" s="67">
        <v>0</v>
      </c>
      <c r="I90" s="6">
        <v>0</v>
      </c>
      <c r="J90" s="6">
        <v>0</v>
      </c>
      <c r="K90" s="67">
        <v>0</v>
      </c>
      <c r="L90" s="67">
        <v>0</v>
      </c>
      <c r="M90" s="6">
        <v>0</v>
      </c>
      <c r="N90" s="6">
        <v>0</v>
      </c>
      <c r="O90" s="2">
        <v>1</v>
      </c>
      <c r="P90" s="2">
        <v>0</v>
      </c>
    </row>
    <row r="91" spans="1:16" x14ac:dyDescent="0.25">
      <c r="A91" s="67">
        <v>36</v>
      </c>
      <c r="B91" s="67" t="s">
        <v>398</v>
      </c>
      <c r="C91" s="67" t="s">
        <v>363</v>
      </c>
      <c r="D91" s="41" t="s">
        <v>100</v>
      </c>
      <c r="E91" s="6">
        <v>0</v>
      </c>
      <c r="F91" s="6">
        <v>0</v>
      </c>
      <c r="G91" s="67">
        <v>0</v>
      </c>
      <c r="H91" s="67">
        <v>0</v>
      </c>
      <c r="I91" s="6">
        <v>0</v>
      </c>
      <c r="J91" s="6">
        <v>0</v>
      </c>
      <c r="K91" s="67">
        <v>1</v>
      </c>
      <c r="L91" s="67">
        <v>0</v>
      </c>
      <c r="M91" s="6">
        <v>0</v>
      </c>
      <c r="N91" s="6">
        <v>0</v>
      </c>
      <c r="O91" s="2">
        <v>1</v>
      </c>
      <c r="P91" s="2">
        <v>0</v>
      </c>
    </row>
    <row r="92" spans="1:16" x14ac:dyDescent="0.25">
      <c r="A92" s="67">
        <v>42</v>
      </c>
      <c r="B92" s="67" t="s">
        <v>365</v>
      </c>
      <c r="C92" s="67" t="s">
        <v>363</v>
      </c>
      <c r="D92" s="38" t="s">
        <v>215</v>
      </c>
      <c r="E92" s="6">
        <v>0</v>
      </c>
      <c r="F92" s="6">
        <v>0</v>
      </c>
      <c r="G92" s="67">
        <v>1</v>
      </c>
      <c r="H92" s="67">
        <v>0</v>
      </c>
      <c r="I92" s="6">
        <v>0</v>
      </c>
      <c r="J92" s="6">
        <v>0</v>
      </c>
      <c r="K92" s="67">
        <v>0</v>
      </c>
      <c r="L92" s="67">
        <v>0</v>
      </c>
      <c r="M92" s="6">
        <v>0</v>
      </c>
      <c r="N92" s="6">
        <v>0</v>
      </c>
      <c r="O92" s="2">
        <v>1</v>
      </c>
      <c r="P92" s="2">
        <v>0</v>
      </c>
    </row>
    <row r="93" spans="1:16" x14ac:dyDescent="0.25">
      <c r="A93" s="67">
        <v>47</v>
      </c>
      <c r="B93" s="67" t="s">
        <v>399</v>
      </c>
      <c r="C93" s="67" t="s">
        <v>363</v>
      </c>
      <c r="D93" s="38" t="s">
        <v>102</v>
      </c>
      <c r="E93" s="6">
        <v>0</v>
      </c>
      <c r="F93" s="6">
        <v>0</v>
      </c>
      <c r="G93" s="67">
        <v>0</v>
      </c>
      <c r="H93" s="67">
        <v>0</v>
      </c>
      <c r="I93" s="6">
        <v>0</v>
      </c>
      <c r="J93" s="6">
        <v>0</v>
      </c>
      <c r="K93" s="67">
        <v>1</v>
      </c>
      <c r="L93" s="67">
        <v>0</v>
      </c>
      <c r="M93" s="6">
        <v>0</v>
      </c>
      <c r="N93" s="6">
        <v>0</v>
      </c>
      <c r="O93" s="2">
        <v>1</v>
      </c>
      <c r="P93" s="2">
        <v>0</v>
      </c>
    </row>
    <row r="94" spans="1:16" x14ac:dyDescent="0.25">
      <c r="A94" s="67">
        <v>33</v>
      </c>
      <c r="B94" s="67" t="s">
        <v>365</v>
      </c>
      <c r="C94" s="67" t="s">
        <v>360</v>
      </c>
      <c r="D94" s="38" t="s">
        <v>130</v>
      </c>
      <c r="E94" s="6">
        <v>0</v>
      </c>
      <c r="F94" s="6">
        <v>0</v>
      </c>
      <c r="G94" s="67">
        <v>0</v>
      </c>
      <c r="H94" s="67">
        <v>0</v>
      </c>
      <c r="I94" s="6">
        <v>0</v>
      </c>
      <c r="J94" s="6">
        <v>0</v>
      </c>
      <c r="K94" s="67">
        <v>1</v>
      </c>
      <c r="L94" s="67">
        <v>0</v>
      </c>
      <c r="M94" s="6">
        <v>0</v>
      </c>
      <c r="N94" s="6">
        <v>0</v>
      </c>
      <c r="O94" s="2">
        <v>1</v>
      </c>
      <c r="P94" s="2">
        <v>0</v>
      </c>
    </row>
    <row r="95" spans="1:16" x14ac:dyDescent="0.25">
      <c r="A95" s="67">
        <v>73</v>
      </c>
      <c r="B95" s="67" t="s">
        <v>365</v>
      </c>
      <c r="C95" s="67" t="s">
        <v>362</v>
      </c>
      <c r="D95" s="38" t="s">
        <v>43</v>
      </c>
      <c r="E95" s="6">
        <v>0</v>
      </c>
      <c r="F95" s="6">
        <v>0</v>
      </c>
      <c r="G95" s="67">
        <v>0</v>
      </c>
      <c r="H95" s="67">
        <v>0</v>
      </c>
      <c r="I95" s="6">
        <v>0</v>
      </c>
      <c r="J95" s="6">
        <v>0</v>
      </c>
      <c r="K95" s="67">
        <v>0</v>
      </c>
      <c r="L95" s="67">
        <v>0</v>
      </c>
      <c r="M95" s="6">
        <v>1</v>
      </c>
      <c r="N95" s="6">
        <v>0</v>
      </c>
      <c r="O95" s="2">
        <v>1</v>
      </c>
      <c r="P95" s="2">
        <v>0</v>
      </c>
    </row>
    <row r="96" spans="1:16" x14ac:dyDescent="0.25">
      <c r="A96" s="67">
        <v>76</v>
      </c>
      <c r="B96" s="67" t="s">
        <v>365</v>
      </c>
      <c r="C96" s="67" t="s">
        <v>362</v>
      </c>
      <c r="D96" s="38" t="s">
        <v>314</v>
      </c>
      <c r="E96" s="6">
        <v>0</v>
      </c>
      <c r="F96" s="6">
        <v>0</v>
      </c>
      <c r="G96" s="67">
        <v>0</v>
      </c>
      <c r="H96" s="67">
        <v>0</v>
      </c>
      <c r="I96" s="6">
        <v>0</v>
      </c>
      <c r="J96" s="6">
        <v>0</v>
      </c>
      <c r="K96" s="67">
        <v>1</v>
      </c>
      <c r="L96" s="67">
        <v>0</v>
      </c>
      <c r="M96" s="6">
        <v>0</v>
      </c>
      <c r="N96" s="6">
        <v>0</v>
      </c>
      <c r="O96" s="2">
        <v>1</v>
      </c>
      <c r="P96" s="2">
        <v>0</v>
      </c>
    </row>
    <row r="97" spans="1:16" x14ac:dyDescent="0.25">
      <c r="A97" s="67">
        <v>47</v>
      </c>
      <c r="B97" s="67" t="s">
        <v>400</v>
      </c>
      <c r="C97" s="67" t="s">
        <v>362</v>
      </c>
      <c r="D97" s="38" t="s">
        <v>309</v>
      </c>
      <c r="E97" s="6">
        <v>0</v>
      </c>
      <c r="F97" s="6">
        <v>0</v>
      </c>
      <c r="G97" s="67">
        <v>0</v>
      </c>
      <c r="H97" s="67">
        <v>0</v>
      </c>
      <c r="I97" s="6">
        <v>0</v>
      </c>
      <c r="J97" s="6">
        <v>0</v>
      </c>
      <c r="K97" s="67">
        <v>1</v>
      </c>
      <c r="L97" s="67">
        <v>0</v>
      </c>
      <c r="M97" s="6">
        <v>0</v>
      </c>
      <c r="N97" s="6">
        <v>0</v>
      </c>
      <c r="O97" s="2">
        <v>1</v>
      </c>
      <c r="P97" s="2">
        <v>0</v>
      </c>
    </row>
    <row r="98" spans="1:16" x14ac:dyDescent="0.25">
      <c r="A98" s="67">
        <v>31</v>
      </c>
      <c r="B98" s="67" t="s">
        <v>401</v>
      </c>
      <c r="C98" s="67" t="s">
        <v>360</v>
      </c>
      <c r="D98" s="38" t="s">
        <v>279</v>
      </c>
      <c r="E98" s="6">
        <v>0</v>
      </c>
      <c r="F98" s="6">
        <v>0</v>
      </c>
      <c r="G98" s="67">
        <v>0</v>
      </c>
      <c r="H98" s="67">
        <v>0</v>
      </c>
      <c r="I98" s="6">
        <v>0</v>
      </c>
      <c r="J98" s="6">
        <v>0</v>
      </c>
      <c r="K98" s="67">
        <v>1</v>
      </c>
      <c r="L98" s="67">
        <v>0</v>
      </c>
      <c r="M98" s="6">
        <v>0</v>
      </c>
      <c r="N98" s="6">
        <v>0</v>
      </c>
      <c r="O98" s="2">
        <v>1</v>
      </c>
      <c r="P98" s="2">
        <v>0</v>
      </c>
    </row>
    <row r="99" spans="1:16" x14ac:dyDescent="0.25">
      <c r="A99" s="67">
        <v>51</v>
      </c>
      <c r="B99" s="67" t="s">
        <v>365</v>
      </c>
      <c r="C99" s="67" t="s">
        <v>362</v>
      </c>
      <c r="D99" s="38" t="s">
        <v>310</v>
      </c>
      <c r="E99" s="6">
        <v>0</v>
      </c>
      <c r="F99" s="6">
        <v>0</v>
      </c>
      <c r="G99" s="67">
        <v>0</v>
      </c>
      <c r="H99" s="67">
        <v>0</v>
      </c>
      <c r="I99" s="6">
        <v>0</v>
      </c>
      <c r="J99" s="6">
        <v>0</v>
      </c>
      <c r="K99" s="67">
        <v>1</v>
      </c>
      <c r="L99" s="67">
        <v>0</v>
      </c>
      <c r="M99" s="6">
        <v>0</v>
      </c>
      <c r="N99" s="6">
        <v>0</v>
      </c>
      <c r="O99" s="2">
        <v>1</v>
      </c>
      <c r="P99" s="2">
        <v>0</v>
      </c>
    </row>
    <row r="100" spans="1:16" x14ac:dyDescent="0.25">
      <c r="A100" s="67">
        <v>32</v>
      </c>
      <c r="B100" s="67" t="s">
        <v>367</v>
      </c>
      <c r="C100" s="67" t="s">
        <v>360</v>
      </c>
      <c r="D100" s="38" t="s">
        <v>305</v>
      </c>
      <c r="E100" s="6">
        <v>0</v>
      </c>
      <c r="F100" s="6">
        <v>0</v>
      </c>
      <c r="G100" s="67">
        <v>0</v>
      </c>
      <c r="H100" s="67">
        <v>0</v>
      </c>
      <c r="I100" s="6">
        <v>0</v>
      </c>
      <c r="J100" s="6">
        <v>0</v>
      </c>
      <c r="K100" s="67">
        <v>0</v>
      </c>
      <c r="L100" s="67">
        <v>0</v>
      </c>
      <c r="M100" s="6">
        <v>0</v>
      </c>
      <c r="N100" s="6">
        <v>0</v>
      </c>
      <c r="O100" s="2">
        <v>0</v>
      </c>
      <c r="P100" s="2">
        <v>0</v>
      </c>
    </row>
    <row r="101" spans="1:16" x14ac:dyDescent="0.25">
      <c r="A101" s="67"/>
      <c r="B101" s="67"/>
      <c r="C101" s="67"/>
      <c r="D101" s="38"/>
      <c r="E101" s="6"/>
      <c r="F101" s="6"/>
      <c r="G101" s="67"/>
      <c r="H101" s="67"/>
      <c r="I101" s="6"/>
      <c r="J101" s="6"/>
      <c r="K101" s="67"/>
      <c r="L101" s="67"/>
      <c r="M101" s="6"/>
      <c r="N101" s="6"/>
      <c r="O101" s="2"/>
      <c r="P101" s="2"/>
    </row>
    <row r="102" spans="1:16" x14ac:dyDescent="0.25">
      <c r="A102" s="67"/>
      <c r="B102" s="67"/>
      <c r="C102" s="67"/>
      <c r="D102" s="38"/>
      <c r="E102" s="6"/>
      <c r="F102" s="6"/>
      <c r="G102" s="67"/>
      <c r="H102" s="67"/>
      <c r="I102" s="6"/>
      <c r="J102" s="6"/>
      <c r="K102" s="67"/>
      <c r="L102" s="67"/>
      <c r="M102" s="6"/>
      <c r="N102" s="6"/>
      <c r="O102" s="2"/>
      <c r="P102" s="2"/>
    </row>
    <row r="103" spans="1:16" x14ac:dyDescent="0.25">
      <c r="A103" s="67"/>
      <c r="B103" s="67"/>
      <c r="C103" s="67"/>
      <c r="D103" s="38"/>
      <c r="E103" s="6"/>
      <c r="F103" s="6"/>
      <c r="G103" s="67"/>
      <c r="H103" s="67"/>
      <c r="I103" s="6"/>
      <c r="J103" s="6"/>
      <c r="K103" s="67"/>
      <c r="L103" s="67"/>
      <c r="M103" s="6"/>
      <c r="N103" s="6"/>
      <c r="O103" s="2"/>
      <c r="P103" s="2"/>
    </row>
    <row r="104" spans="1:16" x14ac:dyDescent="0.25">
      <c r="A104" s="67"/>
      <c r="B104" s="67"/>
      <c r="C104" s="67"/>
      <c r="D104" s="38"/>
      <c r="E104" s="6"/>
      <c r="F104" s="6"/>
      <c r="G104" s="67"/>
      <c r="H104" s="67"/>
      <c r="I104" s="6"/>
      <c r="J104" s="6"/>
      <c r="K104" s="67"/>
      <c r="L104" s="67"/>
      <c r="M104" s="6"/>
      <c r="N104" s="6"/>
      <c r="O104" s="2"/>
      <c r="P104" s="2"/>
    </row>
    <row r="105" spans="1:16" x14ac:dyDescent="0.25">
      <c r="A105" s="67"/>
      <c r="B105" s="67"/>
      <c r="C105" s="67"/>
      <c r="D105" s="38"/>
      <c r="E105" s="6"/>
      <c r="F105" s="6"/>
      <c r="G105" s="67"/>
      <c r="H105" s="67"/>
      <c r="I105" s="6"/>
      <c r="J105" s="6"/>
      <c r="K105" s="67"/>
      <c r="L105" s="67"/>
      <c r="M105" s="6"/>
      <c r="N105" s="6"/>
      <c r="O105" s="2"/>
      <c r="P105" s="2"/>
    </row>
    <row r="106" spans="1:16" x14ac:dyDescent="0.25">
      <c r="A106" s="67"/>
      <c r="B106" s="67"/>
      <c r="C106" s="67"/>
      <c r="D106" s="38"/>
      <c r="E106" s="6"/>
      <c r="F106" s="6"/>
      <c r="G106" s="67"/>
      <c r="H106" s="67"/>
      <c r="I106" s="6"/>
      <c r="J106" s="6"/>
      <c r="K106" s="67"/>
      <c r="L106" s="67"/>
      <c r="M106" s="6"/>
      <c r="N106" s="6"/>
      <c r="O106" s="2"/>
      <c r="P106" s="2"/>
    </row>
    <row r="107" spans="1:16" x14ac:dyDescent="0.25">
      <c r="A107" s="67"/>
      <c r="B107" s="67"/>
      <c r="C107" s="67"/>
      <c r="D107" s="38"/>
      <c r="E107" s="6"/>
      <c r="F107" s="6"/>
      <c r="G107" s="67"/>
      <c r="H107" s="67"/>
      <c r="I107" s="6"/>
      <c r="J107" s="6"/>
      <c r="K107" s="67"/>
      <c r="L107" s="67"/>
      <c r="M107" s="6"/>
      <c r="N107" s="6"/>
      <c r="O107" s="2"/>
      <c r="P107" s="2"/>
    </row>
    <row r="108" spans="1:16" x14ac:dyDescent="0.25">
      <c r="A108" s="67"/>
      <c r="B108" s="67"/>
      <c r="C108" s="67"/>
      <c r="D108" s="38"/>
      <c r="E108" s="6"/>
      <c r="F108" s="6"/>
      <c r="G108" s="67"/>
      <c r="H108" s="67"/>
      <c r="I108" s="6"/>
      <c r="J108" s="6"/>
      <c r="K108" s="67"/>
      <c r="L108" s="67"/>
      <c r="M108" s="6"/>
      <c r="N108" s="6"/>
      <c r="O108" s="2"/>
      <c r="P108" s="2"/>
    </row>
    <row r="109" spans="1:16" x14ac:dyDescent="0.25">
      <c r="A109" s="67"/>
      <c r="B109" s="67"/>
      <c r="C109" s="67"/>
      <c r="D109" s="38"/>
      <c r="E109" s="6"/>
      <c r="F109" s="6"/>
      <c r="G109" s="67"/>
      <c r="H109" s="67"/>
      <c r="I109" s="6"/>
      <c r="J109" s="6"/>
      <c r="K109" s="67"/>
      <c r="L109" s="67"/>
      <c r="M109" s="6"/>
      <c r="N109" s="6"/>
      <c r="O109" s="2"/>
      <c r="P109" s="2"/>
    </row>
    <row r="110" spans="1:16" x14ac:dyDescent="0.25">
      <c r="A110" s="67"/>
      <c r="B110" s="67"/>
      <c r="C110" s="67"/>
      <c r="D110" s="38"/>
      <c r="E110" s="6"/>
      <c r="F110" s="6"/>
      <c r="G110" s="67"/>
      <c r="H110" s="67"/>
      <c r="I110" s="6"/>
      <c r="J110" s="6"/>
      <c r="K110" s="67"/>
      <c r="L110" s="67"/>
      <c r="M110" s="6"/>
      <c r="N110" s="6"/>
      <c r="O110" s="2"/>
      <c r="P110" s="2"/>
    </row>
    <row r="111" spans="1:16" x14ac:dyDescent="0.25">
      <c r="A111" s="67"/>
      <c r="B111" s="67"/>
      <c r="C111" s="67"/>
      <c r="D111" s="38"/>
      <c r="E111" s="6"/>
      <c r="F111" s="6"/>
      <c r="G111" s="67"/>
      <c r="H111" s="67"/>
      <c r="I111" s="6"/>
      <c r="J111" s="6"/>
      <c r="K111" s="67"/>
      <c r="L111" s="67"/>
      <c r="M111" s="6"/>
      <c r="N111" s="6"/>
      <c r="O111" s="2"/>
      <c r="P111" s="2"/>
    </row>
    <row r="112" spans="1:16" x14ac:dyDescent="0.25">
      <c r="A112" s="67"/>
      <c r="B112" s="67"/>
      <c r="C112" s="67"/>
      <c r="D112" s="38"/>
      <c r="E112" s="6"/>
      <c r="F112" s="6"/>
      <c r="G112" s="67"/>
      <c r="H112" s="67"/>
      <c r="I112" s="6"/>
      <c r="J112" s="6"/>
      <c r="K112" s="67"/>
      <c r="L112" s="67"/>
      <c r="M112" s="6"/>
      <c r="N112" s="6"/>
      <c r="O112" s="2"/>
      <c r="P112" s="2"/>
    </row>
    <row r="113" spans="1:16" x14ac:dyDescent="0.25">
      <c r="A113" s="67"/>
      <c r="B113" s="67"/>
      <c r="C113" s="67"/>
      <c r="D113" s="38"/>
      <c r="E113" s="6"/>
      <c r="F113" s="6"/>
      <c r="G113" s="67"/>
      <c r="H113" s="67"/>
      <c r="I113" s="6"/>
      <c r="J113" s="6"/>
      <c r="K113" s="67"/>
      <c r="L113" s="67"/>
      <c r="M113" s="6"/>
      <c r="N113" s="6"/>
      <c r="O113" s="2"/>
      <c r="P113" s="2"/>
    </row>
    <row r="114" spans="1:16" x14ac:dyDescent="0.25">
      <c r="A114" s="67"/>
      <c r="B114" s="67"/>
      <c r="C114" s="67"/>
      <c r="D114" s="38"/>
      <c r="E114" s="6"/>
      <c r="F114" s="6"/>
      <c r="G114" s="67"/>
      <c r="H114" s="67"/>
      <c r="I114" s="6"/>
      <c r="J114" s="6"/>
      <c r="K114" s="67"/>
      <c r="L114" s="67"/>
      <c r="M114" s="6"/>
      <c r="N114" s="6"/>
      <c r="O114" s="2"/>
      <c r="P114" s="2"/>
    </row>
    <row r="115" spans="1:16" x14ac:dyDescent="0.25">
      <c r="A115" s="67"/>
      <c r="B115" s="67"/>
      <c r="C115" s="67"/>
      <c r="D115" s="38"/>
      <c r="E115" s="6"/>
      <c r="F115" s="6"/>
      <c r="G115" s="67"/>
      <c r="H115" s="67"/>
      <c r="I115" s="6"/>
      <c r="J115" s="6"/>
      <c r="K115" s="67"/>
      <c r="L115" s="67"/>
      <c r="M115" s="6"/>
      <c r="N115" s="6"/>
      <c r="O115" s="2"/>
      <c r="P115" s="2"/>
    </row>
    <row r="116" spans="1:16" x14ac:dyDescent="0.25">
      <c r="A116" s="67"/>
      <c r="B116" s="67"/>
      <c r="C116" s="67"/>
      <c r="D116" s="38"/>
      <c r="E116" s="6"/>
      <c r="F116" s="6"/>
      <c r="G116" s="67"/>
      <c r="H116" s="67"/>
      <c r="I116" s="6"/>
      <c r="J116" s="6"/>
      <c r="K116" s="67"/>
      <c r="L116" s="67"/>
      <c r="M116" s="6"/>
      <c r="N116" s="6"/>
      <c r="O116" s="2"/>
      <c r="P116" s="2"/>
    </row>
    <row r="117" spans="1:16" x14ac:dyDescent="0.25">
      <c r="A117" s="67"/>
      <c r="B117" s="67"/>
      <c r="C117" s="67"/>
      <c r="D117" s="38"/>
      <c r="E117" s="6"/>
      <c r="F117" s="6"/>
      <c r="G117" s="67"/>
      <c r="H117" s="67"/>
      <c r="I117" s="6"/>
      <c r="J117" s="6"/>
      <c r="K117" s="67"/>
      <c r="L117" s="67"/>
      <c r="M117" s="6"/>
      <c r="N117" s="6"/>
      <c r="O117" s="2"/>
      <c r="P117" s="2"/>
    </row>
    <row r="118" spans="1:16" x14ac:dyDescent="0.25">
      <c r="A118" s="67"/>
      <c r="B118" s="67"/>
      <c r="C118" s="67"/>
      <c r="D118" s="38"/>
      <c r="E118" s="6"/>
      <c r="F118" s="6"/>
      <c r="G118" s="67"/>
      <c r="H118" s="67"/>
      <c r="I118" s="6"/>
      <c r="J118" s="6"/>
      <c r="K118" s="67"/>
      <c r="L118" s="67"/>
      <c r="M118" s="6"/>
      <c r="N118" s="6"/>
      <c r="O118" s="2"/>
      <c r="P118" s="2"/>
    </row>
    <row r="119" spans="1:16" x14ac:dyDescent="0.25">
      <c r="A119" s="67"/>
      <c r="B119" s="67"/>
      <c r="C119" s="67"/>
      <c r="D119" s="38"/>
      <c r="E119" s="6"/>
      <c r="F119" s="6"/>
      <c r="G119" s="67"/>
      <c r="H119" s="67"/>
      <c r="I119" s="6"/>
      <c r="J119" s="6"/>
      <c r="K119" s="67"/>
      <c r="L119" s="67"/>
      <c r="M119" s="6"/>
      <c r="N119" s="6"/>
      <c r="O119" s="2"/>
      <c r="P119" s="2"/>
    </row>
    <row r="120" spans="1:16" x14ac:dyDescent="0.25">
      <c r="A120" s="67"/>
      <c r="B120" s="67"/>
      <c r="C120" s="67"/>
      <c r="D120" s="38"/>
      <c r="E120" s="6"/>
      <c r="F120" s="6"/>
      <c r="G120" s="67"/>
      <c r="H120" s="67"/>
      <c r="I120" s="6"/>
      <c r="J120" s="6"/>
      <c r="K120" s="67"/>
      <c r="L120" s="67"/>
      <c r="M120" s="6"/>
      <c r="N120" s="6"/>
      <c r="O120" s="2"/>
      <c r="P120" s="2"/>
    </row>
    <row r="121" spans="1:16" x14ac:dyDescent="0.25">
      <c r="A121" s="67"/>
      <c r="B121" s="67"/>
      <c r="C121" s="67"/>
      <c r="D121" s="38"/>
      <c r="E121" s="6"/>
      <c r="F121" s="6"/>
      <c r="G121" s="67"/>
      <c r="H121" s="67"/>
      <c r="I121" s="6"/>
      <c r="J121" s="6"/>
      <c r="K121" s="67"/>
      <c r="L121" s="67"/>
      <c r="M121" s="6"/>
      <c r="N121" s="6"/>
      <c r="O121" s="2"/>
      <c r="P121" s="2"/>
    </row>
    <row r="122" spans="1:16" x14ac:dyDescent="0.25">
      <c r="A122" s="67"/>
      <c r="B122" s="67"/>
      <c r="C122" s="67"/>
      <c r="D122" s="38"/>
      <c r="E122" s="6"/>
      <c r="F122" s="6"/>
      <c r="G122" s="67"/>
      <c r="H122" s="67"/>
      <c r="I122" s="6"/>
      <c r="J122" s="6"/>
      <c r="K122" s="67"/>
      <c r="L122" s="67"/>
      <c r="M122" s="6"/>
      <c r="N122" s="6"/>
      <c r="O122" s="2"/>
      <c r="P122" s="2"/>
    </row>
    <row r="123" spans="1:16" x14ac:dyDescent="0.25">
      <c r="A123" s="67"/>
      <c r="B123" s="67"/>
      <c r="C123" s="67"/>
      <c r="D123" s="38"/>
      <c r="E123" s="6"/>
      <c r="F123" s="6"/>
      <c r="G123" s="67"/>
      <c r="H123" s="67"/>
      <c r="I123" s="6"/>
      <c r="J123" s="6"/>
      <c r="K123" s="67"/>
      <c r="L123" s="67"/>
      <c r="M123" s="6"/>
      <c r="N123" s="6"/>
      <c r="O123" s="2"/>
      <c r="P123" s="2"/>
    </row>
    <row r="124" spans="1:16" x14ac:dyDescent="0.25">
      <c r="A124" s="67"/>
      <c r="B124" s="67"/>
      <c r="C124" s="67"/>
      <c r="D124" s="38"/>
      <c r="E124" s="6"/>
      <c r="F124" s="6"/>
      <c r="G124" s="67"/>
      <c r="H124" s="67"/>
      <c r="I124" s="6"/>
      <c r="J124" s="6"/>
      <c r="K124" s="67"/>
      <c r="L124" s="67"/>
      <c r="M124" s="6"/>
      <c r="N124" s="6"/>
      <c r="O124" s="2"/>
      <c r="P124" s="2"/>
    </row>
    <row r="125" spans="1:16" x14ac:dyDescent="0.25">
      <c r="A125" s="67"/>
      <c r="B125" s="67"/>
      <c r="C125" s="67"/>
      <c r="D125" s="38"/>
      <c r="E125" s="6"/>
      <c r="F125" s="6"/>
      <c r="G125" s="67"/>
      <c r="H125" s="67"/>
      <c r="I125" s="6"/>
      <c r="J125" s="6"/>
      <c r="K125" s="67"/>
      <c r="L125" s="67"/>
      <c r="M125" s="6"/>
      <c r="N125" s="6"/>
      <c r="O125" s="2"/>
      <c r="P125" s="2"/>
    </row>
    <row r="126" spans="1:16" x14ac:dyDescent="0.25">
      <c r="A126" s="67"/>
      <c r="B126" s="67"/>
      <c r="C126" s="67"/>
      <c r="D126" s="38"/>
      <c r="E126" s="6"/>
      <c r="F126" s="6"/>
      <c r="G126" s="67"/>
      <c r="H126" s="67"/>
      <c r="I126" s="6"/>
      <c r="J126" s="6"/>
      <c r="K126" s="67"/>
      <c r="L126" s="67"/>
      <c r="M126" s="6"/>
      <c r="N126" s="6"/>
      <c r="O126" s="2"/>
      <c r="P126" s="2"/>
    </row>
    <row r="127" spans="1:16" x14ac:dyDescent="0.25">
      <c r="A127" s="67"/>
      <c r="B127" s="67"/>
      <c r="C127" s="67"/>
      <c r="D127" s="38"/>
      <c r="E127" s="6"/>
      <c r="F127" s="6"/>
      <c r="G127" s="67"/>
      <c r="H127" s="67"/>
      <c r="I127" s="6"/>
      <c r="J127" s="6"/>
      <c r="K127" s="67"/>
      <c r="L127" s="67"/>
      <c r="M127" s="6"/>
      <c r="N127" s="6"/>
      <c r="O127" s="2"/>
      <c r="P127" s="2"/>
    </row>
    <row r="128" spans="1:16" x14ac:dyDescent="0.25">
      <c r="A128" s="67"/>
      <c r="B128" s="67"/>
      <c r="C128" s="67"/>
      <c r="D128" s="38"/>
      <c r="E128" s="6"/>
      <c r="F128" s="6"/>
      <c r="G128" s="67"/>
      <c r="H128" s="67"/>
      <c r="I128" s="6"/>
      <c r="J128" s="6"/>
      <c r="K128" s="67"/>
      <c r="L128" s="67"/>
      <c r="M128" s="6"/>
      <c r="N128" s="6"/>
      <c r="O128" s="2"/>
      <c r="P128" s="2"/>
    </row>
    <row r="129" spans="1:16" x14ac:dyDescent="0.25">
      <c r="A129" s="67"/>
      <c r="B129" s="67"/>
      <c r="C129" s="67"/>
      <c r="D129" s="38"/>
      <c r="E129" s="6"/>
      <c r="F129" s="6"/>
      <c r="G129" s="67"/>
      <c r="H129" s="67"/>
      <c r="I129" s="6"/>
      <c r="J129" s="6"/>
      <c r="K129" s="67"/>
      <c r="L129" s="67"/>
      <c r="M129" s="6"/>
      <c r="N129" s="6"/>
      <c r="O129" s="2"/>
      <c r="P129" s="2"/>
    </row>
    <row r="130" spans="1:16" x14ac:dyDescent="0.25">
      <c r="A130" s="67"/>
      <c r="B130" s="67"/>
      <c r="C130" s="67"/>
      <c r="D130" s="38"/>
      <c r="E130" s="6"/>
      <c r="F130" s="6"/>
      <c r="G130" s="67"/>
      <c r="H130" s="67"/>
      <c r="I130" s="6"/>
      <c r="J130" s="6"/>
      <c r="K130" s="67"/>
      <c r="L130" s="67"/>
      <c r="M130" s="6"/>
      <c r="N130" s="6"/>
      <c r="O130" s="2"/>
      <c r="P130" s="2"/>
    </row>
    <row r="131" spans="1:16" x14ac:dyDescent="0.25">
      <c r="A131" s="67"/>
      <c r="B131" s="67"/>
      <c r="C131" s="67"/>
      <c r="D131" s="38"/>
      <c r="E131" s="6"/>
      <c r="F131" s="6"/>
      <c r="G131" s="67"/>
      <c r="H131" s="67"/>
      <c r="I131" s="6"/>
      <c r="J131" s="6"/>
      <c r="K131" s="67"/>
      <c r="L131" s="67"/>
      <c r="M131" s="6"/>
      <c r="N131" s="6"/>
      <c r="O131" s="2"/>
      <c r="P131" s="2"/>
    </row>
    <row r="132" spans="1:16" x14ac:dyDescent="0.25">
      <c r="A132" s="67"/>
      <c r="B132" s="67"/>
      <c r="C132" s="67"/>
      <c r="D132" s="38"/>
      <c r="E132" s="6"/>
      <c r="F132" s="6"/>
      <c r="G132" s="67"/>
      <c r="H132" s="67"/>
      <c r="I132" s="6"/>
      <c r="J132" s="6"/>
      <c r="K132" s="67"/>
      <c r="L132" s="67"/>
      <c r="M132" s="6"/>
      <c r="N132" s="6"/>
      <c r="O132" s="2"/>
      <c r="P132" s="2"/>
    </row>
    <row r="133" spans="1:16" x14ac:dyDescent="0.25">
      <c r="A133" s="67"/>
      <c r="B133" s="67"/>
      <c r="C133" s="67"/>
      <c r="D133" s="38"/>
      <c r="E133" s="6"/>
      <c r="F133" s="6"/>
      <c r="G133" s="67"/>
      <c r="H133" s="67"/>
      <c r="I133" s="6"/>
      <c r="J133" s="6"/>
      <c r="K133" s="67"/>
      <c r="L133" s="67"/>
      <c r="M133" s="6"/>
      <c r="N133" s="6"/>
      <c r="O133" s="2"/>
      <c r="P133" s="2"/>
    </row>
    <row r="134" spans="1:16" x14ac:dyDescent="0.25">
      <c r="A134" s="67"/>
      <c r="B134" s="67"/>
      <c r="C134" s="67"/>
      <c r="D134" s="38"/>
      <c r="E134" s="6"/>
      <c r="F134" s="6"/>
      <c r="G134" s="67"/>
      <c r="H134" s="67"/>
      <c r="I134" s="6"/>
      <c r="J134" s="6"/>
      <c r="K134" s="67"/>
      <c r="L134" s="67"/>
      <c r="M134" s="6"/>
      <c r="N134" s="6"/>
      <c r="O134" s="2"/>
      <c r="P134" s="2"/>
    </row>
    <row r="135" spans="1:16" x14ac:dyDescent="0.25">
      <c r="A135" s="67"/>
      <c r="B135" s="67"/>
      <c r="C135" s="67"/>
      <c r="D135" s="38"/>
      <c r="E135" s="6"/>
      <c r="F135" s="6"/>
      <c r="G135" s="67"/>
      <c r="H135" s="67"/>
      <c r="I135" s="6"/>
      <c r="J135" s="6"/>
      <c r="K135" s="67"/>
      <c r="L135" s="67"/>
      <c r="M135" s="6"/>
      <c r="N135" s="6"/>
      <c r="O135" s="2"/>
      <c r="P135" s="2"/>
    </row>
    <row r="136" spans="1:16" x14ac:dyDescent="0.25">
      <c r="A136" s="67"/>
      <c r="B136" s="67"/>
      <c r="C136" s="67"/>
      <c r="D136" s="38"/>
      <c r="E136" s="6"/>
      <c r="F136" s="6"/>
      <c r="G136" s="67"/>
      <c r="H136" s="67"/>
      <c r="I136" s="6"/>
      <c r="J136" s="6"/>
      <c r="K136" s="67"/>
      <c r="L136" s="67"/>
      <c r="M136" s="6"/>
      <c r="N136" s="6"/>
      <c r="O136" s="2"/>
      <c r="P136" s="2"/>
    </row>
    <row r="137" spans="1:16" x14ac:dyDescent="0.25">
      <c r="A137" s="67"/>
      <c r="B137" s="67"/>
      <c r="C137" s="67"/>
      <c r="D137" s="38"/>
      <c r="E137" s="6"/>
      <c r="F137" s="6"/>
      <c r="G137" s="67"/>
      <c r="H137" s="67"/>
      <c r="I137" s="6"/>
      <c r="J137" s="6"/>
      <c r="K137" s="67"/>
      <c r="L137" s="67"/>
      <c r="M137" s="6"/>
      <c r="N137" s="6"/>
      <c r="O137" s="2"/>
      <c r="P137" s="2"/>
    </row>
    <row r="138" spans="1:16" x14ac:dyDescent="0.25">
      <c r="A138" s="67"/>
      <c r="B138" s="67"/>
      <c r="C138" s="67"/>
      <c r="D138" s="38"/>
      <c r="E138" s="6"/>
      <c r="F138" s="6"/>
      <c r="G138" s="67"/>
      <c r="H138" s="67"/>
      <c r="I138" s="6"/>
      <c r="J138" s="6"/>
      <c r="K138" s="67"/>
      <c r="L138" s="67"/>
      <c r="M138" s="6"/>
      <c r="N138" s="6"/>
      <c r="O138" s="2"/>
      <c r="P138" s="2"/>
    </row>
    <row r="139" spans="1:16" x14ac:dyDescent="0.25">
      <c r="A139" s="67"/>
      <c r="B139" s="67"/>
      <c r="C139" s="67"/>
      <c r="D139" s="38"/>
      <c r="E139" s="6"/>
      <c r="F139" s="6"/>
      <c r="G139" s="67"/>
      <c r="H139" s="67"/>
      <c r="I139" s="6"/>
      <c r="J139" s="6"/>
      <c r="K139" s="67"/>
      <c r="L139" s="67"/>
      <c r="M139" s="6"/>
      <c r="N139" s="6"/>
      <c r="O139" s="2"/>
      <c r="P139" s="2"/>
    </row>
    <row r="140" spans="1:16" x14ac:dyDescent="0.25">
      <c r="A140" s="67"/>
      <c r="B140" s="67"/>
      <c r="C140" s="67"/>
      <c r="D140" s="38"/>
      <c r="E140" s="6"/>
      <c r="F140" s="6"/>
      <c r="G140" s="67"/>
      <c r="H140" s="67"/>
      <c r="I140" s="6"/>
      <c r="J140" s="6"/>
      <c r="K140" s="67"/>
      <c r="L140" s="67"/>
      <c r="M140" s="6"/>
      <c r="N140" s="6"/>
      <c r="O140" s="2"/>
      <c r="P140" s="2"/>
    </row>
    <row r="141" spans="1:16" x14ac:dyDescent="0.25">
      <c r="A141" s="67"/>
      <c r="B141" s="67"/>
      <c r="C141" s="67"/>
      <c r="D141" s="38"/>
      <c r="E141" s="6"/>
      <c r="F141" s="6"/>
      <c r="G141" s="67"/>
      <c r="H141" s="67"/>
      <c r="I141" s="6"/>
      <c r="J141" s="6"/>
      <c r="K141" s="67"/>
      <c r="L141" s="67"/>
      <c r="M141" s="6"/>
      <c r="N141" s="6"/>
      <c r="O141" s="2"/>
      <c r="P141" s="2"/>
    </row>
    <row r="142" spans="1:16" x14ac:dyDescent="0.25">
      <c r="A142" s="67"/>
      <c r="B142" s="67"/>
      <c r="C142" s="67"/>
      <c r="D142" s="38"/>
      <c r="E142" s="6"/>
      <c r="F142" s="6"/>
      <c r="G142" s="67"/>
      <c r="H142" s="67"/>
      <c r="I142" s="6"/>
      <c r="J142" s="6"/>
      <c r="K142" s="67"/>
      <c r="L142" s="67"/>
      <c r="M142" s="6"/>
      <c r="N142" s="6"/>
      <c r="O142" s="2"/>
      <c r="P142" s="2"/>
    </row>
    <row r="143" spans="1:16" x14ac:dyDescent="0.25">
      <c r="A143" s="67"/>
      <c r="B143" s="67"/>
      <c r="C143" s="67"/>
      <c r="D143" s="38"/>
      <c r="E143" s="6"/>
      <c r="F143" s="6"/>
      <c r="G143" s="67"/>
      <c r="H143" s="67"/>
      <c r="I143" s="6"/>
      <c r="J143" s="6"/>
      <c r="K143" s="67"/>
      <c r="L143" s="67"/>
      <c r="M143" s="6"/>
      <c r="N143" s="6"/>
      <c r="O143" s="2"/>
      <c r="P143" s="2"/>
    </row>
    <row r="144" spans="1:16" x14ac:dyDescent="0.25">
      <c r="A144" s="67"/>
      <c r="B144" s="67"/>
      <c r="C144" s="67"/>
      <c r="D144" s="38"/>
      <c r="E144" s="6"/>
      <c r="F144" s="6"/>
      <c r="G144" s="67"/>
      <c r="H144" s="67"/>
      <c r="I144" s="6"/>
      <c r="J144" s="6"/>
      <c r="K144" s="67"/>
      <c r="L144" s="67"/>
      <c r="M144" s="6"/>
      <c r="N144" s="6"/>
      <c r="O144" s="2"/>
      <c r="P144" s="2"/>
    </row>
    <row r="145" spans="1:16" x14ac:dyDescent="0.25">
      <c r="A145" s="67"/>
      <c r="B145" s="67"/>
      <c r="C145" s="67"/>
      <c r="D145" s="38"/>
      <c r="E145" s="6"/>
      <c r="F145" s="6"/>
      <c r="G145" s="67"/>
      <c r="H145" s="67"/>
      <c r="I145" s="6"/>
      <c r="J145" s="6"/>
      <c r="K145" s="67"/>
      <c r="L145" s="67"/>
      <c r="M145" s="6"/>
      <c r="N145" s="6"/>
      <c r="O145" s="2"/>
      <c r="P145" s="2"/>
    </row>
    <row r="146" spans="1:16" x14ac:dyDescent="0.25">
      <c r="A146" s="67"/>
      <c r="B146" s="67"/>
      <c r="C146" s="67"/>
      <c r="D146" s="38"/>
      <c r="E146" s="6"/>
      <c r="F146" s="6"/>
      <c r="G146" s="67"/>
      <c r="H146" s="67"/>
      <c r="I146" s="6"/>
      <c r="J146" s="6"/>
      <c r="K146" s="67"/>
      <c r="L146" s="67"/>
      <c r="M146" s="6"/>
      <c r="N146" s="6"/>
      <c r="O146" s="2"/>
      <c r="P146" s="2"/>
    </row>
    <row r="147" spans="1:16" x14ac:dyDescent="0.25">
      <c r="A147" s="67"/>
      <c r="B147" s="67"/>
      <c r="C147" s="67"/>
      <c r="D147" s="38"/>
      <c r="E147" s="6"/>
      <c r="F147" s="6"/>
      <c r="G147" s="67"/>
      <c r="H147" s="67"/>
      <c r="I147" s="6"/>
      <c r="J147" s="6"/>
      <c r="K147" s="67"/>
      <c r="L147" s="67"/>
      <c r="M147" s="6"/>
      <c r="N147" s="6"/>
      <c r="O147" s="2"/>
      <c r="P147" s="2"/>
    </row>
    <row r="148" spans="1:16" x14ac:dyDescent="0.25">
      <c r="A148" s="67"/>
      <c r="B148" s="67"/>
      <c r="C148" s="67"/>
      <c r="D148" s="38"/>
      <c r="E148" s="6"/>
      <c r="F148" s="6"/>
      <c r="G148" s="67"/>
      <c r="H148" s="67"/>
      <c r="I148" s="6"/>
      <c r="J148" s="6"/>
      <c r="K148" s="67"/>
      <c r="L148" s="67"/>
      <c r="M148" s="6"/>
      <c r="N148" s="6"/>
      <c r="O148" s="2"/>
      <c r="P148" s="2"/>
    </row>
    <row r="149" spans="1:16" x14ac:dyDescent="0.25">
      <c r="A149" s="67"/>
      <c r="B149" s="67"/>
      <c r="C149" s="67"/>
      <c r="D149" s="38"/>
      <c r="E149" s="6"/>
      <c r="F149" s="6"/>
      <c r="G149" s="67"/>
      <c r="H149" s="67"/>
      <c r="I149" s="6"/>
      <c r="J149" s="6"/>
      <c r="K149" s="67"/>
      <c r="L149" s="67"/>
      <c r="M149" s="6"/>
      <c r="N149" s="6"/>
      <c r="O149" s="2"/>
      <c r="P149" s="2"/>
    </row>
    <row r="150" spans="1:16" x14ac:dyDescent="0.25">
      <c r="A150" s="67"/>
      <c r="B150" s="67"/>
      <c r="C150" s="67"/>
      <c r="D150" s="38"/>
      <c r="E150" s="6"/>
      <c r="F150" s="6"/>
      <c r="G150" s="67"/>
      <c r="H150" s="67"/>
      <c r="I150" s="6"/>
      <c r="J150" s="6"/>
      <c r="K150" s="67"/>
      <c r="L150" s="67"/>
      <c r="M150" s="6"/>
      <c r="N150" s="6"/>
      <c r="O150" s="2"/>
      <c r="P150" s="2"/>
    </row>
    <row r="151" spans="1:16" x14ac:dyDescent="0.25">
      <c r="A151" s="67"/>
      <c r="B151" s="67"/>
      <c r="C151" s="67"/>
      <c r="D151" s="38"/>
      <c r="E151" s="6"/>
      <c r="F151" s="6"/>
      <c r="G151" s="67"/>
      <c r="H151" s="67"/>
      <c r="I151" s="6"/>
      <c r="J151" s="6"/>
      <c r="K151" s="67"/>
      <c r="L151" s="67"/>
      <c r="M151" s="6"/>
      <c r="N151" s="6"/>
      <c r="O151" s="2"/>
      <c r="P151" s="2"/>
    </row>
    <row r="152" spans="1:16" x14ac:dyDescent="0.25">
      <c r="A152" s="67"/>
      <c r="B152" s="67"/>
      <c r="C152" s="67"/>
      <c r="D152" s="38"/>
      <c r="E152" s="6"/>
      <c r="F152" s="6"/>
      <c r="G152" s="67"/>
      <c r="H152" s="67"/>
      <c r="I152" s="6"/>
      <c r="J152" s="6"/>
      <c r="K152" s="67"/>
      <c r="L152" s="67"/>
      <c r="M152" s="6"/>
      <c r="N152" s="6"/>
      <c r="O152" s="2"/>
      <c r="P152" s="2"/>
    </row>
    <row r="153" spans="1:16" x14ac:dyDescent="0.25">
      <c r="A153" s="67"/>
      <c r="B153" s="67"/>
      <c r="C153" s="67"/>
      <c r="D153" s="38"/>
      <c r="E153" s="6"/>
      <c r="F153" s="6"/>
      <c r="G153" s="67"/>
      <c r="H153" s="67"/>
      <c r="I153" s="6"/>
      <c r="J153" s="6"/>
      <c r="K153" s="67"/>
      <c r="L153" s="67"/>
      <c r="M153" s="6"/>
      <c r="N153" s="6"/>
      <c r="O153" s="2"/>
      <c r="P153" s="2"/>
    </row>
    <row r="154" spans="1:16" x14ac:dyDescent="0.25">
      <c r="A154" s="67"/>
      <c r="B154" s="67"/>
      <c r="C154" s="67"/>
      <c r="D154" s="38"/>
      <c r="E154" s="6"/>
      <c r="F154" s="6"/>
      <c r="G154" s="67"/>
      <c r="H154" s="67"/>
      <c r="I154" s="6"/>
      <c r="J154" s="6"/>
      <c r="K154" s="67"/>
      <c r="L154" s="67"/>
      <c r="M154" s="6"/>
      <c r="N154" s="6"/>
      <c r="O154" s="2"/>
      <c r="P154" s="2"/>
    </row>
    <row r="155" spans="1:16" x14ac:dyDescent="0.25">
      <c r="A155" s="67"/>
      <c r="B155" s="67"/>
      <c r="C155" s="67"/>
      <c r="D155" s="38"/>
      <c r="E155" s="6"/>
      <c r="F155" s="6"/>
      <c r="G155" s="67"/>
      <c r="H155" s="67"/>
      <c r="I155" s="6"/>
      <c r="J155" s="6"/>
      <c r="K155" s="67"/>
      <c r="L155" s="67"/>
      <c r="M155" s="6"/>
      <c r="N155" s="6"/>
      <c r="O155" s="2"/>
      <c r="P155" s="2"/>
    </row>
    <row r="156" spans="1:16" x14ac:dyDescent="0.25">
      <c r="A156" s="67"/>
      <c r="B156" s="67"/>
      <c r="C156" s="67"/>
      <c r="D156" s="38"/>
      <c r="E156" s="6"/>
      <c r="F156" s="6"/>
      <c r="G156" s="67"/>
      <c r="H156" s="67"/>
      <c r="I156" s="6"/>
      <c r="J156" s="6"/>
      <c r="K156" s="67"/>
      <c r="L156" s="67"/>
      <c r="M156" s="6"/>
      <c r="N156" s="6"/>
      <c r="O156" s="2"/>
      <c r="P156" s="2"/>
    </row>
    <row r="157" spans="1:16" x14ac:dyDescent="0.25">
      <c r="A157" s="67"/>
      <c r="B157" s="67"/>
      <c r="C157" s="67"/>
      <c r="D157" s="38"/>
      <c r="E157" s="6"/>
      <c r="F157" s="6"/>
      <c r="G157" s="67"/>
      <c r="H157" s="67"/>
      <c r="I157" s="6"/>
      <c r="J157" s="6"/>
      <c r="K157" s="67"/>
      <c r="L157" s="67"/>
      <c r="M157" s="6"/>
      <c r="N157" s="6"/>
      <c r="O157" s="2"/>
      <c r="P157" s="2"/>
    </row>
    <row r="158" spans="1:16" x14ac:dyDescent="0.25">
      <c r="A158" s="67"/>
      <c r="B158" s="67"/>
      <c r="C158" s="67"/>
      <c r="D158" s="38"/>
      <c r="E158" s="6"/>
      <c r="F158" s="6"/>
      <c r="G158" s="67"/>
      <c r="H158" s="67"/>
      <c r="I158" s="6"/>
      <c r="J158" s="6"/>
      <c r="K158" s="67"/>
      <c r="L158" s="67"/>
      <c r="M158" s="6"/>
      <c r="N158" s="6"/>
      <c r="O158" s="2"/>
      <c r="P158" s="2"/>
    </row>
    <row r="159" spans="1:16" x14ac:dyDescent="0.25">
      <c r="A159" s="67"/>
      <c r="B159" s="67"/>
      <c r="C159" s="67"/>
      <c r="D159" s="38"/>
      <c r="E159" s="6"/>
      <c r="F159" s="6"/>
      <c r="G159" s="67"/>
      <c r="H159" s="67"/>
      <c r="I159" s="6"/>
      <c r="J159" s="6"/>
      <c r="K159" s="67"/>
      <c r="L159" s="67"/>
      <c r="M159" s="6"/>
      <c r="N159" s="6"/>
      <c r="O159" s="2"/>
      <c r="P159" s="2"/>
    </row>
    <row r="160" spans="1:16" x14ac:dyDescent="0.25">
      <c r="A160" s="67"/>
      <c r="B160" s="67"/>
      <c r="C160" s="67"/>
      <c r="D160" s="38"/>
      <c r="E160" s="6"/>
      <c r="F160" s="6"/>
      <c r="G160" s="67"/>
      <c r="H160" s="67"/>
      <c r="I160" s="6"/>
      <c r="J160" s="6"/>
      <c r="K160" s="67"/>
      <c r="L160" s="67"/>
      <c r="M160" s="6"/>
      <c r="N160" s="6"/>
      <c r="O160" s="2"/>
      <c r="P160" s="2"/>
    </row>
    <row r="161" spans="1:16" x14ac:dyDescent="0.25">
      <c r="A161" s="67"/>
      <c r="B161" s="67"/>
      <c r="C161" s="67"/>
      <c r="D161" s="38"/>
      <c r="E161" s="6"/>
      <c r="F161" s="6"/>
      <c r="G161" s="67"/>
      <c r="H161" s="67"/>
      <c r="I161" s="6"/>
      <c r="J161" s="6"/>
      <c r="K161" s="67"/>
      <c r="L161" s="67"/>
      <c r="M161" s="6"/>
      <c r="N161" s="6"/>
      <c r="O161" s="2"/>
      <c r="P161" s="2"/>
    </row>
    <row r="162" spans="1:16" x14ac:dyDescent="0.25">
      <c r="A162" s="67"/>
      <c r="B162" s="67"/>
      <c r="C162" s="67"/>
      <c r="D162" s="38"/>
      <c r="E162" s="6"/>
      <c r="F162" s="6"/>
      <c r="G162" s="67"/>
      <c r="H162" s="67"/>
      <c r="I162" s="6"/>
      <c r="J162" s="6"/>
      <c r="K162" s="67"/>
      <c r="L162" s="67"/>
      <c r="M162" s="6"/>
      <c r="N162" s="6"/>
      <c r="O162" s="2"/>
      <c r="P162" s="2"/>
    </row>
    <row r="163" spans="1:16" x14ac:dyDescent="0.25">
      <c r="A163" s="67"/>
      <c r="B163" s="67"/>
      <c r="C163" s="67"/>
      <c r="D163" s="38"/>
      <c r="E163" s="6"/>
      <c r="F163" s="6"/>
      <c r="G163" s="67"/>
      <c r="H163" s="67"/>
      <c r="I163" s="6"/>
      <c r="J163" s="6"/>
      <c r="K163" s="67"/>
      <c r="L163" s="67"/>
      <c r="M163" s="6"/>
      <c r="N163" s="6"/>
      <c r="O163" s="2"/>
      <c r="P163" s="2"/>
    </row>
    <row r="164" spans="1:16" x14ac:dyDescent="0.25">
      <c r="A164" s="67"/>
      <c r="B164" s="67"/>
      <c r="C164" s="67"/>
      <c r="D164" s="38"/>
      <c r="E164" s="6"/>
      <c r="F164" s="6"/>
      <c r="G164" s="67"/>
      <c r="H164" s="67"/>
      <c r="I164" s="6"/>
      <c r="J164" s="6"/>
      <c r="K164" s="67"/>
      <c r="L164" s="67"/>
      <c r="M164" s="6"/>
      <c r="N164" s="6"/>
      <c r="O164" s="2"/>
      <c r="P164" s="2"/>
    </row>
    <row r="165" spans="1:16" x14ac:dyDescent="0.25">
      <c r="A165" s="67"/>
      <c r="B165" s="67"/>
      <c r="C165" s="67"/>
      <c r="D165" s="38"/>
      <c r="E165" s="6"/>
      <c r="F165" s="6"/>
      <c r="G165" s="67"/>
      <c r="H165" s="67"/>
      <c r="I165" s="6"/>
      <c r="J165" s="6"/>
      <c r="K165" s="67"/>
      <c r="L165" s="67"/>
      <c r="M165" s="6"/>
      <c r="N165" s="6"/>
      <c r="O165" s="2"/>
      <c r="P165" s="2"/>
    </row>
    <row r="166" spans="1:16" x14ac:dyDescent="0.25">
      <c r="A166" s="67"/>
      <c r="B166" s="67"/>
      <c r="C166" s="67"/>
      <c r="D166" s="38"/>
      <c r="E166" s="6"/>
      <c r="F166" s="6"/>
      <c r="G166" s="67"/>
      <c r="H166" s="67"/>
      <c r="I166" s="6"/>
      <c r="J166" s="6"/>
      <c r="K166" s="67"/>
      <c r="L166" s="67"/>
      <c r="M166" s="6"/>
      <c r="N166" s="6"/>
      <c r="O166" s="2"/>
      <c r="P166" s="2"/>
    </row>
    <row r="167" spans="1:16" x14ac:dyDescent="0.25">
      <c r="A167" s="67"/>
      <c r="B167" s="67"/>
      <c r="C167" s="67"/>
      <c r="D167" s="38"/>
      <c r="E167" s="6"/>
      <c r="F167" s="6"/>
      <c r="G167" s="67"/>
      <c r="H167" s="67"/>
      <c r="I167" s="6"/>
      <c r="J167" s="6"/>
      <c r="K167" s="67"/>
      <c r="L167" s="67"/>
      <c r="M167" s="6"/>
      <c r="N167" s="6"/>
      <c r="O167" s="2"/>
      <c r="P167" s="2"/>
    </row>
    <row r="168" spans="1:16" x14ac:dyDescent="0.25">
      <c r="A168" s="67"/>
      <c r="B168" s="67"/>
      <c r="C168" s="67"/>
      <c r="D168" s="38"/>
      <c r="E168" s="6"/>
      <c r="F168" s="6"/>
      <c r="G168" s="67"/>
      <c r="H168" s="67"/>
      <c r="I168" s="6"/>
      <c r="J168" s="6"/>
      <c r="K168" s="67"/>
      <c r="L168" s="67"/>
      <c r="M168" s="6"/>
      <c r="N168" s="6"/>
      <c r="O168" s="2"/>
      <c r="P168" s="2"/>
    </row>
    <row r="169" spans="1:16" x14ac:dyDescent="0.25">
      <c r="A169" s="67"/>
      <c r="B169" s="67"/>
      <c r="C169" s="67"/>
      <c r="D169" s="38"/>
      <c r="E169" s="6"/>
      <c r="F169" s="6"/>
      <c r="G169" s="67"/>
      <c r="H169" s="67"/>
      <c r="I169" s="6"/>
      <c r="J169" s="6"/>
      <c r="K169" s="67"/>
      <c r="L169" s="67"/>
      <c r="M169" s="6"/>
      <c r="N169" s="6"/>
      <c r="O169" s="2"/>
      <c r="P169" s="2"/>
    </row>
    <row r="170" spans="1:16" x14ac:dyDescent="0.25">
      <c r="A170" s="67"/>
      <c r="B170" s="67"/>
      <c r="C170" s="67"/>
      <c r="D170" s="38"/>
      <c r="E170" s="6"/>
      <c r="F170" s="6"/>
      <c r="G170" s="67"/>
      <c r="H170" s="67"/>
      <c r="I170" s="6"/>
      <c r="J170" s="6"/>
      <c r="K170" s="67"/>
      <c r="L170" s="67"/>
      <c r="M170" s="6"/>
      <c r="N170" s="6"/>
      <c r="O170" s="2"/>
      <c r="P170" s="2"/>
    </row>
    <row r="171" spans="1:16" x14ac:dyDescent="0.25">
      <c r="A171" s="67"/>
      <c r="B171" s="67"/>
      <c r="C171" s="67"/>
      <c r="D171" s="38"/>
      <c r="E171" s="6"/>
      <c r="F171" s="6"/>
      <c r="G171" s="67"/>
      <c r="H171" s="67"/>
      <c r="I171" s="6"/>
      <c r="J171" s="6"/>
      <c r="K171" s="67"/>
      <c r="L171" s="67"/>
      <c r="M171" s="6"/>
      <c r="N171" s="6"/>
      <c r="O171" s="2"/>
      <c r="P171" s="2"/>
    </row>
    <row r="172" spans="1:16" x14ac:dyDescent="0.25">
      <c r="A172" s="67"/>
      <c r="B172" s="67"/>
      <c r="C172" s="67"/>
      <c r="D172" s="38"/>
      <c r="E172" s="6"/>
      <c r="F172" s="6"/>
      <c r="G172" s="67"/>
      <c r="H172" s="67"/>
      <c r="I172" s="6"/>
      <c r="J172" s="6"/>
      <c r="K172" s="67"/>
      <c r="L172" s="67"/>
      <c r="M172" s="6"/>
      <c r="N172" s="6"/>
      <c r="O172" s="2"/>
      <c r="P172" s="2"/>
    </row>
    <row r="173" spans="1:16" x14ac:dyDescent="0.25">
      <c r="A173" s="67"/>
      <c r="B173" s="67"/>
      <c r="C173" s="67"/>
      <c r="D173" s="38"/>
      <c r="E173" s="6"/>
      <c r="F173" s="6"/>
      <c r="G173" s="67"/>
      <c r="H173" s="67"/>
      <c r="I173" s="6"/>
      <c r="J173" s="6"/>
      <c r="K173" s="67"/>
      <c r="L173" s="67"/>
      <c r="M173" s="6"/>
      <c r="N173" s="6"/>
      <c r="O173" s="2"/>
      <c r="P173" s="2"/>
    </row>
    <row r="174" spans="1:16" x14ac:dyDescent="0.25">
      <c r="A174" s="67"/>
      <c r="B174" s="67"/>
      <c r="C174" s="67"/>
      <c r="D174" s="38"/>
      <c r="E174" s="6"/>
      <c r="F174" s="6"/>
      <c r="G174" s="67"/>
      <c r="H174" s="67"/>
      <c r="I174" s="6"/>
      <c r="J174" s="6"/>
      <c r="K174" s="67"/>
      <c r="L174" s="67"/>
      <c r="M174" s="6"/>
      <c r="N174" s="6"/>
      <c r="O174" s="2"/>
      <c r="P174" s="2"/>
    </row>
    <row r="175" spans="1:16" x14ac:dyDescent="0.25">
      <c r="A175" s="67"/>
      <c r="B175" s="67"/>
      <c r="C175" s="67"/>
      <c r="D175" s="38"/>
      <c r="E175" s="6"/>
      <c r="F175" s="6"/>
      <c r="G175" s="67"/>
      <c r="H175" s="67"/>
      <c r="I175" s="6"/>
      <c r="J175" s="6"/>
      <c r="K175" s="67"/>
      <c r="L175" s="67"/>
      <c r="M175" s="6"/>
      <c r="N175" s="6"/>
      <c r="O175" s="2"/>
      <c r="P175" s="2"/>
    </row>
    <row r="176" spans="1:16" x14ac:dyDescent="0.25">
      <c r="A176" s="67"/>
      <c r="B176" s="67"/>
      <c r="C176" s="67"/>
      <c r="D176" s="38"/>
      <c r="E176" s="6"/>
      <c r="F176" s="6"/>
      <c r="G176" s="67"/>
      <c r="H176" s="67"/>
      <c r="I176" s="6"/>
      <c r="J176" s="6"/>
      <c r="K176" s="67"/>
      <c r="L176" s="67"/>
      <c r="M176" s="6"/>
      <c r="N176" s="6"/>
      <c r="O176" s="2"/>
      <c r="P176" s="2"/>
    </row>
    <row r="177" spans="1:16" x14ac:dyDescent="0.25">
      <c r="A177" s="67"/>
      <c r="B177" s="67"/>
      <c r="C177" s="67"/>
      <c r="D177" s="38"/>
      <c r="E177" s="6"/>
      <c r="F177" s="6"/>
      <c r="G177" s="67"/>
      <c r="H177" s="67"/>
      <c r="I177" s="6"/>
      <c r="J177" s="6"/>
      <c r="K177" s="67"/>
      <c r="L177" s="67"/>
      <c r="M177" s="6"/>
      <c r="N177" s="6"/>
      <c r="O177" s="2"/>
      <c r="P177" s="2"/>
    </row>
    <row r="178" spans="1:16" x14ac:dyDescent="0.25">
      <c r="A178" s="67"/>
      <c r="B178" s="67"/>
      <c r="C178" s="67"/>
      <c r="D178" s="38"/>
      <c r="E178" s="6"/>
      <c r="F178" s="6"/>
      <c r="G178" s="67"/>
      <c r="H178" s="67"/>
      <c r="I178" s="6"/>
      <c r="J178" s="6"/>
      <c r="K178" s="67"/>
      <c r="L178" s="67"/>
      <c r="M178" s="6"/>
      <c r="N178" s="6"/>
      <c r="O178" s="2"/>
      <c r="P178" s="2"/>
    </row>
    <row r="179" spans="1:16" x14ac:dyDescent="0.25">
      <c r="A179" s="67"/>
      <c r="B179" s="67"/>
      <c r="C179" s="67"/>
      <c r="D179" s="38"/>
      <c r="E179" s="6"/>
      <c r="F179" s="6"/>
      <c r="G179" s="67"/>
      <c r="H179" s="67"/>
      <c r="I179" s="6"/>
      <c r="J179" s="6"/>
      <c r="K179" s="67"/>
      <c r="L179" s="67"/>
      <c r="M179" s="6"/>
      <c r="N179" s="6"/>
      <c r="O179" s="2"/>
      <c r="P179" s="2"/>
    </row>
    <row r="180" spans="1:16" x14ac:dyDescent="0.25">
      <c r="A180" s="67"/>
      <c r="B180" s="67"/>
      <c r="C180" s="67"/>
      <c r="D180" s="38"/>
      <c r="E180" s="6"/>
      <c r="F180" s="6"/>
      <c r="G180" s="67"/>
      <c r="H180" s="67"/>
      <c r="I180" s="6"/>
      <c r="J180" s="6"/>
      <c r="K180" s="67"/>
      <c r="L180" s="67"/>
      <c r="M180" s="6"/>
      <c r="N180" s="6"/>
      <c r="O180" s="2"/>
      <c r="P180" s="2"/>
    </row>
    <row r="181" spans="1:16" x14ac:dyDescent="0.25">
      <c r="A181" s="67"/>
      <c r="B181" s="67"/>
      <c r="C181" s="67"/>
      <c r="D181" s="38"/>
      <c r="E181" s="6"/>
      <c r="F181" s="6"/>
      <c r="G181" s="67"/>
      <c r="H181" s="67"/>
      <c r="I181" s="6"/>
      <c r="J181" s="6"/>
      <c r="K181" s="67"/>
      <c r="L181" s="67"/>
      <c r="M181" s="6"/>
      <c r="N181" s="6"/>
      <c r="O181" s="2"/>
      <c r="P181" s="2"/>
    </row>
    <row r="182" spans="1:16" x14ac:dyDescent="0.25">
      <c r="A182" s="67"/>
      <c r="B182" s="67"/>
      <c r="C182" s="67"/>
      <c r="D182" s="38"/>
      <c r="E182" s="6"/>
      <c r="F182" s="6"/>
      <c r="G182" s="67"/>
      <c r="H182" s="67"/>
      <c r="I182" s="6"/>
      <c r="J182" s="6"/>
      <c r="K182" s="67"/>
      <c r="L182" s="67"/>
      <c r="M182" s="6"/>
      <c r="N182" s="6"/>
      <c r="O182" s="2"/>
      <c r="P182" s="2"/>
    </row>
    <row r="183" spans="1:16" x14ac:dyDescent="0.25">
      <c r="A183" s="67"/>
      <c r="B183" s="67"/>
      <c r="C183" s="67"/>
      <c r="D183" s="38"/>
      <c r="E183" s="6"/>
      <c r="F183" s="6"/>
      <c r="G183" s="67"/>
      <c r="H183" s="67"/>
      <c r="I183" s="6"/>
      <c r="J183" s="6"/>
      <c r="K183" s="67"/>
      <c r="L183" s="67"/>
      <c r="M183" s="6"/>
      <c r="N183" s="6"/>
      <c r="O183" s="2"/>
      <c r="P183" s="2"/>
    </row>
    <row r="184" spans="1:16" x14ac:dyDescent="0.25">
      <c r="A184" s="67"/>
      <c r="B184" s="67"/>
      <c r="C184" s="67"/>
      <c r="D184" s="38"/>
      <c r="E184" s="6"/>
      <c r="F184" s="6"/>
      <c r="G184" s="67"/>
      <c r="H184" s="67"/>
      <c r="I184" s="6"/>
      <c r="J184" s="6"/>
      <c r="K184" s="67"/>
      <c r="L184" s="67"/>
      <c r="M184" s="6"/>
      <c r="N184" s="6"/>
      <c r="O184" s="2"/>
      <c r="P184" s="2"/>
    </row>
    <row r="185" spans="1:16" x14ac:dyDescent="0.25">
      <c r="A185" s="67"/>
      <c r="B185" s="67"/>
      <c r="C185" s="67"/>
      <c r="D185" s="38"/>
      <c r="E185" s="6"/>
      <c r="F185" s="6"/>
      <c r="G185" s="67"/>
      <c r="H185" s="67"/>
      <c r="I185" s="6"/>
      <c r="J185" s="6"/>
      <c r="K185" s="67"/>
      <c r="L185" s="67"/>
      <c r="M185" s="6"/>
      <c r="N185" s="6"/>
      <c r="O185" s="2"/>
      <c r="P185" s="2"/>
    </row>
    <row r="186" spans="1:16" x14ac:dyDescent="0.25">
      <c r="A186" s="67"/>
      <c r="B186" s="67"/>
      <c r="C186" s="67"/>
      <c r="D186" s="38"/>
      <c r="E186" s="6"/>
      <c r="F186" s="6"/>
      <c r="G186" s="67"/>
      <c r="H186" s="67"/>
      <c r="I186" s="6"/>
      <c r="J186" s="6"/>
      <c r="K186" s="67"/>
      <c r="L186" s="67"/>
      <c r="M186" s="6"/>
      <c r="N186" s="6"/>
      <c r="O186" s="2"/>
      <c r="P186" s="2"/>
    </row>
    <row r="187" spans="1:16" x14ac:dyDescent="0.25">
      <c r="A187" s="67"/>
      <c r="B187" s="67"/>
      <c r="C187" s="67"/>
      <c r="D187" s="38"/>
      <c r="E187" s="6"/>
      <c r="F187" s="6"/>
      <c r="G187" s="67"/>
      <c r="H187" s="67"/>
      <c r="I187" s="6"/>
      <c r="J187" s="6"/>
      <c r="K187" s="67"/>
      <c r="L187" s="67"/>
      <c r="M187" s="6"/>
      <c r="N187" s="6"/>
      <c r="O187" s="2"/>
      <c r="P187" s="2"/>
    </row>
    <row r="188" spans="1:16" x14ac:dyDescent="0.25">
      <c r="A188" s="67"/>
      <c r="B188" s="67"/>
      <c r="C188" s="67"/>
      <c r="D188" s="38"/>
      <c r="E188" s="6"/>
      <c r="F188" s="6"/>
      <c r="G188" s="67"/>
      <c r="H188" s="67"/>
      <c r="I188" s="6"/>
      <c r="J188" s="6"/>
      <c r="K188" s="67"/>
      <c r="L188" s="67"/>
      <c r="M188" s="6"/>
      <c r="N188" s="6"/>
      <c r="O188" s="2"/>
      <c r="P188" s="2"/>
    </row>
    <row r="189" spans="1:16" x14ac:dyDescent="0.25">
      <c r="A189" s="67"/>
      <c r="B189" s="67"/>
      <c r="C189" s="67"/>
      <c r="D189" s="38"/>
      <c r="E189" s="6"/>
      <c r="F189" s="6"/>
      <c r="G189" s="67"/>
      <c r="H189" s="67"/>
      <c r="I189" s="6"/>
      <c r="J189" s="6"/>
      <c r="K189" s="67"/>
      <c r="L189" s="67"/>
      <c r="M189" s="6"/>
      <c r="N189" s="6"/>
      <c r="O189" s="2"/>
      <c r="P189" s="2"/>
    </row>
    <row r="190" spans="1:16" x14ac:dyDescent="0.25">
      <c r="A190" s="67"/>
      <c r="B190" s="67"/>
      <c r="C190" s="67"/>
      <c r="D190" s="38"/>
      <c r="E190" s="6"/>
      <c r="F190" s="6"/>
      <c r="G190" s="67"/>
      <c r="H190" s="67"/>
      <c r="I190" s="6"/>
      <c r="J190" s="6"/>
      <c r="K190" s="67"/>
      <c r="L190" s="67"/>
      <c r="M190" s="6"/>
      <c r="N190" s="6"/>
      <c r="O190" s="2"/>
      <c r="P190" s="2"/>
    </row>
    <row r="191" spans="1:16" x14ac:dyDescent="0.25">
      <c r="A191" s="67"/>
      <c r="B191" s="67"/>
      <c r="C191" s="67"/>
      <c r="D191" s="38"/>
      <c r="E191" s="6"/>
      <c r="F191" s="6"/>
      <c r="G191" s="67"/>
      <c r="H191" s="67"/>
      <c r="I191" s="6"/>
      <c r="J191" s="6"/>
      <c r="K191" s="67"/>
      <c r="L191" s="67"/>
      <c r="M191" s="6"/>
      <c r="N191" s="6"/>
      <c r="O191" s="2"/>
      <c r="P191" s="2"/>
    </row>
    <row r="192" spans="1:16" x14ac:dyDescent="0.25">
      <c r="A192" s="67"/>
      <c r="B192" s="67"/>
      <c r="C192" s="67"/>
      <c r="D192" s="38"/>
      <c r="E192" s="6"/>
      <c r="F192" s="6"/>
      <c r="G192" s="67"/>
      <c r="H192" s="67"/>
      <c r="I192" s="6"/>
      <c r="J192" s="6"/>
      <c r="K192" s="67"/>
      <c r="L192" s="67"/>
      <c r="M192" s="6"/>
      <c r="N192" s="6"/>
      <c r="O192" s="2"/>
      <c r="P192" s="2"/>
    </row>
    <row r="193" spans="1:16" x14ac:dyDescent="0.25">
      <c r="A193" s="67"/>
      <c r="B193" s="67"/>
      <c r="C193" s="67"/>
      <c r="D193" s="38"/>
      <c r="E193" s="6"/>
      <c r="F193" s="6"/>
      <c r="G193" s="67"/>
      <c r="H193" s="67"/>
      <c r="I193" s="6"/>
      <c r="J193" s="6"/>
      <c r="K193" s="67"/>
      <c r="L193" s="67"/>
      <c r="M193" s="6"/>
      <c r="N193" s="6"/>
      <c r="O193" s="2"/>
      <c r="P193" s="2"/>
    </row>
    <row r="194" spans="1:16" x14ac:dyDescent="0.25">
      <c r="A194" s="67"/>
      <c r="B194" s="67"/>
      <c r="C194" s="67"/>
      <c r="D194" s="38"/>
      <c r="E194" s="6"/>
      <c r="F194" s="6"/>
      <c r="G194" s="67"/>
      <c r="H194" s="67"/>
      <c r="I194" s="6"/>
      <c r="J194" s="6"/>
      <c r="K194" s="67"/>
      <c r="L194" s="67"/>
      <c r="M194" s="6"/>
      <c r="N194" s="6"/>
      <c r="O194" s="2"/>
      <c r="P194" s="2"/>
    </row>
    <row r="195" spans="1:16" x14ac:dyDescent="0.25">
      <c r="A195" s="67"/>
      <c r="B195" s="67"/>
      <c r="C195" s="67"/>
      <c r="D195" s="38"/>
      <c r="E195" s="6"/>
      <c r="F195" s="6"/>
      <c r="G195" s="67"/>
      <c r="H195" s="67"/>
      <c r="I195" s="6"/>
      <c r="J195" s="6"/>
      <c r="K195" s="67"/>
      <c r="L195" s="67"/>
      <c r="M195" s="6"/>
      <c r="N195" s="6"/>
      <c r="O195" s="2"/>
      <c r="P195" s="2"/>
    </row>
    <row r="196" spans="1:16" x14ac:dyDescent="0.25">
      <c r="A196" s="67"/>
      <c r="B196" s="67"/>
      <c r="C196" s="67"/>
      <c r="D196" s="38"/>
      <c r="E196" s="6"/>
      <c r="F196" s="6"/>
      <c r="G196" s="67"/>
      <c r="H196" s="67"/>
      <c r="I196" s="6"/>
      <c r="J196" s="6"/>
      <c r="K196" s="67"/>
      <c r="L196" s="67"/>
      <c r="M196" s="6"/>
      <c r="N196" s="6"/>
      <c r="O196" s="2"/>
      <c r="P196" s="2"/>
    </row>
    <row r="197" spans="1:16" x14ac:dyDescent="0.25">
      <c r="A197" s="67"/>
      <c r="B197" s="67"/>
      <c r="C197" s="67"/>
      <c r="D197" s="38"/>
      <c r="E197" s="6"/>
      <c r="F197" s="6"/>
      <c r="G197" s="67"/>
      <c r="H197" s="67"/>
      <c r="I197" s="6"/>
      <c r="J197" s="6"/>
      <c r="K197" s="67"/>
      <c r="L197" s="67"/>
      <c r="M197" s="6"/>
      <c r="N197" s="6"/>
      <c r="O197" s="2"/>
      <c r="P197" s="2"/>
    </row>
    <row r="198" spans="1:16" x14ac:dyDescent="0.25">
      <c r="A198" s="67"/>
      <c r="B198" s="67"/>
      <c r="C198" s="67"/>
      <c r="D198" s="38"/>
      <c r="E198" s="6"/>
      <c r="F198" s="6"/>
      <c r="G198" s="67"/>
      <c r="H198" s="67"/>
      <c r="I198" s="6"/>
      <c r="J198" s="6"/>
      <c r="K198" s="67"/>
      <c r="L198" s="67"/>
      <c r="M198" s="6"/>
      <c r="N198" s="6"/>
      <c r="O198" s="2"/>
      <c r="P198" s="2"/>
    </row>
    <row r="199" spans="1:16" x14ac:dyDescent="0.25">
      <c r="A199" s="67"/>
      <c r="B199" s="67"/>
      <c r="C199" s="67"/>
      <c r="D199" s="38"/>
      <c r="E199" s="6"/>
      <c r="F199" s="6"/>
      <c r="G199" s="67"/>
      <c r="H199" s="67"/>
      <c r="I199" s="6"/>
      <c r="J199" s="6"/>
      <c r="K199" s="67"/>
      <c r="L199" s="67"/>
      <c r="M199" s="6"/>
      <c r="N199" s="6"/>
      <c r="O199" s="2"/>
      <c r="P199" s="2"/>
    </row>
    <row r="200" spans="1:16" x14ac:dyDescent="0.25">
      <c r="A200" s="67"/>
      <c r="B200" s="67"/>
      <c r="C200" s="67"/>
      <c r="D200" s="38"/>
      <c r="E200" s="6"/>
      <c r="F200" s="6"/>
      <c r="G200" s="67"/>
      <c r="H200" s="67"/>
      <c r="I200" s="6"/>
      <c r="J200" s="6"/>
      <c r="K200" s="67"/>
      <c r="L200" s="67"/>
      <c r="M200" s="6"/>
      <c r="N200" s="6"/>
      <c r="O200" s="2"/>
      <c r="P200" s="2"/>
    </row>
    <row r="201" spans="1:16" x14ac:dyDescent="0.25">
      <c r="A201" s="67"/>
      <c r="B201" s="67"/>
      <c r="C201" s="67"/>
      <c r="D201" s="38"/>
      <c r="E201" s="6"/>
      <c r="F201" s="6"/>
      <c r="G201" s="67"/>
      <c r="H201" s="67"/>
      <c r="I201" s="6"/>
      <c r="J201" s="6"/>
      <c r="K201" s="67"/>
      <c r="L201" s="67"/>
      <c r="M201" s="6"/>
      <c r="N201" s="6"/>
      <c r="O201" s="2"/>
      <c r="P201" s="2"/>
    </row>
    <row r="202" spans="1:16" x14ac:dyDescent="0.25">
      <c r="A202" s="67"/>
      <c r="B202" s="67"/>
      <c r="C202" s="67"/>
      <c r="D202" s="38"/>
      <c r="E202" s="6"/>
      <c r="F202" s="6"/>
      <c r="G202" s="67"/>
      <c r="H202" s="67"/>
      <c r="I202" s="6"/>
      <c r="J202" s="6"/>
      <c r="K202" s="67"/>
      <c r="L202" s="67"/>
      <c r="M202" s="6"/>
      <c r="N202" s="6"/>
      <c r="O202" s="2"/>
      <c r="P202" s="2"/>
    </row>
    <row r="203" spans="1:16" x14ac:dyDescent="0.25">
      <c r="A203" s="67"/>
      <c r="B203" s="67"/>
      <c r="C203" s="67"/>
      <c r="D203" s="38"/>
      <c r="E203" s="6"/>
      <c r="F203" s="6"/>
      <c r="G203" s="67"/>
      <c r="H203" s="67"/>
      <c r="I203" s="6"/>
      <c r="J203" s="6"/>
      <c r="K203" s="67"/>
      <c r="L203" s="67"/>
      <c r="M203" s="6"/>
      <c r="N203" s="6"/>
      <c r="O203" s="2"/>
      <c r="P203" s="2"/>
    </row>
    <row r="204" spans="1:16" x14ac:dyDescent="0.25">
      <c r="A204" s="67"/>
      <c r="B204" s="67"/>
      <c r="C204" s="67"/>
      <c r="D204" s="38"/>
      <c r="E204" s="6"/>
      <c r="F204" s="6"/>
      <c r="G204" s="67"/>
      <c r="H204" s="67"/>
      <c r="I204" s="6"/>
      <c r="J204" s="6"/>
      <c r="K204" s="67"/>
      <c r="L204" s="67"/>
      <c r="M204" s="6"/>
      <c r="N204" s="6"/>
      <c r="O204" s="2"/>
      <c r="P204" s="2"/>
    </row>
    <row r="205" spans="1:16" x14ac:dyDescent="0.25">
      <c r="A205" s="67"/>
      <c r="B205" s="67"/>
      <c r="C205" s="67"/>
      <c r="D205" s="38"/>
      <c r="E205" s="6"/>
      <c r="F205" s="6"/>
      <c r="G205" s="67"/>
      <c r="H205" s="67"/>
      <c r="I205" s="6"/>
      <c r="J205" s="6"/>
      <c r="K205" s="67"/>
      <c r="L205" s="67"/>
      <c r="M205" s="6"/>
      <c r="N205" s="6"/>
      <c r="O205" s="2"/>
      <c r="P205" s="2"/>
    </row>
    <row r="206" spans="1:16" x14ac:dyDescent="0.25">
      <c r="A206" s="67"/>
      <c r="B206" s="67"/>
      <c r="C206" s="67"/>
      <c r="D206" s="38"/>
      <c r="E206" s="6"/>
      <c r="F206" s="6"/>
      <c r="G206" s="67"/>
      <c r="H206" s="67"/>
      <c r="I206" s="6"/>
      <c r="J206" s="6"/>
      <c r="K206" s="67"/>
      <c r="L206" s="67"/>
      <c r="M206" s="6"/>
      <c r="N206" s="6"/>
      <c r="O206" s="2"/>
      <c r="P206" s="2"/>
    </row>
    <row r="207" spans="1:16" x14ac:dyDescent="0.25">
      <c r="A207" s="67"/>
      <c r="B207" s="67"/>
      <c r="C207" s="67"/>
      <c r="D207" s="38"/>
      <c r="E207" s="6"/>
      <c r="F207" s="6"/>
      <c r="G207" s="67"/>
      <c r="H207" s="67"/>
      <c r="I207" s="6"/>
      <c r="J207" s="6"/>
      <c r="K207" s="67"/>
      <c r="L207" s="67"/>
      <c r="M207" s="6"/>
      <c r="N207" s="6"/>
      <c r="O207" s="2"/>
      <c r="P207" s="2"/>
    </row>
    <row r="208" spans="1:16" x14ac:dyDescent="0.25">
      <c r="A208" s="67"/>
      <c r="B208" s="67"/>
      <c r="C208" s="67"/>
      <c r="D208" s="38"/>
      <c r="E208" s="6"/>
      <c r="F208" s="6"/>
      <c r="G208" s="67"/>
      <c r="H208" s="67"/>
      <c r="I208" s="6"/>
      <c r="J208" s="6"/>
      <c r="K208" s="67"/>
      <c r="L208" s="67"/>
      <c r="M208" s="6"/>
      <c r="N208" s="6"/>
      <c r="O208" s="2"/>
      <c r="P208" s="2"/>
    </row>
    <row r="209" spans="1:16" x14ac:dyDescent="0.25">
      <c r="A209" s="67"/>
      <c r="B209" s="67"/>
      <c r="C209" s="67"/>
      <c r="D209" s="38"/>
      <c r="E209" s="6"/>
      <c r="F209" s="6"/>
      <c r="G209" s="67"/>
      <c r="H209" s="67"/>
      <c r="I209" s="6"/>
      <c r="J209" s="6"/>
      <c r="K209" s="67"/>
      <c r="L209" s="67"/>
      <c r="M209" s="6"/>
      <c r="N209" s="6"/>
      <c r="O209" s="2"/>
      <c r="P209" s="2"/>
    </row>
    <row r="210" spans="1:16" x14ac:dyDescent="0.25">
      <c r="A210" s="67"/>
      <c r="B210" s="67"/>
      <c r="C210" s="67"/>
      <c r="D210" s="38"/>
      <c r="E210" s="6"/>
      <c r="F210" s="6"/>
      <c r="G210" s="67"/>
      <c r="H210" s="67"/>
      <c r="I210" s="6"/>
      <c r="J210" s="6"/>
      <c r="K210" s="67"/>
      <c r="L210" s="67"/>
      <c r="M210" s="6"/>
      <c r="N210" s="6"/>
      <c r="O210" s="2"/>
      <c r="P210" s="2"/>
    </row>
    <row r="211" spans="1:16" x14ac:dyDescent="0.25">
      <c r="A211" s="67"/>
      <c r="B211" s="67"/>
      <c r="C211" s="67"/>
      <c r="D211" s="38"/>
      <c r="E211" s="6"/>
      <c r="F211" s="6"/>
      <c r="G211" s="67"/>
      <c r="H211" s="67"/>
      <c r="I211" s="6"/>
      <c r="J211" s="6"/>
      <c r="K211" s="67"/>
      <c r="L211" s="67"/>
      <c r="M211" s="6"/>
      <c r="N211" s="6"/>
      <c r="O211" s="2"/>
      <c r="P211" s="2"/>
    </row>
    <row r="212" spans="1:16" x14ac:dyDescent="0.25">
      <c r="A212" s="67"/>
      <c r="B212" s="67"/>
      <c r="C212" s="67"/>
      <c r="D212" s="38"/>
      <c r="E212" s="6"/>
      <c r="F212" s="6"/>
      <c r="G212" s="67"/>
      <c r="H212" s="67"/>
      <c r="I212" s="6"/>
      <c r="J212" s="6"/>
      <c r="K212" s="67"/>
      <c r="L212" s="67"/>
      <c r="M212" s="6"/>
      <c r="N212" s="6"/>
      <c r="O212" s="2"/>
      <c r="P212" s="2"/>
    </row>
    <row r="213" spans="1:16" x14ac:dyDescent="0.25">
      <c r="A213" s="67"/>
      <c r="B213" s="67"/>
      <c r="C213" s="67"/>
      <c r="D213" s="38"/>
      <c r="E213" s="6"/>
      <c r="F213" s="6"/>
      <c r="G213" s="67"/>
      <c r="H213" s="67"/>
      <c r="I213" s="6"/>
      <c r="J213" s="6"/>
      <c r="K213" s="67"/>
      <c r="L213" s="67"/>
      <c r="M213" s="6"/>
      <c r="N213" s="6"/>
      <c r="O213" s="2"/>
      <c r="P213" s="2"/>
    </row>
    <row r="214" spans="1:16" x14ac:dyDescent="0.25">
      <c r="A214" s="67"/>
      <c r="B214" s="67"/>
      <c r="C214" s="67"/>
      <c r="D214" s="38"/>
      <c r="E214" s="6"/>
      <c r="F214" s="6"/>
      <c r="G214" s="67"/>
      <c r="H214" s="67"/>
      <c r="I214" s="6"/>
      <c r="J214" s="6"/>
      <c r="K214" s="67"/>
      <c r="L214" s="67"/>
      <c r="M214" s="6"/>
      <c r="N214" s="6"/>
      <c r="O214" s="2"/>
      <c r="P214" s="2"/>
    </row>
    <row r="215" spans="1:16" x14ac:dyDescent="0.25">
      <c r="A215" s="67"/>
      <c r="B215" s="67"/>
      <c r="C215" s="67"/>
      <c r="D215" s="38"/>
      <c r="E215" s="6"/>
      <c r="F215" s="6"/>
      <c r="G215" s="67"/>
      <c r="H215" s="67"/>
      <c r="I215" s="6"/>
      <c r="J215" s="6"/>
      <c r="K215" s="67"/>
      <c r="L215" s="67"/>
      <c r="M215" s="6"/>
      <c r="N215" s="6"/>
      <c r="O215" s="2"/>
      <c r="P215" s="2"/>
    </row>
    <row r="216" spans="1:16" x14ac:dyDescent="0.25">
      <c r="A216" s="67"/>
      <c r="B216" s="67"/>
      <c r="C216" s="67"/>
      <c r="D216" s="38"/>
      <c r="E216" s="6"/>
      <c r="F216" s="6"/>
      <c r="G216" s="67"/>
      <c r="H216" s="67"/>
      <c r="I216" s="6"/>
      <c r="J216" s="6"/>
      <c r="K216" s="67"/>
      <c r="L216" s="67"/>
      <c r="M216" s="6"/>
      <c r="N216" s="6"/>
      <c r="O216" s="2"/>
      <c r="P216" s="2"/>
    </row>
    <row r="217" spans="1:16" x14ac:dyDescent="0.25">
      <c r="A217" s="67"/>
      <c r="B217" s="67"/>
      <c r="C217" s="67"/>
      <c r="D217" s="38"/>
      <c r="E217" s="6"/>
      <c r="F217" s="6"/>
      <c r="G217" s="67"/>
      <c r="H217" s="67"/>
      <c r="I217" s="6"/>
      <c r="J217" s="6"/>
      <c r="K217" s="67"/>
      <c r="L217" s="67"/>
      <c r="M217" s="6"/>
      <c r="N217" s="6"/>
      <c r="O217" s="2"/>
      <c r="P217" s="2"/>
    </row>
    <row r="218" spans="1:16" x14ac:dyDescent="0.25">
      <c r="A218" s="67"/>
      <c r="B218" s="67"/>
      <c r="C218" s="67"/>
      <c r="D218" s="38"/>
      <c r="E218" s="6"/>
      <c r="F218" s="6"/>
      <c r="G218" s="67"/>
      <c r="H218" s="67"/>
      <c r="I218" s="6"/>
      <c r="J218" s="6"/>
      <c r="K218" s="67"/>
      <c r="L218" s="67"/>
      <c r="M218" s="6"/>
      <c r="N218" s="6"/>
      <c r="O218" s="2"/>
      <c r="P218" s="2"/>
    </row>
    <row r="219" spans="1:16" x14ac:dyDescent="0.25">
      <c r="A219" s="67"/>
      <c r="B219" s="67"/>
      <c r="C219" s="67"/>
      <c r="D219" s="38"/>
      <c r="E219" s="6"/>
      <c r="F219" s="6"/>
      <c r="G219" s="67"/>
      <c r="H219" s="67"/>
      <c r="I219" s="6"/>
      <c r="J219" s="6"/>
      <c r="K219" s="67"/>
      <c r="L219" s="67"/>
      <c r="M219" s="6"/>
      <c r="N219" s="6"/>
      <c r="O219" s="2"/>
      <c r="P219" s="2"/>
    </row>
    <row r="220" spans="1:16" x14ac:dyDescent="0.25">
      <c r="A220" s="67"/>
      <c r="B220" s="67"/>
      <c r="C220" s="67"/>
      <c r="D220" s="38"/>
      <c r="E220" s="6"/>
      <c r="F220" s="6"/>
      <c r="G220" s="67"/>
      <c r="H220" s="67"/>
      <c r="I220" s="6"/>
      <c r="J220" s="6"/>
      <c r="K220" s="67"/>
      <c r="L220" s="67"/>
      <c r="M220" s="6"/>
      <c r="N220" s="6"/>
      <c r="O220" s="2"/>
      <c r="P220" s="2"/>
    </row>
    <row r="221" spans="1:16" x14ac:dyDescent="0.25">
      <c r="A221" s="67"/>
      <c r="B221" s="67"/>
      <c r="C221" s="67"/>
      <c r="D221" s="38"/>
      <c r="E221" s="6"/>
      <c r="F221" s="6"/>
      <c r="G221" s="67"/>
      <c r="H221" s="67"/>
      <c r="I221" s="6"/>
      <c r="J221" s="6"/>
      <c r="K221" s="67"/>
      <c r="L221" s="67"/>
      <c r="M221" s="6"/>
      <c r="N221" s="6"/>
      <c r="O221" s="2"/>
      <c r="P221" s="2"/>
    </row>
    <row r="222" spans="1:16" x14ac:dyDescent="0.25">
      <c r="A222" s="67"/>
      <c r="B222" s="67"/>
      <c r="C222" s="67"/>
      <c r="D222" s="38"/>
      <c r="E222" s="6"/>
      <c r="F222" s="6"/>
      <c r="G222" s="67"/>
      <c r="H222" s="67"/>
      <c r="I222" s="6"/>
      <c r="J222" s="6"/>
      <c r="K222" s="67"/>
      <c r="L222" s="67"/>
      <c r="M222" s="6"/>
      <c r="N222" s="6"/>
      <c r="O222" s="2"/>
      <c r="P222" s="2"/>
    </row>
    <row r="223" spans="1:16" x14ac:dyDescent="0.25">
      <c r="A223" s="67"/>
      <c r="B223" s="67"/>
      <c r="C223" s="67"/>
      <c r="D223" s="38"/>
      <c r="E223" s="6"/>
      <c r="F223" s="6"/>
      <c r="G223" s="67"/>
      <c r="H223" s="67"/>
      <c r="I223" s="6"/>
      <c r="J223" s="6"/>
      <c r="K223" s="67"/>
      <c r="L223" s="67"/>
      <c r="M223" s="6"/>
      <c r="N223" s="6"/>
      <c r="O223" s="2"/>
      <c r="P223" s="2"/>
    </row>
    <row r="224" spans="1:16" x14ac:dyDescent="0.25">
      <c r="A224" s="67"/>
      <c r="B224" s="67"/>
      <c r="C224" s="67"/>
      <c r="D224" s="38"/>
      <c r="E224" s="6"/>
      <c r="F224" s="6"/>
      <c r="G224" s="67"/>
      <c r="H224" s="67"/>
      <c r="I224" s="6"/>
      <c r="J224" s="6"/>
      <c r="K224" s="67"/>
      <c r="L224" s="67"/>
      <c r="M224" s="6"/>
      <c r="N224" s="6"/>
      <c r="O224" s="2"/>
      <c r="P224" s="2"/>
    </row>
    <row r="225" spans="1:16" x14ac:dyDescent="0.25">
      <c r="A225" s="67"/>
      <c r="B225" s="67"/>
      <c r="C225" s="67"/>
      <c r="D225" s="38"/>
      <c r="E225" s="6"/>
      <c r="F225" s="6"/>
      <c r="G225" s="67"/>
      <c r="H225" s="67"/>
      <c r="I225" s="6"/>
      <c r="J225" s="6"/>
      <c r="K225" s="67"/>
      <c r="L225" s="67"/>
      <c r="M225" s="6"/>
      <c r="N225" s="6"/>
      <c r="O225" s="2"/>
      <c r="P225" s="2"/>
    </row>
    <row r="226" spans="1:16" x14ac:dyDescent="0.25">
      <c r="A226" s="67"/>
      <c r="B226" s="67"/>
      <c r="C226" s="67"/>
      <c r="D226" s="38"/>
      <c r="E226" s="6"/>
      <c r="F226" s="6"/>
      <c r="G226" s="67"/>
      <c r="H226" s="67"/>
      <c r="I226" s="6"/>
      <c r="J226" s="6"/>
      <c r="K226" s="67"/>
      <c r="L226" s="67"/>
      <c r="M226" s="6"/>
      <c r="N226" s="6"/>
      <c r="O226" s="2"/>
      <c r="P226" s="2"/>
    </row>
    <row r="227" spans="1:16" x14ac:dyDescent="0.25">
      <c r="A227" s="67"/>
      <c r="B227" s="67"/>
      <c r="C227" s="67"/>
      <c r="D227" s="38"/>
      <c r="E227" s="6"/>
      <c r="F227" s="6"/>
      <c r="G227" s="67"/>
      <c r="H227" s="67"/>
      <c r="I227" s="6"/>
      <c r="J227" s="6"/>
      <c r="K227" s="67"/>
      <c r="L227" s="67"/>
      <c r="M227" s="6"/>
      <c r="N227" s="6"/>
      <c r="O227" s="2"/>
      <c r="P227" s="2"/>
    </row>
    <row r="228" spans="1:16" x14ac:dyDescent="0.25">
      <c r="A228" s="67"/>
      <c r="B228" s="67"/>
      <c r="C228" s="67"/>
      <c r="D228" s="38"/>
      <c r="E228" s="6"/>
      <c r="F228" s="6"/>
      <c r="G228" s="67"/>
      <c r="H228" s="67"/>
      <c r="I228" s="6"/>
      <c r="J228" s="6"/>
      <c r="K228" s="67"/>
      <c r="L228" s="67"/>
      <c r="M228" s="6"/>
      <c r="N228" s="6"/>
      <c r="O228" s="2"/>
      <c r="P228" s="2"/>
    </row>
    <row r="229" spans="1:16" x14ac:dyDescent="0.25">
      <c r="A229" s="67"/>
      <c r="B229" s="67"/>
      <c r="C229" s="67"/>
      <c r="D229" s="38"/>
      <c r="E229" s="6"/>
      <c r="F229" s="6"/>
      <c r="G229" s="67"/>
      <c r="H229" s="67"/>
      <c r="I229" s="6"/>
      <c r="J229" s="6"/>
      <c r="K229" s="67"/>
      <c r="L229" s="67"/>
      <c r="M229" s="6"/>
      <c r="N229" s="6"/>
      <c r="O229" s="2"/>
      <c r="P229" s="2"/>
    </row>
    <row r="230" spans="1:16" x14ac:dyDescent="0.25">
      <c r="A230" s="67"/>
      <c r="B230" s="67"/>
      <c r="C230" s="67"/>
      <c r="D230" s="38"/>
      <c r="E230" s="6"/>
      <c r="F230" s="6"/>
      <c r="G230" s="67"/>
      <c r="H230" s="67"/>
      <c r="I230" s="6"/>
      <c r="J230" s="6"/>
      <c r="K230" s="67"/>
      <c r="L230" s="67"/>
      <c r="M230" s="6"/>
      <c r="N230" s="6"/>
      <c r="O230" s="2"/>
      <c r="P230" s="2"/>
    </row>
    <row r="231" spans="1:16" x14ac:dyDescent="0.25">
      <c r="A231" s="67"/>
      <c r="B231" s="67"/>
      <c r="C231" s="67"/>
      <c r="D231" s="38"/>
      <c r="E231" s="6"/>
      <c r="F231" s="6"/>
      <c r="G231" s="67"/>
      <c r="H231" s="67"/>
      <c r="I231" s="6"/>
      <c r="J231" s="6"/>
      <c r="K231" s="67"/>
      <c r="L231" s="67"/>
      <c r="M231" s="6"/>
      <c r="N231" s="6"/>
      <c r="O231" s="2"/>
      <c r="P231" s="2"/>
    </row>
    <row r="232" spans="1:16" x14ac:dyDescent="0.25">
      <c r="A232" s="67"/>
      <c r="B232" s="67"/>
      <c r="C232" s="67"/>
      <c r="D232" s="38"/>
      <c r="E232" s="6"/>
      <c r="F232" s="6"/>
      <c r="G232" s="67"/>
      <c r="H232" s="67"/>
      <c r="I232" s="6"/>
      <c r="J232" s="6"/>
      <c r="K232" s="67"/>
      <c r="L232" s="67"/>
      <c r="M232" s="6"/>
      <c r="N232" s="6"/>
      <c r="O232" s="2"/>
      <c r="P232" s="2"/>
    </row>
    <row r="233" spans="1:16" x14ac:dyDescent="0.25">
      <c r="A233" s="67"/>
      <c r="B233" s="67"/>
      <c r="C233" s="67"/>
      <c r="D233" s="38"/>
      <c r="E233" s="6"/>
      <c r="F233" s="6"/>
      <c r="G233" s="67"/>
      <c r="H233" s="67"/>
      <c r="I233" s="6"/>
      <c r="J233" s="6"/>
      <c r="K233" s="67"/>
      <c r="L233" s="67"/>
      <c r="M233" s="6"/>
      <c r="N233" s="6"/>
      <c r="O233" s="2"/>
      <c r="P233" s="2"/>
    </row>
    <row r="234" spans="1:16" x14ac:dyDescent="0.25">
      <c r="A234" s="67"/>
      <c r="B234" s="67"/>
      <c r="C234" s="67"/>
      <c r="D234" s="38"/>
      <c r="E234" s="6"/>
      <c r="F234" s="6"/>
      <c r="G234" s="67"/>
      <c r="H234" s="67"/>
      <c r="I234" s="6"/>
      <c r="J234" s="6"/>
      <c r="K234" s="67"/>
      <c r="L234" s="67"/>
      <c r="M234" s="6"/>
      <c r="N234" s="6"/>
      <c r="O234" s="2"/>
      <c r="P234" s="2"/>
    </row>
    <row r="235" spans="1:16" x14ac:dyDescent="0.25">
      <c r="A235" s="67"/>
      <c r="B235" s="67"/>
      <c r="C235" s="67"/>
      <c r="D235" s="38"/>
      <c r="E235" s="6"/>
      <c r="F235" s="6"/>
      <c r="G235" s="67"/>
      <c r="H235" s="67"/>
      <c r="I235" s="6"/>
      <c r="J235" s="6"/>
      <c r="K235" s="67"/>
      <c r="L235" s="67"/>
      <c r="M235" s="6"/>
      <c r="N235" s="6"/>
      <c r="O235" s="2"/>
      <c r="P235" s="2"/>
    </row>
    <row r="236" spans="1:16" x14ac:dyDescent="0.25">
      <c r="A236" s="67"/>
      <c r="B236" s="67"/>
      <c r="C236" s="67"/>
      <c r="D236" s="38"/>
      <c r="E236" s="6"/>
      <c r="F236" s="6"/>
      <c r="G236" s="67"/>
      <c r="H236" s="67"/>
      <c r="I236" s="6"/>
      <c r="J236" s="6"/>
      <c r="K236" s="67"/>
      <c r="L236" s="67"/>
      <c r="M236" s="6"/>
      <c r="N236" s="6"/>
      <c r="O236" s="2"/>
      <c r="P236" s="2"/>
    </row>
    <row r="237" spans="1:16" x14ac:dyDescent="0.25">
      <c r="A237" s="67"/>
      <c r="B237" s="67"/>
      <c r="C237" s="67"/>
      <c r="D237" s="38"/>
      <c r="E237" s="6"/>
      <c r="F237" s="6"/>
      <c r="G237" s="67"/>
      <c r="H237" s="67"/>
      <c r="I237" s="6"/>
      <c r="J237" s="6"/>
      <c r="K237" s="67"/>
      <c r="L237" s="67"/>
      <c r="M237" s="6"/>
      <c r="N237" s="6"/>
      <c r="O237" s="2"/>
      <c r="P237" s="2"/>
    </row>
    <row r="238" spans="1:16" x14ac:dyDescent="0.25">
      <c r="A238" s="67"/>
      <c r="B238" s="67"/>
      <c r="C238" s="67"/>
      <c r="D238" s="38"/>
      <c r="E238" s="6"/>
      <c r="F238" s="6"/>
      <c r="G238" s="67"/>
      <c r="H238" s="67"/>
      <c r="I238" s="6"/>
      <c r="J238" s="6"/>
      <c r="K238" s="67"/>
      <c r="L238" s="67"/>
      <c r="M238" s="6"/>
      <c r="N238" s="6"/>
      <c r="O238" s="2"/>
      <c r="P238" s="2"/>
    </row>
    <row r="239" spans="1:16" x14ac:dyDescent="0.25">
      <c r="A239" s="67"/>
      <c r="B239" s="67"/>
      <c r="C239" s="67"/>
      <c r="D239" s="38"/>
      <c r="E239" s="6"/>
      <c r="F239" s="6"/>
      <c r="G239" s="67"/>
      <c r="H239" s="67"/>
      <c r="I239" s="6"/>
      <c r="J239" s="6"/>
      <c r="K239" s="67"/>
      <c r="L239" s="67"/>
      <c r="M239" s="6"/>
      <c r="N239" s="6"/>
      <c r="O239" s="2"/>
      <c r="P239" s="2"/>
    </row>
    <row r="240" spans="1:16" x14ac:dyDescent="0.25">
      <c r="A240" s="67"/>
      <c r="B240" s="67"/>
      <c r="C240" s="67"/>
      <c r="D240" s="38"/>
      <c r="E240" s="6"/>
      <c r="F240" s="6"/>
      <c r="G240" s="67"/>
      <c r="H240" s="67"/>
      <c r="I240" s="6"/>
      <c r="J240" s="6"/>
      <c r="K240" s="67"/>
      <c r="L240" s="67"/>
      <c r="M240" s="6"/>
      <c r="N240" s="6"/>
      <c r="O240" s="2"/>
      <c r="P240" s="2"/>
    </row>
    <row r="241" spans="1:16" x14ac:dyDescent="0.25">
      <c r="A241" s="67"/>
      <c r="B241" s="67"/>
      <c r="C241" s="67"/>
      <c r="D241" s="38"/>
      <c r="E241" s="6"/>
      <c r="F241" s="6"/>
      <c r="G241" s="67"/>
      <c r="H241" s="67"/>
      <c r="I241" s="6"/>
      <c r="J241" s="6"/>
      <c r="K241" s="67"/>
      <c r="L241" s="67"/>
      <c r="M241" s="6"/>
      <c r="N241" s="6"/>
      <c r="O241" s="2"/>
      <c r="P241" s="2"/>
    </row>
    <row r="242" spans="1:16" x14ac:dyDescent="0.25">
      <c r="A242" s="67"/>
      <c r="B242" s="67"/>
      <c r="C242" s="67"/>
      <c r="D242" s="38"/>
      <c r="E242" s="6"/>
      <c r="F242" s="6"/>
      <c r="G242" s="67"/>
      <c r="H242" s="67"/>
      <c r="I242" s="6"/>
      <c r="J242" s="6"/>
      <c r="K242" s="67"/>
      <c r="L242" s="67"/>
      <c r="M242" s="6"/>
      <c r="N242" s="6"/>
      <c r="O242" s="2"/>
      <c r="P242" s="2"/>
    </row>
    <row r="243" spans="1:16" x14ac:dyDescent="0.25">
      <c r="A243" s="67"/>
      <c r="B243" s="67"/>
      <c r="C243" s="67"/>
      <c r="D243" s="38"/>
      <c r="E243" s="6"/>
      <c r="F243" s="6"/>
      <c r="G243" s="67"/>
      <c r="H243" s="67"/>
      <c r="I243" s="6"/>
      <c r="J243" s="6"/>
      <c r="K243" s="67"/>
      <c r="L243" s="67"/>
      <c r="M243" s="6"/>
      <c r="N243" s="6"/>
      <c r="O243" s="2"/>
      <c r="P243" s="2"/>
    </row>
    <row r="244" spans="1:16" x14ac:dyDescent="0.25">
      <c r="A244" s="67"/>
      <c r="B244" s="67"/>
      <c r="C244" s="67"/>
      <c r="D244" s="38"/>
      <c r="E244" s="6"/>
      <c r="F244" s="6"/>
      <c r="G244" s="67"/>
      <c r="H244" s="67"/>
      <c r="I244" s="6"/>
      <c r="J244" s="6"/>
      <c r="K244" s="67"/>
      <c r="L244" s="67"/>
      <c r="M244" s="6"/>
      <c r="N244" s="6"/>
      <c r="O244" s="2"/>
      <c r="P244" s="2"/>
    </row>
    <row r="245" spans="1:16" x14ac:dyDescent="0.25">
      <c r="A245" s="67"/>
      <c r="B245" s="67"/>
      <c r="C245" s="67"/>
      <c r="D245" s="38"/>
      <c r="E245" s="6"/>
      <c r="F245" s="6"/>
      <c r="G245" s="67"/>
      <c r="H245" s="67"/>
      <c r="I245" s="6"/>
      <c r="J245" s="6"/>
      <c r="K245" s="67"/>
      <c r="L245" s="67"/>
      <c r="M245" s="6"/>
      <c r="N245" s="6"/>
      <c r="O245" s="2"/>
      <c r="P245" s="2"/>
    </row>
    <row r="246" spans="1:16" x14ac:dyDescent="0.25">
      <c r="A246" s="67"/>
      <c r="B246" s="67"/>
      <c r="C246" s="67"/>
      <c r="D246" s="38"/>
      <c r="E246" s="6"/>
      <c r="F246" s="6"/>
      <c r="G246" s="67"/>
      <c r="H246" s="67"/>
      <c r="I246" s="6"/>
      <c r="J246" s="6"/>
      <c r="K246" s="67"/>
      <c r="L246" s="67"/>
      <c r="M246" s="6"/>
      <c r="N246" s="6"/>
      <c r="O246" s="2"/>
      <c r="P246" s="2"/>
    </row>
    <row r="247" spans="1:16" x14ac:dyDescent="0.25">
      <c r="A247" s="67"/>
      <c r="B247" s="67"/>
      <c r="C247" s="67"/>
      <c r="D247" s="38"/>
      <c r="E247" s="6"/>
      <c r="F247" s="6"/>
      <c r="G247" s="67"/>
      <c r="H247" s="67"/>
      <c r="I247" s="6"/>
      <c r="J247" s="6"/>
      <c r="K247" s="67"/>
      <c r="L247" s="67"/>
      <c r="M247" s="6"/>
      <c r="N247" s="6"/>
      <c r="O247" s="2"/>
      <c r="P247" s="2"/>
    </row>
    <row r="248" spans="1:16" x14ac:dyDescent="0.25">
      <c r="A248" s="67"/>
      <c r="B248" s="67"/>
      <c r="C248" s="67"/>
      <c r="D248" s="38"/>
      <c r="E248" s="6"/>
      <c r="F248" s="6"/>
      <c r="G248" s="67"/>
      <c r="H248" s="67"/>
      <c r="I248" s="6"/>
      <c r="J248" s="6"/>
      <c r="K248" s="67"/>
      <c r="L248" s="67"/>
      <c r="M248" s="6"/>
      <c r="N248" s="6"/>
      <c r="O248" s="2"/>
      <c r="P248" s="2"/>
    </row>
    <row r="249" spans="1:16" x14ac:dyDescent="0.25">
      <c r="A249" s="67"/>
      <c r="B249" s="67"/>
      <c r="C249" s="67"/>
      <c r="D249" s="38"/>
      <c r="E249" s="6"/>
      <c r="F249" s="6"/>
      <c r="G249" s="67"/>
      <c r="H249" s="67"/>
      <c r="I249" s="6"/>
      <c r="J249" s="6"/>
      <c r="K249" s="67"/>
      <c r="L249" s="67"/>
      <c r="M249" s="6"/>
      <c r="N249" s="6"/>
      <c r="O249" s="2"/>
      <c r="P249" s="2"/>
    </row>
    <row r="250" spans="1:16" x14ac:dyDescent="0.25">
      <c r="A250" s="67"/>
      <c r="B250" s="67"/>
      <c r="C250" s="67"/>
      <c r="D250" s="38"/>
      <c r="E250" s="6"/>
      <c r="F250" s="6"/>
      <c r="G250" s="67"/>
      <c r="H250" s="67"/>
      <c r="I250" s="6"/>
      <c r="J250" s="6"/>
      <c r="K250" s="67"/>
      <c r="L250" s="67"/>
      <c r="M250" s="6"/>
      <c r="N250" s="6"/>
      <c r="O250" s="2"/>
      <c r="P250" s="2"/>
    </row>
    <row r="251" spans="1:16" x14ac:dyDescent="0.25">
      <c r="A251" s="67"/>
      <c r="B251" s="67"/>
      <c r="C251" s="67"/>
      <c r="D251" s="38"/>
      <c r="E251" s="6"/>
      <c r="F251" s="6"/>
      <c r="G251" s="67"/>
      <c r="H251" s="67"/>
      <c r="I251" s="6"/>
      <c r="J251" s="6"/>
      <c r="K251" s="67"/>
      <c r="L251" s="67"/>
      <c r="M251" s="6"/>
      <c r="N251" s="6"/>
      <c r="O251" s="2"/>
      <c r="P251" s="2"/>
    </row>
    <row r="252" spans="1:16" x14ac:dyDescent="0.25">
      <c r="A252" s="67"/>
      <c r="B252" s="67"/>
      <c r="C252" s="67"/>
      <c r="D252" s="38"/>
      <c r="E252" s="6"/>
      <c r="F252" s="6"/>
      <c r="G252" s="67"/>
      <c r="H252" s="67"/>
      <c r="I252" s="6"/>
      <c r="J252" s="6"/>
      <c r="K252" s="67"/>
      <c r="L252" s="67"/>
      <c r="M252" s="6"/>
      <c r="N252" s="6"/>
      <c r="O252" s="2"/>
      <c r="P252" s="2"/>
    </row>
    <row r="253" spans="1:16" x14ac:dyDescent="0.25">
      <c r="A253" s="67"/>
      <c r="B253" s="67"/>
      <c r="C253" s="67"/>
      <c r="D253" s="38"/>
      <c r="E253" s="6"/>
      <c r="F253" s="6"/>
      <c r="G253" s="67"/>
      <c r="H253" s="67"/>
      <c r="I253" s="6"/>
      <c r="J253" s="6"/>
      <c r="K253" s="67"/>
      <c r="L253" s="67"/>
      <c r="M253" s="6"/>
      <c r="N253" s="6"/>
      <c r="O253" s="2"/>
      <c r="P253" s="2"/>
    </row>
    <row r="254" spans="1:16" x14ac:dyDescent="0.25">
      <c r="A254" s="67"/>
      <c r="B254" s="67"/>
      <c r="C254" s="67"/>
      <c r="D254" s="38"/>
      <c r="E254" s="6"/>
      <c r="F254" s="6"/>
      <c r="G254" s="67"/>
      <c r="H254" s="67"/>
      <c r="I254" s="6"/>
      <c r="J254" s="6"/>
      <c r="K254" s="67"/>
      <c r="L254" s="67"/>
      <c r="M254" s="6"/>
      <c r="N254" s="6"/>
      <c r="O254" s="2"/>
      <c r="P254" s="2"/>
    </row>
    <row r="255" spans="1:16" x14ac:dyDescent="0.25">
      <c r="A255" s="67"/>
      <c r="B255" s="67"/>
      <c r="C255" s="67"/>
      <c r="D255" s="38"/>
      <c r="E255" s="6"/>
      <c r="F255" s="6"/>
      <c r="G255" s="67"/>
      <c r="H255" s="67"/>
      <c r="I255" s="6"/>
      <c r="J255" s="6"/>
      <c r="K255" s="67"/>
      <c r="L255" s="67"/>
      <c r="M255" s="6"/>
      <c r="N255" s="6"/>
      <c r="O255" s="2"/>
      <c r="P255" s="2"/>
    </row>
    <row r="256" spans="1:16" x14ac:dyDescent="0.25">
      <c r="A256" s="67"/>
      <c r="B256" s="67"/>
      <c r="C256" s="67"/>
      <c r="D256" s="38"/>
      <c r="E256" s="6"/>
      <c r="F256" s="6"/>
      <c r="G256" s="67"/>
      <c r="H256" s="67"/>
      <c r="I256" s="6"/>
      <c r="J256" s="6"/>
      <c r="K256" s="67"/>
      <c r="L256" s="67"/>
      <c r="M256" s="6"/>
      <c r="N256" s="6"/>
      <c r="O256" s="2"/>
      <c r="P256" s="2"/>
    </row>
    <row r="257" spans="1:16" x14ac:dyDescent="0.25">
      <c r="A257" s="67"/>
      <c r="B257" s="67"/>
      <c r="C257" s="67"/>
      <c r="D257" s="38"/>
      <c r="E257" s="6"/>
      <c r="F257" s="6"/>
      <c r="G257" s="67"/>
      <c r="H257" s="67"/>
      <c r="I257" s="6"/>
      <c r="J257" s="6"/>
      <c r="K257" s="67"/>
      <c r="L257" s="67"/>
      <c r="M257" s="6"/>
      <c r="N257" s="6"/>
      <c r="O257" s="2"/>
      <c r="P257" s="2"/>
    </row>
    <row r="258" spans="1:16" x14ac:dyDescent="0.25">
      <c r="A258" s="67"/>
      <c r="B258" s="67"/>
      <c r="C258" s="67"/>
      <c r="D258" s="38"/>
      <c r="E258" s="6"/>
      <c r="F258" s="6"/>
      <c r="G258" s="67"/>
      <c r="H258" s="67"/>
      <c r="I258" s="6"/>
      <c r="J258" s="6"/>
      <c r="K258" s="67"/>
      <c r="L258" s="67"/>
      <c r="M258" s="6"/>
      <c r="N258" s="6"/>
      <c r="O258" s="2"/>
      <c r="P258" s="2"/>
    </row>
    <row r="259" spans="1:16" x14ac:dyDescent="0.25">
      <c r="A259" s="67"/>
      <c r="B259" s="67"/>
      <c r="C259" s="67"/>
      <c r="D259" s="38"/>
      <c r="E259" s="6"/>
      <c r="F259" s="6"/>
      <c r="G259" s="67"/>
      <c r="H259" s="67"/>
      <c r="I259" s="6"/>
      <c r="J259" s="6"/>
      <c r="K259" s="67"/>
      <c r="L259" s="67"/>
      <c r="M259" s="6"/>
      <c r="N259" s="6"/>
      <c r="O259" s="2"/>
      <c r="P259" s="2"/>
    </row>
    <row r="260" spans="1:16" x14ac:dyDescent="0.25">
      <c r="A260" s="67"/>
      <c r="B260" s="67"/>
      <c r="C260" s="67"/>
      <c r="D260" s="38"/>
      <c r="E260" s="6"/>
      <c r="F260" s="6"/>
      <c r="G260" s="67"/>
      <c r="H260" s="67"/>
      <c r="I260" s="6"/>
      <c r="J260" s="6"/>
      <c r="K260" s="67"/>
      <c r="L260" s="67"/>
      <c r="M260" s="6"/>
      <c r="N260" s="6"/>
      <c r="O260" s="2"/>
      <c r="P260" s="2"/>
    </row>
    <row r="261" spans="1:16" x14ac:dyDescent="0.25">
      <c r="A261" s="67"/>
      <c r="B261" s="67"/>
      <c r="C261" s="67"/>
      <c r="D261" s="38"/>
      <c r="E261" s="6"/>
      <c r="F261" s="6"/>
      <c r="G261" s="67"/>
      <c r="H261" s="67"/>
      <c r="I261" s="6"/>
      <c r="J261" s="6"/>
      <c r="K261" s="67"/>
      <c r="L261" s="67"/>
      <c r="M261" s="6"/>
      <c r="N261" s="6"/>
      <c r="O261" s="2"/>
      <c r="P261" s="2"/>
    </row>
    <row r="262" spans="1:16" x14ac:dyDescent="0.25">
      <c r="A262" s="67"/>
      <c r="B262" s="67"/>
      <c r="C262" s="67"/>
      <c r="D262" s="38"/>
      <c r="E262" s="6"/>
      <c r="F262" s="6"/>
      <c r="G262" s="67"/>
      <c r="H262" s="67"/>
      <c r="I262" s="6"/>
      <c r="J262" s="6"/>
      <c r="K262" s="67"/>
      <c r="L262" s="67"/>
      <c r="M262" s="6"/>
      <c r="N262" s="6"/>
      <c r="O262" s="2"/>
      <c r="P262" s="2"/>
    </row>
    <row r="263" spans="1:16" x14ac:dyDescent="0.25">
      <c r="A263" s="67"/>
      <c r="B263" s="67"/>
      <c r="C263" s="67"/>
      <c r="D263" s="38"/>
      <c r="E263" s="6"/>
      <c r="F263" s="6"/>
      <c r="G263" s="67"/>
      <c r="H263" s="67"/>
      <c r="I263" s="6"/>
      <c r="J263" s="6"/>
      <c r="K263" s="67"/>
      <c r="L263" s="67"/>
      <c r="M263" s="6"/>
      <c r="N263" s="6"/>
      <c r="O263" s="2"/>
      <c r="P263" s="2"/>
    </row>
    <row r="264" spans="1:16" x14ac:dyDescent="0.25">
      <c r="A264" s="67"/>
      <c r="B264" s="67"/>
      <c r="C264" s="67"/>
      <c r="D264" s="38"/>
      <c r="E264" s="6"/>
      <c r="F264" s="6"/>
      <c r="G264" s="67"/>
      <c r="H264" s="67"/>
      <c r="I264" s="6"/>
      <c r="J264" s="6"/>
      <c r="K264" s="67"/>
      <c r="L264" s="67"/>
      <c r="M264" s="6"/>
      <c r="N264" s="6"/>
      <c r="O264" s="2"/>
      <c r="P264" s="2"/>
    </row>
    <row r="265" spans="1:16" x14ac:dyDescent="0.25">
      <c r="A265" s="67"/>
      <c r="B265" s="67"/>
      <c r="C265" s="67"/>
      <c r="D265" s="38"/>
      <c r="E265" s="6"/>
      <c r="F265" s="6"/>
      <c r="G265" s="67"/>
      <c r="H265" s="67"/>
      <c r="I265" s="6"/>
      <c r="J265" s="6"/>
      <c r="K265" s="67"/>
      <c r="L265" s="67"/>
      <c r="M265" s="6"/>
      <c r="N265" s="6"/>
      <c r="O265" s="2"/>
      <c r="P265" s="2"/>
    </row>
    <row r="266" spans="1:16" x14ac:dyDescent="0.25">
      <c r="A266" s="67"/>
      <c r="B266" s="67"/>
      <c r="C266" s="67"/>
      <c r="D266" s="38"/>
      <c r="E266" s="6"/>
      <c r="F266" s="6"/>
      <c r="G266" s="67"/>
      <c r="H266" s="67"/>
      <c r="I266" s="6"/>
      <c r="J266" s="6"/>
      <c r="K266" s="67"/>
      <c r="L266" s="67"/>
      <c r="M266" s="6"/>
      <c r="N266" s="6"/>
      <c r="O266" s="2"/>
      <c r="P266" s="2"/>
    </row>
    <row r="267" spans="1:16" x14ac:dyDescent="0.25">
      <c r="A267" s="67"/>
      <c r="B267" s="67"/>
      <c r="C267" s="67"/>
      <c r="D267" s="38"/>
      <c r="E267" s="6"/>
      <c r="F267" s="6"/>
      <c r="G267" s="67"/>
      <c r="H267" s="67"/>
      <c r="I267" s="6"/>
      <c r="J267" s="6"/>
      <c r="K267" s="67"/>
      <c r="L267" s="67"/>
      <c r="M267" s="6"/>
      <c r="N267" s="6"/>
      <c r="O267" s="2"/>
      <c r="P267" s="2"/>
    </row>
    <row r="268" spans="1:16" x14ac:dyDescent="0.25">
      <c r="A268" s="67"/>
      <c r="B268" s="67"/>
      <c r="C268" s="67"/>
      <c r="D268" s="38"/>
      <c r="E268" s="6"/>
      <c r="F268" s="6"/>
      <c r="G268" s="67"/>
      <c r="H268" s="67"/>
      <c r="I268" s="6"/>
      <c r="J268" s="6"/>
      <c r="K268" s="67"/>
      <c r="L268" s="67"/>
      <c r="M268" s="6"/>
      <c r="N268" s="6"/>
      <c r="O268" s="2"/>
      <c r="P268" s="2"/>
    </row>
    <row r="269" spans="1:16" x14ac:dyDescent="0.25">
      <c r="A269" s="67"/>
      <c r="B269" s="67"/>
      <c r="C269" s="67"/>
      <c r="D269" s="38"/>
      <c r="E269" s="6"/>
      <c r="F269" s="6"/>
      <c r="G269" s="67"/>
      <c r="H269" s="67"/>
      <c r="I269" s="6"/>
      <c r="J269" s="6"/>
      <c r="K269" s="67"/>
      <c r="L269" s="67"/>
      <c r="M269" s="6"/>
      <c r="N269" s="6"/>
      <c r="O269" s="2"/>
      <c r="P269" s="2"/>
    </row>
    <row r="270" spans="1:16" x14ac:dyDescent="0.25">
      <c r="A270" s="67"/>
      <c r="B270" s="67"/>
      <c r="C270" s="67"/>
      <c r="D270" s="38"/>
      <c r="E270" s="6"/>
      <c r="F270" s="6"/>
      <c r="G270" s="67"/>
      <c r="H270" s="67"/>
      <c r="I270" s="6"/>
      <c r="J270" s="6"/>
      <c r="K270" s="67"/>
      <c r="L270" s="67"/>
      <c r="M270" s="6"/>
      <c r="N270" s="6"/>
      <c r="O270" s="2"/>
      <c r="P270" s="2"/>
    </row>
    <row r="271" spans="1:16" x14ac:dyDescent="0.25">
      <c r="A271" s="67"/>
      <c r="B271" s="67"/>
      <c r="C271" s="67"/>
      <c r="D271" s="38"/>
      <c r="E271" s="6"/>
      <c r="F271" s="6"/>
      <c r="G271" s="67"/>
      <c r="H271" s="67"/>
      <c r="I271" s="6"/>
      <c r="J271" s="6"/>
      <c r="K271" s="67"/>
      <c r="L271" s="67"/>
      <c r="M271" s="6"/>
      <c r="N271" s="6"/>
      <c r="O271" s="2"/>
      <c r="P271" s="2"/>
    </row>
    <row r="272" spans="1:16" x14ac:dyDescent="0.25">
      <c r="A272" s="67"/>
      <c r="B272" s="67"/>
      <c r="C272" s="67"/>
      <c r="D272" s="38"/>
      <c r="E272" s="6"/>
      <c r="F272" s="6"/>
      <c r="G272" s="67"/>
      <c r="H272" s="67"/>
      <c r="I272" s="6"/>
      <c r="J272" s="6"/>
      <c r="K272" s="67"/>
      <c r="L272" s="67"/>
      <c r="M272" s="6"/>
      <c r="N272" s="6"/>
      <c r="O272" s="2"/>
      <c r="P272" s="2"/>
    </row>
    <row r="273" spans="1:16" x14ac:dyDescent="0.25">
      <c r="A273" s="67"/>
      <c r="B273" s="67"/>
      <c r="C273" s="67"/>
      <c r="D273" s="38"/>
      <c r="E273" s="6"/>
      <c r="F273" s="6"/>
      <c r="G273" s="67"/>
      <c r="H273" s="67"/>
      <c r="I273" s="6"/>
      <c r="J273" s="6"/>
      <c r="K273" s="67"/>
      <c r="L273" s="67"/>
      <c r="M273" s="6"/>
      <c r="N273" s="6"/>
      <c r="O273" s="2"/>
      <c r="P273" s="2"/>
    </row>
    <row r="274" spans="1:16" x14ac:dyDescent="0.25">
      <c r="A274" s="67"/>
      <c r="B274" s="67"/>
      <c r="C274" s="67"/>
      <c r="D274" s="38"/>
      <c r="E274" s="6"/>
      <c r="F274" s="6"/>
      <c r="G274" s="67"/>
      <c r="H274" s="67"/>
      <c r="I274" s="6"/>
      <c r="J274" s="6"/>
      <c r="K274" s="67"/>
      <c r="L274" s="67"/>
      <c r="M274" s="6"/>
      <c r="N274" s="6"/>
      <c r="O274" s="2"/>
      <c r="P274" s="2"/>
    </row>
    <row r="275" spans="1:16" x14ac:dyDescent="0.25">
      <c r="A275" s="67"/>
      <c r="B275" s="67"/>
      <c r="C275" s="67"/>
      <c r="D275" s="38"/>
      <c r="E275" s="6"/>
      <c r="F275" s="6"/>
      <c r="G275" s="67"/>
      <c r="H275" s="67"/>
      <c r="I275" s="6"/>
      <c r="J275" s="6"/>
      <c r="K275" s="67"/>
      <c r="L275" s="67"/>
      <c r="M275" s="6"/>
      <c r="N275" s="6"/>
      <c r="O275" s="2"/>
      <c r="P275" s="2"/>
    </row>
    <row r="276" spans="1:16" x14ac:dyDescent="0.25">
      <c r="A276" s="67"/>
      <c r="B276" s="67"/>
      <c r="C276" s="67"/>
      <c r="D276" s="38"/>
      <c r="E276" s="6"/>
      <c r="F276" s="6"/>
      <c r="G276" s="67"/>
      <c r="H276" s="67"/>
      <c r="I276" s="6"/>
      <c r="J276" s="6"/>
      <c r="K276" s="67"/>
      <c r="L276" s="67"/>
      <c r="M276" s="6"/>
      <c r="N276" s="6"/>
      <c r="O276" s="2"/>
      <c r="P276" s="2"/>
    </row>
    <row r="277" spans="1:16" x14ac:dyDescent="0.25">
      <c r="A277" s="67"/>
      <c r="B277" s="67"/>
      <c r="C277" s="67"/>
      <c r="D277" s="38"/>
      <c r="E277" s="6"/>
      <c r="F277" s="6"/>
      <c r="G277" s="67"/>
      <c r="H277" s="67"/>
      <c r="I277" s="6"/>
      <c r="J277" s="6"/>
      <c r="K277" s="67"/>
      <c r="L277" s="67"/>
      <c r="M277" s="6"/>
      <c r="N277" s="6"/>
      <c r="O277" s="2"/>
      <c r="P277" s="2"/>
    </row>
    <row r="278" spans="1:16" x14ac:dyDescent="0.25">
      <c r="A278" s="67"/>
      <c r="B278" s="67"/>
      <c r="C278" s="67"/>
      <c r="D278" s="38"/>
      <c r="E278" s="6"/>
      <c r="F278" s="6"/>
      <c r="G278" s="67"/>
      <c r="H278" s="67"/>
      <c r="I278" s="6"/>
      <c r="J278" s="6"/>
      <c r="K278" s="67"/>
      <c r="L278" s="67"/>
      <c r="M278" s="6"/>
      <c r="N278" s="6"/>
      <c r="O278" s="2"/>
      <c r="P278" s="2"/>
    </row>
    <row r="279" spans="1:16" x14ac:dyDescent="0.25">
      <c r="A279" s="67"/>
      <c r="B279" s="67"/>
      <c r="C279" s="67"/>
      <c r="D279" s="38"/>
      <c r="E279" s="6"/>
      <c r="F279" s="6"/>
      <c r="G279" s="67"/>
      <c r="H279" s="67"/>
      <c r="I279" s="6"/>
      <c r="J279" s="6"/>
      <c r="K279" s="67"/>
      <c r="L279" s="67"/>
      <c r="M279" s="6"/>
      <c r="N279" s="6"/>
      <c r="O279" s="2"/>
      <c r="P279" s="2"/>
    </row>
    <row r="280" spans="1:16" x14ac:dyDescent="0.25">
      <c r="A280" s="67"/>
      <c r="B280" s="67"/>
      <c r="C280" s="67"/>
      <c r="D280" s="38"/>
      <c r="E280" s="6"/>
      <c r="F280" s="6"/>
      <c r="G280" s="67"/>
      <c r="H280" s="67"/>
      <c r="I280" s="6"/>
      <c r="J280" s="6"/>
      <c r="K280" s="67"/>
      <c r="L280" s="67"/>
      <c r="M280" s="6"/>
      <c r="N280" s="6"/>
      <c r="O280" s="2"/>
      <c r="P280" s="2"/>
    </row>
    <row r="281" spans="1:16" x14ac:dyDescent="0.25">
      <c r="A281" s="67"/>
      <c r="B281" s="67"/>
      <c r="C281" s="67"/>
      <c r="D281" s="38"/>
      <c r="E281" s="6"/>
      <c r="F281" s="6"/>
      <c r="G281" s="67"/>
      <c r="H281" s="67"/>
      <c r="I281" s="6"/>
      <c r="J281" s="6"/>
      <c r="K281" s="67"/>
      <c r="L281" s="67"/>
      <c r="M281" s="6"/>
      <c r="N281" s="6"/>
      <c r="O281" s="2"/>
      <c r="P281" s="2"/>
    </row>
    <row r="282" spans="1:16" x14ac:dyDescent="0.25">
      <c r="A282" s="67"/>
      <c r="B282" s="67"/>
      <c r="C282" s="67"/>
      <c r="D282" s="38"/>
      <c r="E282" s="6"/>
      <c r="F282" s="6"/>
      <c r="G282" s="67"/>
      <c r="H282" s="67"/>
      <c r="I282" s="6"/>
      <c r="J282" s="6"/>
      <c r="K282" s="67"/>
      <c r="L282" s="67"/>
      <c r="M282" s="6"/>
      <c r="N282" s="6"/>
      <c r="O282" s="2"/>
      <c r="P282" s="2"/>
    </row>
    <row r="283" spans="1:16" x14ac:dyDescent="0.25">
      <c r="A283" s="67"/>
      <c r="B283" s="67"/>
      <c r="C283" s="67"/>
      <c r="D283" s="38"/>
      <c r="E283" s="6"/>
      <c r="F283" s="6"/>
      <c r="G283" s="67"/>
      <c r="H283" s="67"/>
      <c r="I283" s="6"/>
      <c r="J283" s="6"/>
      <c r="K283" s="67"/>
      <c r="L283" s="67"/>
      <c r="M283" s="6"/>
      <c r="N283" s="6"/>
      <c r="O283" s="2"/>
      <c r="P283" s="2"/>
    </row>
    <row r="284" spans="1:16" x14ac:dyDescent="0.25">
      <c r="A284" s="67"/>
      <c r="B284" s="67"/>
      <c r="C284" s="67"/>
      <c r="D284" s="38"/>
      <c r="E284" s="6"/>
      <c r="F284" s="6"/>
      <c r="G284" s="67"/>
      <c r="H284" s="67"/>
      <c r="I284" s="6"/>
      <c r="J284" s="6"/>
      <c r="K284" s="67"/>
      <c r="L284" s="67"/>
      <c r="M284" s="6"/>
      <c r="N284" s="6"/>
      <c r="O284" s="2"/>
      <c r="P284" s="2"/>
    </row>
    <row r="285" spans="1:16" x14ac:dyDescent="0.25">
      <c r="A285" s="67"/>
      <c r="B285" s="67"/>
      <c r="C285" s="67"/>
      <c r="D285" s="38"/>
      <c r="E285" s="6"/>
      <c r="F285" s="6"/>
      <c r="G285" s="67"/>
      <c r="H285" s="67"/>
      <c r="I285" s="6"/>
      <c r="J285" s="6"/>
      <c r="K285" s="67"/>
      <c r="L285" s="67"/>
      <c r="M285" s="6"/>
      <c r="N285" s="6"/>
      <c r="O285" s="2"/>
      <c r="P285" s="2"/>
    </row>
    <row r="286" spans="1:16" x14ac:dyDescent="0.25">
      <c r="A286" s="67"/>
      <c r="B286" s="67"/>
      <c r="C286" s="67"/>
      <c r="D286" s="38"/>
      <c r="E286" s="6"/>
      <c r="F286" s="6"/>
      <c r="G286" s="67"/>
      <c r="H286" s="67"/>
      <c r="I286" s="6"/>
      <c r="J286" s="6"/>
      <c r="K286" s="67"/>
      <c r="L286" s="67"/>
      <c r="M286" s="6"/>
      <c r="N286" s="6"/>
      <c r="O286" s="2"/>
      <c r="P286" s="2"/>
    </row>
    <row r="287" spans="1:16" x14ac:dyDescent="0.25">
      <c r="A287" s="67"/>
      <c r="B287" s="67"/>
      <c r="C287" s="67"/>
      <c r="D287" s="38"/>
      <c r="E287" s="6"/>
      <c r="F287" s="6"/>
      <c r="G287" s="67"/>
      <c r="H287" s="67"/>
      <c r="I287" s="6"/>
      <c r="J287" s="6"/>
      <c r="K287" s="67"/>
      <c r="L287" s="67"/>
      <c r="M287" s="6"/>
      <c r="N287" s="6"/>
      <c r="O287" s="2"/>
      <c r="P287" s="2"/>
    </row>
    <row r="288" spans="1:16" x14ac:dyDescent="0.25">
      <c r="A288" s="67"/>
      <c r="B288" s="67"/>
      <c r="C288" s="67"/>
      <c r="D288" s="38"/>
      <c r="E288" s="6"/>
      <c r="F288" s="6"/>
      <c r="G288" s="67"/>
      <c r="H288" s="67"/>
      <c r="I288" s="6"/>
      <c r="J288" s="6"/>
      <c r="K288" s="67"/>
      <c r="L288" s="67"/>
      <c r="M288" s="6"/>
      <c r="N288" s="6"/>
      <c r="O288" s="2"/>
      <c r="P288" s="2"/>
    </row>
    <row r="289" spans="1:16" x14ac:dyDescent="0.25">
      <c r="A289" s="67"/>
      <c r="B289" s="67"/>
      <c r="C289" s="67"/>
      <c r="D289" s="38"/>
      <c r="E289" s="6"/>
      <c r="F289" s="6"/>
      <c r="G289" s="67"/>
      <c r="H289" s="67"/>
      <c r="I289" s="6"/>
      <c r="J289" s="6"/>
      <c r="K289" s="67"/>
      <c r="L289" s="67"/>
      <c r="M289" s="6"/>
      <c r="N289" s="6"/>
      <c r="O289" s="2"/>
      <c r="P289" s="2"/>
    </row>
    <row r="290" spans="1:16" x14ac:dyDescent="0.25">
      <c r="A290" s="67"/>
      <c r="B290" s="67"/>
      <c r="C290" s="67"/>
      <c r="D290" s="38"/>
      <c r="E290" s="6"/>
      <c r="F290" s="6"/>
      <c r="G290" s="67"/>
      <c r="H290" s="67"/>
      <c r="I290" s="6"/>
      <c r="J290" s="6"/>
      <c r="K290" s="67"/>
      <c r="L290" s="67"/>
      <c r="M290" s="6"/>
      <c r="N290" s="6"/>
      <c r="O290" s="2"/>
      <c r="P290" s="2"/>
    </row>
    <row r="291" spans="1:16" x14ac:dyDescent="0.25">
      <c r="A291" s="67"/>
      <c r="B291" s="67"/>
      <c r="C291" s="67"/>
      <c r="D291" s="38"/>
      <c r="E291" s="6"/>
      <c r="F291" s="6"/>
      <c r="G291" s="67"/>
      <c r="H291" s="67"/>
      <c r="I291" s="6"/>
      <c r="J291" s="6"/>
      <c r="K291" s="67"/>
      <c r="L291" s="67"/>
      <c r="M291" s="6"/>
      <c r="N291" s="6"/>
      <c r="O291" s="2"/>
      <c r="P291" s="2"/>
    </row>
    <row r="292" spans="1:16" x14ac:dyDescent="0.25">
      <c r="A292" s="67"/>
      <c r="B292" s="67"/>
      <c r="C292" s="67"/>
      <c r="D292" s="38"/>
      <c r="E292" s="6"/>
      <c r="F292" s="6"/>
      <c r="G292" s="67"/>
      <c r="H292" s="67"/>
      <c r="I292" s="6"/>
      <c r="J292" s="6"/>
      <c r="K292" s="67"/>
      <c r="L292" s="67"/>
      <c r="M292" s="6"/>
      <c r="N292" s="6"/>
      <c r="O292" s="2"/>
      <c r="P292" s="2"/>
    </row>
    <row r="293" spans="1:16" x14ac:dyDescent="0.25">
      <c r="A293" s="67"/>
      <c r="B293" s="67"/>
      <c r="C293" s="67"/>
      <c r="D293" s="38"/>
      <c r="E293" s="6"/>
      <c r="F293" s="6"/>
      <c r="G293" s="67"/>
      <c r="H293" s="67"/>
      <c r="I293" s="6"/>
      <c r="J293" s="6"/>
      <c r="K293" s="67"/>
      <c r="L293" s="67"/>
      <c r="M293" s="6"/>
      <c r="N293" s="6"/>
      <c r="O293" s="2"/>
      <c r="P293" s="2"/>
    </row>
    <row r="294" spans="1:16" x14ac:dyDescent="0.25">
      <c r="A294" s="67"/>
      <c r="B294" s="67"/>
      <c r="C294" s="67"/>
      <c r="D294" s="38"/>
      <c r="E294" s="6"/>
      <c r="F294" s="6"/>
      <c r="G294" s="67"/>
      <c r="H294" s="67"/>
      <c r="I294" s="6"/>
      <c r="J294" s="6"/>
      <c r="K294" s="67"/>
      <c r="L294" s="67"/>
      <c r="M294" s="6"/>
      <c r="N294" s="6"/>
      <c r="O294" s="2"/>
      <c r="P294" s="2"/>
    </row>
    <row r="295" spans="1:16" x14ac:dyDescent="0.25">
      <c r="A295" s="67"/>
      <c r="B295" s="67"/>
      <c r="C295" s="67"/>
      <c r="D295" s="38"/>
      <c r="E295" s="6"/>
      <c r="F295" s="6"/>
      <c r="G295" s="67"/>
      <c r="H295" s="67"/>
      <c r="I295" s="6"/>
      <c r="J295" s="6"/>
      <c r="K295" s="67"/>
      <c r="L295" s="67"/>
      <c r="M295" s="6"/>
      <c r="N295" s="6"/>
      <c r="O295" s="2"/>
      <c r="P295" s="2"/>
    </row>
    <row r="296" spans="1:16" x14ac:dyDescent="0.25">
      <c r="A296" s="67"/>
      <c r="B296" s="67"/>
      <c r="C296" s="67"/>
      <c r="D296" s="38"/>
      <c r="E296" s="6"/>
      <c r="F296" s="6"/>
      <c r="G296" s="67"/>
      <c r="H296" s="67"/>
      <c r="I296" s="6"/>
      <c r="J296" s="6"/>
      <c r="K296" s="67"/>
      <c r="L296" s="67"/>
      <c r="M296" s="6"/>
      <c r="N296" s="6"/>
      <c r="O296" s="2"/>
      <c r="P296" s="2"/>
    </row>
    <row r="297" spans="1:16" x14ac:dyDescent="0.25">
      <c r="A297" s="67"/>
      <c r="B297" s="67"/>
      <c r="C297" s="67"/>
      <c r="D297" s="38"/>
      <c r="E297" s="6"/>
      <c r="F297" s="6"/>
      <c r="G297" s="67"/>
      <c r="H297" s="67"/>
      <c r="I297" s="6"/>
      <c r="J297" s="6"/>
      <c r="K297" s="67"/>
      <c r="L297" s="67"/>
      <c r="M297" s="6"/>
      <c r="N297" s="6"/>
      <c r="O297" s="2"/>
      <c r="P297" s="2"/>
    </row>
    <row r="298" spans="1:16" x14ac:dyDescent="0.25">
      <c r="A298" s="67"/>
      <c r="B298" s="67"/>
      <c r="C298" s="67"/>
      <c r="D298" s="38"/>
      <c r="E298" s="6"/>
      <c r="F298" s="6"/>
      <c r="G298" s="67"/>
      <c r="H298" s="67"/>
      <c r="I298" s="6"/>
      <c r="J298" s="6"/>
      <c r="K298" s="67"/>
      <c r="L298" s="67"/>
      <c r="M298" s="6"/>
      <c r="N298" s="6"/>
      <c r="O298" s="2"/>
      <c r="P298" s="2"/>
    </row>
    <row r="299" spans="1:16" x14ac:dyDescent="0.25">
      <c r="A299" s="67"/>
      <c r="B299" s="67"/>
      <c r="C299" s="67"/>
      <c r="D299" s="38"/>
      <c r="E299" s="6"/>
      <c r="F299" s="6"/>
      <c r="G299" s="67"/>
      <c r="H299" s="67"/>
      <c r="I299" s="6"/>
      <c r="J299" s="6"/>
      <c r="K299" s="67"/>
      <c r="L299" s="67"/>
      <c r="M299" s="6"/>
      <c r="N299" s="6"/>
      <c r="O299" s="2"/>
      <c r="P299" s="2"/>
    </row>
    <row r="300" spans="1:16" x14ac:dyDescent="0.25">
      <c r="A300" s="67"/>
      <c r="B300" s="67"/>
      <c r="C300" s="67"/>
      <c r="D300" s="38"/>
      <c r="E300" s="6"/>
      <c r="F300" s="6"/>
      <c r="G300" s="67"/>
      <c r="H300" s="67"/>
      <c r="I300" s="6"/>
      <c r="J300" s="6"/>
      <c r="K300" s="67"/>
      <c r="L300" s="67"/>
      <c r="M300" s="6"/>
      <c r="N300" s="6"/>
      <c r="O300" s="2"/>
      <c r="P300" s="2"/>
    </row>
    <row r="301" spans="1:16" x14ac:dyDescent="0.25">
      <c r="A301" s="67"/>
      <c r="B301" s="67"/>
      <c r="C301" s="67"/>
      <c r="D301" s="38"/>
      <c r="E301" s="6"/>
      <c r="F301" s="6"/>
      <c r="G301" s="67"/>
      <c r="H301" s="67"/>
      <c r="I301" s="6"/>
      <c r="J301" s="6"/>
      <c r="K301" s="67"/>
      <c r="L301" s="67"/>
      <c r="M301" s="6"/>
      <c r="N301" s="6"/>
      <c r="O301" s="2"/>
      <c r="P301" s="2"/>
    </row>
    <row r="302" spans="1:16" x14ac:dyDescent="0.25">
      <c r="A302" s="67"/>
      <c r="B302" s="67"/>
      <c r="C302" s="67"/>
      <c r="D302" s="38"/>
      <c r="E302" s="6"/>
      <c r="F302" s="6"/>
      <c r="G302" s="67"/>
      <c r="H302" s="67"/>
      <c r="I302" s="6"/>
      <c r="J302" s="6"/>
      <c r="K302" s="67"/>
      <c r="L302" s="67"/>
      <c r="M302" s="6"/>
      <c r="N302" s="6"/>
      <c r="O302" s="2"/>
      <c r="P302" s="2"/>
    </row>
    <row r="303" spans="1:16" x14ac:dyDescent="0.25">
      <c r="A303" s="67"/>
      <c r="B303" s="67"/>
      <c r="C303" s="67"/>
      <c r="D303" s="38"/>
      <c r="E303" s="6"/>
      <c r="F303" s="6"/>
      <c r="G303" s="67"/>
      <c r="H303" s="67"/>
      <c r="I303" s="6"/>
      <c r="J303" s="6"/>
      <c r="K303" s="67"/>
      <c r="L303" s="67"/>
      <c r="M303" s="6"/>
      <c r="N303" s="6"/>
      <c r="O303" s="2"/>
      <c r="P303" s="2"/>
    </row>
    <row r="304" spans="1:16" x14ac:dyDescent="0.25">
      <c r="A304" s="67"/>
      <c r="B304" s="67"/>
      <c r="C304" s="67"/>
      <c r="D304" s="38"/>
      <c r="E304" s="6"/>
      <c r="F304" s="6"/>
      <c r="G304" s="67"/>
      <c r="H304" s="67"/>
      <c r="I304" s="6"/>
      <c r="J304" s="6"/>
      <c r="K304" s="67"/>
      <c r="L304" s="67"/>
      <c r="M304" s="6"/>
      <c r="N304" s="6"/>
      <c r="O304" s="2"/>
      <c r="P304" s="2"/>
    </row>
    <row r="305" spans="1:16" x14ac:dyDescent="0.25">
      <c r="A305" s="67"/>
      <c r="B305" s="67"/>
      <c r="C305" s="67"/>
      <c r="D305" s="38"/>
      <c r="E305" s="6"/>
      <c r="F305" s="6"/>
      <c r="G305" s="67"/>
      <c r="H305" s="67"/>
      <c r="I305" s="6"/>
      <c r="J305" s="6"/>
      <c r="K305" s="67"/>
      <c r="L305" s="67"/>
      <c r="M305" s="6"/>
      <c r="N305" s="6"/>
      <c r="O305" s="2"/>
      <c r="P305" s="2"/>
    </row>
    <row r="306" spans="1:16" x14ac:dyDescent="0.25">
      <c r="A306" s="67"/>
      <c r="B306" s="67"/>
      <c r="C306" s="67"/>
      <c r="D306" s="38"/>
      <c r="E306" s="6"/>
      <c r="F306" s="6"/>
      <c r="G306" s="67"/>
      <c r="H306" s="67"/>
      <c r="I306" s="6"/>
      <c r="J306" s="6"/>
      <c r="K306" s="67"/>
      <c r="L306" s="67"/>
      <c r="M306" s="6"/>
      <c r="N306" s="6"/>
      <c r="O306" s="2"/>
      <c r="P306" s="2"/>
    </row>
    <row r="307" spans="1:16" x14ac:dyDescent="0.25">
      <c r="A307" s="67"/>
      <c r="B307" s="67"/>
      <c r="C307" s="67"/>
      <c r="D307" s="38"/>
      <c r="E307" s="6"/>
      <c r="F307" s="6"/>
      <c r="G307" s="67"/>
      <c r="H307" s="67"/>
      <c r="I307" s="6"/>
      <c r="J307" s="6"/>
      <c r="K307" s="67"/>
      <c r="L307" s="67"/>
      <c r="M307" s="6"/>
      <c r="N307" s="6"/>
      <c r="O307" s="2"/>
      <c r="P307" s="2"/>
    </row>
    <row r="308" spans="1:16" x14ac:dyDescent="0.25">
      <c r="A308" s="67"/>
      <c r="B308" s="67"/>
      <c r="C308" s="67"/>
      <c r="D308" s="38"/>
      <c r="E308" s="6"/>
      <c r="F308" s="6"/>
      <c r="G308" s="67"/>
      <c r="H308" s="67"/>
      <c r="I308" s="6"/>
      <c r="J308" s="6"/>
      <c r="K308" s="67"/>
      <c r="L308" s="67"/>
      <c r="M308" s="6"/>
      <c r="N308" s="6"/>
      <c r="O308" s="2"/>
      <c r="P308" s="2"/>
    </row>
    <row r="309" spans="1:16" x14ac:dyDescent="0.25">
      <c r="A309" s="67"/>
      <c r="B309" s="67"/>
      <c r="C309" s="67"/>
      <c r="D309" s="38"/>
      <c r="E309" s="6"/>
      <c r="F309" s="6"/>
      <c r="G309" s="67"/>
      <c r="H309" s="67"/>
      <c r="I309" s="6"/>
      <c r="J309" s="6"/>
      <c r="K309" s="67"/>
      <c r="L309" s="67"/>
      <c r="M309" s="6"/>
      <c r="N309" s="6"/>
      <c r="O309" s="2"/>
      <c r="P309" s="2"/>
    </row>
    <row r="310" spans="1:16" x14ac:dyDescent="0.25">
      <c r="A310" s="67"/>
      <c r="B310" s="67"/>
      <c r="C310" s="67"/>
      <c r="D310" s="38"/>
      <c r="E310" s="6"/>
      <c r="F310" s="6"/>
      <c r="G310" s="67"/>
      <c r="H310" s="67"/>
      <c r="I310" s="6"/>
      <c r="J310" s="6"/>
      <c r="K310" s="67"/>
      <c r="L310" s="67"/>
      <c r="M310" s="6"/>
      <c r="N310" s="6"/>
      <c r="O310" s="2"/>
      <c r="P310" s="2"/>
    </row>
    <row r="311" spans="1:16" x14ac:dyDescent="0.25">
      <c r="A311" s="67"/>
      <c r="B311" s="67"/>
      <c r="C311" s="67"/>
      <c r="D311" s="38"/>
      <c r="E311" s="6"/>
      <c r="F311" s="6"/>
      <c r="G311" s="67"/>
      <c r="H311" s="67"/>
      <c r="I311" s="6"/>
      <c r="J311" s="6"/>
      <c r="K311" s="67"/>
      <c r="L311" s="67"/>
      <c r="M311" s="6"/>
      <c r="N311" s="6"/>
      <c r="O311" s="2"/>
      <c r="P311" s="2"/>
    </row>
    <row r="312" spans="1:16" x14ac:dyDescent="0.25">
      <c r="A312" s="67"/>
      <c r="B312" s="67"/>
      <c r="C312" s="67"/>
      <c r="D312" s="38"/>
      <c r="E312" s="6"/>
      <c r="F312" s="6"/>
      <c r="G312" s="67"/>
      <c r="H312" s="67"/>
      <c r="I312" s="6"/>
      <c r="J312" s="6"/>
      <c r="K312" s="67"/>
      <c r="L312" s="67"/>
      <c r="M312" s="6"/>
      <c r="N312" s="6"/>
      <c r="O312" s="2"/>
      <c r="P312" s="2"/>
    </row>
    <row r="313" spans="1:16" x14ac:dyDescent="0.25">
      <c r="A313" s="67"/>
      <c r="B313" s="67"/>
      <c r="C313" s="67"/>
      <c r="D313" s="38"/>
      <c r="E313" s="6"/>
      <c r="F313" s="6"/>
      <c r="G313" s="67"/>
      <c r="H313" s="67"/>
      <c r="I313" s="6"/>
      <c r="J313" s="6"/>
      <c r="K313" s="67"/>
      <c r="L313" s="67"/>
      <c r="M313" s="6"/>
      <c r="N313" s="6"/>
      <c r="O313" s="2"/>
      <c r="P313" s="2"/>
    </row>
    <row r="314" spans="1:16" x14ac:dyDescent="0.25">
      <c r="A314" s="67"/>
      <c r="B314" s="67"/>
      <c r="C314" s="67"/>
      <c r="D314" s="38"/>
      <c r="E314" s="6"/>
      <c r="F314" s="6"/>
      <c r="G314" s="67"/>
      <c r="H314" s="67"/>
      <c r="I314" s="6"/>
      <c r="J314" s="6"/>
      <c r="K314" s="67"/>
      <c r="L314" s="67"/>
      <c r="M314" s="6"/>
      <c r="N314" s="6"/>
      <c r="O314" s="2"/>
      <c r="P314" s="2"/>
    </row>
    <row r="315" spans="1:16" x14ac:dyDescent="0.25">
      <c r="A315" s="67"/>
      <c r="B315" s="67"/>
      <c r="C315" s="67"/>
      <c r="D315" s="38"/>
      <c r="E315" s="6"/>
      <c r="F315" s="6"/>
      <c r="G315" s="67"/>
      <c r="H315" s="67"/>
      <c r="I315" s="6"/>
      <c r="J315" s="6"/>
      <c r="K315" s="67"/>
      <c r="L315" s="67"/>
      <c r="M315" s="6"/>
      <c r="N315" s="6"/>
      <c r="O315" s="2"/>
      <c r="P315" s="2"/>
    </row>
    <row r="316" spans="1:16" x14ac:dyDescent="0.25">
      <c r="A316" s="67"/>
      <c r="B316" s="67"/>
      <c r="C316" s="67"/>
      <c r="D316" s="38"/>
      <c r="E316" s="6"/>
      <c r="F316" s="6"/>
      <c r="G316" s="67"/>
      <c r="H316" s="67"/>
      <c r="I316" s="6"/>
      <c r="J316" s="6"/>
      <c r="K316" s="67"/>
      <c r="L316" s="67"/>
      <c r="M316" s="6"/>
      <c r="N316" s="6"/>
      <c r="O316" s="2"/>
      <c r="P316" s="2"/>
    </row>
    <row r="317" spans="1:16" x14ac:dyDescent="0.25">
      <c r="A317" s="67"/>
      <c r="B317" s="67"/>
      <c r="C317" s="67"/>
      <c r="D317" s="38"/>
      <c r="E317" s="6"/>
      <c r="F317" s="6"/>
      <c r="G317" s="67"/>
      <c r="H317" s="67"/>
      <c r="I317" s="6"/>
      <c r="J317" s="6"/>
      <c r="K317" s="67"/>
      <c r="L317" s="67"/>
      <c r="M317" s="6"/>
      <c r="N317" s="6"/>
      <c r="O317" s="2"/>
      <c r="P317" s="2"/>
    </row>
    <row r="318" spans="1:16" x14ac:dyDescent="0.25">
      <c r="A318" s="67"/>
      <c r="B318" s="67"/>
      <c r="C318" s="67"/>
      <c r="D318" s="38"/>
      <c r="E318" s="6"/>
      <c r="F318" s="6"/>
      <c r="G318" s="67"/>
      <c r="H318" s="67"/>
      <c r="I318" s="6"/>
      <c r="J318" s="6"/>
      <c r="K318" s="67"/>
      <c r="L318" s="67"/>
      <c r="M318" s="6"/>
      <c r="N318" s="6"/>
      <c r="O318" s="2"/>
      <c r="P318" s="2"/>
    </row>
    <row r="319" spans="1:16" x14ac:dyDescent="0.25">
      <c r="A319" s="67"/>
      <c r="B319" s="67"/>
      <c r="C319" s="67"/>
      <c r="D319" s="38"/>
      <c r="E319" s="6"/>
      <c r="F319" s="6"/>
      <c r="G319" s="67"/>
      <c r="H319" s="67"/>
      <c r="I319" s="6"/>
      <c r="J319" s="6"/>
      <c r="K319" s="67"/>
      <c r="L319" s="67"/>
      <c r="M319" s="6"/>
      <c r="N319" s="6"/>
      <c r="O319" s="2"/>
      <c r="P319" s="2"/>
    </row>
    <row r="320" spans="1:16" x14ac:dyDescent="0.25">
      <c r="A320" s="67"/>
      <c r="B320" s="67"/>
      <c r="C320" s="67"/>
      <c r="D320" s="38"/>
      <c r="E320" s="6"/>
      <c r="F320" s="6"/>
      <c r="G320" s="67"/>
      <c r="H320" s="67"/>
      <c r="I320" s="6"/>
      <c r="J320" s="6"/>
      <c r="K320" s="67"/>
      <c r="L320" s="67"/>
      <c r="M320" s="6"/>
      <c r="N320" s="6"/>
      <c r="O320" s="2"/>
      <c r="P320" s="2"/>
    </row>
    <row r="321" spans="1:16" x14ac:dyDescent="0.25">
      <c r="A321" s="67"/>
      <c r="B321" s="67"/>
      <c r="C321" s="67"/>
      <c r="D321" s="38"/>
      <c r="E321" s="6"/>
      <c r="F321" s="6"/>
      <c r="G321" s="67"/>
      <c r="H321" s="67"/>
      <c r="I321" s="6"/>
      <c r="J321" s="6"/>
      <c r="K321" s="67"/>
      <c r="L321" s="67"/>
      <c r="M321" s="6"/>
      <c r="N321" s="6"/>
      <c r="O321" s="2"/>
      <c r="P321" s="2"/>
    </row>
    <row r="322" spans="1:16" x14ac:dyDescent="0.25">
      <c r="A322" s="67"/>
      <c r="B322" s="67"/>
      <c r="C322" s="67"/>
      <c r="D322" s="38"/>
      <c r="E322" s="6"/>
      <c r="F322" s="6"/>
      <c r="G322" s="67"/>
      <c r="H322" s="67"/>
      <c r="I322" s="6"/>
      <c r="J322" s="6"/>
      <c r="K322" s="67"/>
      <c r="L322" s="67"/>
      <c r="M322" s="6"/>
      <c r="N322" s="6"/>
      <c r="O322" s="2"/>
      <c r="P322" s="2"/>
    </row>
    <row r="323" spans="1:16" x14ac:dyDescent="0.25">
      <c r="A323" s="67"/>
      <c r="B323" s="67"/>
      <c r="C323" s="67"/>
      <c r="D323" s="38"/>
      <c r="E323" s="6"/>
      <c r="F323" s="6"/>
      <c r="G323" s="67"/>
      <c r="H323" s="67"/>
      <c r="I323" s="6"/>
      <c r="J323" s="6"/>
      <c r="K323" s="67"/>
      <c r="L323" s="67"/>
      <c r="M323" s="6"/>
      <c r="N323" s="6"/>
      <c r="O323" s="2"/>
      <c r="P323" s="2"/>
    </row>
    <row r="324" spans="1:16" x14ac:dyDescent="0.25">
      <c r="A324" s="67"/>
      <c r="B324" s="67"/>
      <c r="C324" s="67"/>
      <c r="D324" s="38"/>
      <c r="E324" s="6"/>
      <c r="F324" s="6"/>
      <c r="G324" s="67"/>
      <c r="H324" s="67"/>
      <c r="I324" s="6"/>
      <c r="J324" s="6"/>
      <c r="K324" s="67"/>
      <c r="L324" s="67"/>
      <c r="M324" s="6"/>
      <c r="N324" s="6"/>
      <c r="O324" s="2"/>
      <c r="P324" s="2"/>
    </row>
    <row r="325" spans="1:16" x14ac:dyDescent="0.25">
      <c r="A325" s="67"/>
      <c r="B325" s="67"/>
      <c r="C325" s="67"/>
      <c r="D325" s="38"/>
      <c r="E325" s="6"/>
      <c r="F325" s="6"/>
      <c r="G325" s="67"/>
      <c r="H325" s="67"/>
      <c r="I325" s="6"/>
      <c r="J325" s="6"/>
      <c r="K325" s="67"/>
      <c r="L325" s="67"/>
      <c r="M325" s="6"/>
      <c r="N325" s="6"/>
      <c r="O325" s="2"/>
      <c r="P325" s="2"/>
    </row>
    <row r="326" spans="1:16" x14ac:dyDescent="0.25">
      <c r="A326" s="67"/>
      <c r="B326" s="67"/>
      <c r="C326" s="67"/>
      <c r="D326" s="38"/>
      <c r="E326" s="6"/>
      <c r="F326" s="6"/>
      <c r="G326" s="67"/>
      <c r="H326" s="67"/>
      <c r="I326" s="6"/>
      <c r="J326" s="6"/>
      <c r="K326" s="67"/>
      <c r="L326" s="67"/>
      <c r="M326" s="6"/>
      <c r="N326" s="6"/>
      <c r="O326" s="2"/>
      <c r="P326" s="2"/>
    </row>
  </sheetData>
  <autoFilter ref="A2:P2" xr:uid="{C0D1AF27-C990-4BB4-89CE-AFAB2E024351}">
    <sortState xmlns:xlrd2="http://schemas.microsoft.com/office/spreadsheetml/2017/richdata2" ref="A3:P100">
      <sortCondition descending="1" ref="O2"/>
    </sortState>
  </autoFilter>
  <mergeCells count="6">
    <mergeCell ref="O1:P1"/>
    <mergeCell ref="E1:F1"/>
    <mergeCell ref="G1:H1"/>
    <mergeCell ref="I1:J1"/>
    <mergeCell ref="K1:L1"/>
    <mergeCell ref="M1:N1"/>
  </mergeCells>
  <conditionalFormatting sqref="O3:O20 O22:O326">
    <cfRule type="cellIs" dxfId="22" priority="82" operator="greaterThan">
      <formula>396</formula>
    </cfRule>
  </conditionalFormatting>
  <conditionalFormatting sqref="P3:P20 P22 P24:P326">
    <cfRule type="cellIs" dxfId="21" priority="80" operator="greaterThan">
      <formula>92</formula>
    </cfRule>
  </conditionalFormatting>
  <conditionalFormatting sqref="Q48:R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O3:O20 O22:O326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Q48:R48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CB41"/>
  <sheetViews>
    <sheetView zoomScale="90" zoomScaleNormal="90" workbookViewId="0">
      <pane xSplit="4" topLeftCell="E1" activePane="topRight" state="frozen"/>
      <selection activeCell="E34" sqref="E34"/>
      <selection pane="topRight" activeCell="CC2" sqref="CC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6" width="5.28515625" style="54"/>
    <col min="7" max="8" width="5.28515625" style="55"/>
    <col min="9" max="10" width="5.28515625" style="56"/>
    <col min="11" max="14" width="5.28515625" style="55"/>
    <col min="15" max="16" width="5.28515625" style="54"/>
    <col min="17" max="26" width="5.28515625" style="55"/>
    <col min="27" max="28" width="5.28515625" style="56"/>
    <col min="29" max="30" width="5.28515625" style="54"/>
    <col min="31" max="34" width="5.28515625" style="56"/>
    <col min="35" max="40" width="5.28515625" style="55"/>
    <col min="41" max="42" width="5.28515625" style="54"/>
    <col min="43" max="46" width="5.28515625" style="55"/>
    <col min="47" max="50" width="5.28515625" style="56"/>
    <col min="51" max="51" width="5.28515625" style="54" customWidth="1"/>
    <col min="52" max="52" width="5.28515625" style="54"/>
    <col min="53" max="54" width="5.28515625" style="56"/>
    <col min="55" max="58" width="5.28515625" style="55"/>
    <col min="59" max="62" width="5.28515625" style="54"/>
    <col min="63" max="64" width="5.28515625" style="56"/>
    <col min="65" max="70" width="5.28515625" style="55"/>
    <col min="71" max="76" width="5.28515625" style="56"/>
    <col min="77" max="78" width="5.28515625" style="55"/>
    <col min="79" max="80" width="5.28515625" style="56"/>
  </cols>
  <sheetData>
    <row r="1" spans="1:80" ht="15.75" thickBot="1" x14ac:dyDescent="0.3">
      <c r="E1" s="221">
        <v>1</v>
      </c>
      <c r="F1" s="221"/>
      <c r="G1" s="222">
        <v>2</v>
      </c>
      <c r="H1" s="222"/>
      <c r="I1" s="223">
        <v>3</v>
      </c>
      <c r="J1" s="223"/>
      <c r="K1" s="222">
        <v>4</v>
      </c>
      <c r="L1" s="222"/>
      <c r="M1" s="222">
        <v>5</v>
      </c>
      <c r="N1" s="222"/>
      <c r="O1" s="221">
        <v>6</v>
      </c>
      <c r="P1" s="221"/>
      <c r="Q1" s="222">
        <v>7</v>
      </c>
      <c r="R1" s="222"/>
      <c r="S1" s="222">
        <v>8</v>
      </c>
      <c r="T1" s="222"/>
      <c r="U1" s="222">
        <v>9</v>
      </c>
      <c r="V1" s="222"/>
      <c r="W1" s="222">
        <v>10</v>
      </c>
      <c r="X1" s="222"/>
      <c r="Y1" s="222">
        <v>11</v>
      </c>
      <c r="Z1" s="222"/>
      <c r="AA1" s="223">
        <v>12</v>
      </c>
      <c r="AB1" s="223"/>
      <c r="AC1" s="221">
        <v>13</v>
      </c>
      <c r="AD1" s="221"/>
      <c r="AE1" s="223">
        <v>14</v>
      </c>
      <c r="AF1" s="223"/>
      <c r="AG1" s="224">
        <v>15</v>
      </c>
      <c r="AH1" s="225"/>
      <c r="AI1" s="222">
        <v>16</v>
      </c>
      <c r="AJ1" s="222"/>
      <c r="AK1" s="222">
        <v>17</v>
      </c>
      <c r="AL1" s="222"/>
      <c r="AM1" s="222">
        <v>18</v>
      </c>
      <c r="AN1" s="222"/>
      <c r="AO1" s="226">
        <v>19</v>
      </c>
      <c r="AP1" s="226"/>
      <c r="AQ1" s="226">
        <v>20</v>
      </c>
      <c r="AR1" s="226"/>
      <c r="AS1" s="226">
        <v>21</v>
      </c>
      <c r="AT1" s="226"/>
      <c r="AU1" s="226">
        <v>22</v>
      </c>
      <c r="AV1" s="226"/>
      <c r="AW1" s="226">
        <v>23</v>
      </c>
      <c r="AX1" s="226"/>
      <c r="AY1" s="226">
        <v>24</v>
      </c>
      <c r="AZ1" s="226"/>
      <c r="BA1" s="226">
        <v>25</v>
      </c>
      <c r="BB1" s="226"/>
      <c r="BC1" s="226">
        <v>26</v>
      </c>
      <c r="BD1" s="226"/>
      <c r="BE1" s="226">
        <v>27</v>
      </c>
      <c r="BF1" s="226"/>
      <c r="BG1" s="226">
        <v>28</v>
      </c>
      <c r="BH1" s="226"/>
      <c r="BI1" s="226">
        <v>29</v>
      </c>
      <c r="BJ1" s="226"/>
      <c r="BK1" s="226">
        <v>30</v>
      </c>
      <c r="BL1" s="226"/>
      <c r="BM1" s="226">
        <v>31</v>
      </c>
      <c r="BN1" s="226"/>
      <c r="BO1" s="226">
        <v>32</v>
      </c>
      <c r="BP1" s="226"/>
      <c r="BQ1" s="226">
        <v>33</v>
      </c>
      <c r="BR1" s="226"/>
      <c r="BS1" s="226">
        <v>34</v>
      </c>
      <c r="BT1" s="226"/>
      <c r="BU1" s="226">
        <v>35</v>
      </c>
      <c r="BV1" s="226"/>
      <c r="BW1" s="226">
        <v>36</v>
      </c>
      <c r="BX1" s="226"/>
      <c r="BY1" s="226">
        <v>37</v>
      </c>
      <c r="BZ1" s="226"/>
      <c r="CA1" s="226">
        <v>38</v>
      </c>
      <c r="CB1" s="226"/>
    </row>
    <row r="2" spans="1:80" ht="15.75" thickBot="1" x14ac:dyDescent="0.3">
      <c r="A2" s="3"/>
      <c r="B2" s="17"/>
      <c r="C2" s="227" t="s">
        <v>98</v>
      </c>
      <c r="D2" s="227" t="s">
        <v>99</v>
      </c>
      <c r="E2" s="213" t="s">
        <v>356</v>
      </c>
      <c r="F2" s="214"/>
      <c r="G2" s="215" t="s">
        <v>341</v>
      </c>
      <c r="H2" s="216"/>
      <c r="I2" s="211" t="s">
        <v>340</v>
      </c>
      <c r="J2" s="212"/>
      <c r="K2" s="211" t="s">
        <v>338</v>
      </c>
      <c r="L2" s="212"/>
      <c r="M2" s="209" t="s">
        <v>345</v>
      </c>
      <c r="N2" s="210"/>
      <c r="O2" s="211" t="s">
        <v>330</v>
      </c>
      <c r="P2" s="212"/>
      <c r="Q2" s="211" t="s">
        <v>347</v>
      </c>
      <c r="R2" s="212"/>
      <c r="S2" s="211" t="s">
        <v>344</v>
      </c>
      <c r="T2" s="212"/>
      <c r="U2" s="211" t="s">
        <v>331</v>
      </c>
      <c r="V2" s="212"/>
      <c r="W2" s="211" t="s">
        <v>357</v>
      </c>
      <c r="X2" s="212"/>
      <c r="Y2" s="211" t="s">
        <v>334</v>
      </c>
      <c r="Z2" s="212"/>
      <c r="AA2" s="211" t="s">
        <v>333</v>
      </c>
      <c r="AB2" s="212"/>
      <c r="AC2" s="209" t="s">
        <v>342</v>
      </c>
      <c r="AD2" s="210"/>
      <c r="AE2" s="209" t="s">
        <v>339</v>
      </c>
      <c r="AF2" s="210"/>
      <c r="AG2" s="209" t="s">
        <v>346</v>
      </c>
      <c r="AH2" s="210"/>
      <c r="AI2" s="209" t="s">
        <v>315</v>
      </c>
      <c r="AJ2" s="210"/>
      <c r="AK2" s="211" t="s">
        <v>336</v>
      </c>
      <c r="AL2" s="212"/>
      <c r="AM2" s="213" t="s">
        <v>335</v>
      </c>
      <c r="AN2" s="214"/>
      <c r="AO2" s="213" t="s">
        <v>358</v>
      </c>
      <c r="AP2" s="214"/>
      <c r="AQ2" s="217" t="s">
        <v>342</v>
      </c>
      <c r="AR2" s="218"/>
      <c r="AS2" s="217" t="s">
        <v>357</v>
      </c>
      <c r="AT2" s="218"/>
      <c r="AU2" s="219" t="s">
        <v>334</v>
      </c>
      <c r="AV2" s="220"/>
      <c r="AW2" s="219" t="s">
        <v>333</v>
      </c>
      <c r="AX2" s="220"/>
      <c r="AY2" s="213" t="s">
        <v>331</v>
      </c>
      <c r="AZ2" s="214"/>
      <c r="BA2" s="219" t="s">
        <v>358</v>
      </c>
      <c r="BB2" s="220"/>
      <c r="BC2" s="217" t="s">
        <v>335</v>
      </c>
      <c r="BD2" s="218"/>
      <c r="BE2" s="217" t="s">
        <v>315</v>
      </c>
      <c r="BF2" s="218"/>
      <c r="BG2" s="213" t="s">
        <v>336</v>
      </c>
      <c r="BH2" s="214"/>
      <c r="BI2" s="213" t="s">
        <v>340</v>
      </c>
      <c r="BJ2" s="214"/>
      <c r="BK2" s="219" t="s">
        <v>338</v>
      </c>
      <c r="BL2" s="220"/>
      <c r="BM2" s="211" t="s">
        <v>356</v>
      </c>
      <c r="BN2" s="212"/>
      <c r="BO2" s="211" t="s">
        <v>341</v>
      </c>
      <c r="BP2" s="212"/>
      <c r="BQ2" s="215" t="s">
        <v>346</v>
      </c>
      <c r="BR2" s="216"/>
      <c r="BS2" s="215" t="s">
        <v>339</v>
      </c>
      <c r="BT2" s="216"/>
      <c r="BU2" s="215" t="s">
        <v>330</v>
      </c>
      <c r="BV2" s="216"/>
      <c r="BW2" s="215" t="s">
        <v>347</v>
      </c>
      <c r="BX2" s="216"/>
      <c r="BY2" s="211" t="s">
        <v>344</v>
      </c>
      <c r="BZ2" s="212"/>
      <c r="CA2" s="215" t="s">
        <v>345</v>
      </c>
      <c r="CB2" s="216"/>
    </row>
    <row r="3" spans="1:80" ht="15.75" thickBot="1" x14ac:dyDescent="0.3">
      <c r="A3" s="3" t="s">
        <v>49</v>
      </c>
      <c r="B3" s="17" t="s">
        <v>1</v>
      </c>
      <c r="C3" s="228"/>
      <c r="D3" s="228"/>
      <c r="E3" s="147" t="s">
        <v>87</v>
      </c>
      <c r="F3" s="147" t="s">
        <v>88</v>
      </c>
      <c r="G3" s="52" t="s">
        <v>87</v>
      </c>
      <c r="H3" s="52" t="s">
        <v>88</v>
      </c>
      <c r="I3" s="53" t="s">
        <v>87</v>
      </c>
      <c r="J3" s="53" t="s">
        <v>88</v>
      </c>
      <c r="K3" s="52" t="s">
        <v>87</v>
      </c>
      <c r="L3" s="52" t="s">
        <v>88</v>
      </c>
      <c r="M3" s="52" t="s">
        <v>87</v>
      </c>
      <c r="N3" s="52" t="s">
        <v>88</v>
      </c>
      <c r="O3" s="51" t="s">
        <v>87</v>
      </c>
      <c r="P3" s="51" t="s">
        <v>88</v>
      </c>
      <c r="Q3" s="52" t="s">
        <v>87</v>
      </c>
      <c r="R3" s="52" t="s">
        <v>88</v>
      </c>
      <c r="S3" s="52" t="s">
        <v>87</v>
      </c>
      <c r="T3" s="52" t="s">
        <v>88</v>
      </c>
      <c r="U3" s="52" t="s">
        <v>87</v>
      </c>
      <c r="V3" s="52" t="s">
        <v>88</v>
      </c>
      <c r="W3" s="52" t="s">
        <v>87</v>
      </c>
      <c r="X3" s="52" t="s">
        <v>88</v>
      </c>
      <c r="Y3" s="52" t="s">
        <v>87</v>
      </c>
      <c r="Z3" s="52" t="s">
        <v>88</v>
      </c>
      <c r="AA3" s="93" t="s">
        <v>87</v>
      </c>
      <c r="AB3" s="93" t="s">
        <v>88</v>
      </c>
      <c r="AC3" s="51" t="s">
        <v>87</v>
      </c>
      <c r="AD3" s="51" t="s">
        <v>88</v>
      </c>
      <c r="AE3" s="51" t="s">
        <v>87</v>
      </c>
      <c r="AF3" s="51" t="s">
        <v>88</v>
      </c>
      <c r="AG3" s="51" t="s">
        <v>87</v>
      </c>
      <c r="AH3" s="51" t="s">
        <v>88</v>
      </c>
      <c r="AI3" s="51" t="s">
        <v>87</v>
      </c>
      <c r="AJ3" s="51" t="s">
        <v>88</v>
      </c>
      <c r="AK3" s="52" t="s">
        <v>87</v>
      </c>
      <c r="AL3" s="52" t="s">
        <v>88</v>
      </c>
      <c r="AM3" s="52" t="s">
        <v>87</v>
      </c>
      <c r="AN3" s="52" t="s">
        <v>88</v>
      </c>
      <c r="AO3" s="51" t="s">
        <v>87</v>
      </c>
      <c r="AP3" s="51" t="s">
        <v>88</v>
      </c>
      <c r="AQ3" s="52" t="s">
        <v>87</v>
      </c>
      <c r="AR3" s="52" t="s">
        <v>88</v>
      </c>
      <c r="AS3" s="52" t="s">
        <v>87</v>
      </c>
      <c r="AT3" s="52" t="s">
        <v>88</v>
      </c>
      <c r="AU3" s="53" t="s">
        <v>87</v>
      </c>
      <c r="AV3" s="53" t="s">
        <v>88</v>
      </c>
      <c r="AW3" s="53" t="s">
        <v>87</v>
      </c>
      <c r="AX3" s="53" t="s">
        <v>88</v>
      </c>
      <c r="AY3" s="147" t="s">
        <v>87</v>
      </c>
      <c r="AZ3" s="147" t="s">
        <v>88</v>
      </c>
      <c r="BA3" s="53" t="s">
        <v>87</v>
      </c>
      <c r="BB3" s="53" t="s">
        <v>88</v>
      </c>
      <c r="BC3" s="52" t="s">
        <v>87</v>
      </c>
      <c r="BD3" s="52" t="s">
        <v>88</v>
      </c>
      <c r="BE3" s="52" t="s">
        <v>87</v>
      </c>
      <c r="BF3" s="52" t="s">
        <v>88</v>
      </c>
      <c r="BG3" s="51" t="s">
        <v>87</v>
      </c>
      <c r="BH3" s="51" t="s">
        <v>88</v>
      </c>
      <c r="BI3" s="51" t="s">
        <v>87</v>
      </c>
      <c r="BJ3" s="51" t="s">
        <v>88</v>
      </c>
      <c r="BK3" s="53" t="s">
        <v>87</v>
      </c>
      <c r="BL3" s="53" t="s">
        <v>88</v>
      </c>
      <c r="BM3" s="52" t="s">
        <v>87</v>
      </c>
      <c r="BN3" s="52" t="s">
        <v>88</v>
      </c>
      <c r="BO3" s="52" t="s">
        <v>87</v>
      </c>
      <c r="BP3" s="52" t="s">
        <v>88</v>
      </c>
      <c r="BQ3" s="52" t="s">
        <v>87</v>
      </c>
      <c r="BR3" s="52" t="s">
        <v>88</v>
      </c>
      <c r="BS3" s="53" t="s">
        <v>87</v>
      </c>
      <c r="BT3" s="53" t="s">
        <v>88</v>
      </c>
      <c r="BU3" s="53" t="s">
        <v>87</v>
      </c>
      <c r="BV3" s="53" t="s">
        <v>88</v>
      </c>
      <c r="BW3" s="53" t="s">
        <v>87</v>
      </c>
      <c r="BX3" s="53" t="s">
        <v>88</v>
      </c>
      <c r="BY3" s="52" t="s">
        <v>87</v>
      </c>
      <c r="BZ3" s="52" t="s">
        <v>88</v>
      </c>
      <c r="CA3" s="53" t="s">
        <v>87</v>
      </c>
      <c r="CB3" s="53" t="s">
        <v>88</v>
      </c>
    </row>
    <row r="4" spans="1:80" s="65" customFormat="1" x14ac:dyDescent="0.25">
      <c r="A4" s="27">
        <v>1</v>
      </c>
      <c r="B4" s="38" t="s">
        <v>287</v>
      </c>
      <c r="C4" s="71">
        <f>SUM(E4,G4,I4,K4,M4,O4,Q4,S4,U4,W4,Y4,AA4,AC4,AE4,AG4, AI4,AK4,AM4,AO4,AQ4,AS4,AU4,AW4,AY4,BA4,BC4,BE4,BG4,BI4,BK4,BM4,BO4,BQ4,BS4,BU4,BW4,BY4,CA4)</f>
        <v>0</v>
      </c>
      <c r="D4" s="62">
        <f>SUM(F4,H4,J4,L4,N4,P4,R4,T4,V4,X4,Z4,AB4,AD4,AF4,AH4, AJ4,AL4,AN4,AP4,AR4,AT4,AV4,AX4,AZ4,BB4,BD4,BF4,BH4,BJ4,BL4,BN4,BP4,BR4,BT4,BV4,BX4,BZ4,CB4,)</f>
        <v>0</v>
      </c>
      <c r="E4" s="170"/>
      <c r="F4" s="171"/>
      <c r="G4" s="177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  <c r="AI4" s="170"/>
      <c r="AJ4" s="171"/>
      <c r="AK4" s="170"/>
      <c r="AL4" s="171"/>
      <c r="AM4" s="170"/>
      <c r="AN4" s="171"/>
      <c r="AO4" s="170"/>
      <c r="AP4" s="171"/>
      <c r="AQ4" s="170"/>
      <c r="AR4" s="171"/>
      <c r="AS4" s="170"/>
      <c r="AT4" s="171"/>
      <c r="AU4" s="170"/>
      <c r="AV4" s="171"/>
      <c r="AW4" s="170"/>
      <c r="AX4" s="171"/>
      <c r="AY4" s="170"/>
      <c r="AZ4" s="171"/>
      <c r="BA4" s="170"/>
      <c r="BB4" s="171"/>
      <c r="BC4" s="170"/>
      <c r="BD4" s="171"/>
      <c r="BE4" s="170"/>
      <c r="BF4" s="171"/>
      <c r="BG4" s="170"/>
      <c r="BH4" s="171"/>
      <c r="BI4" s="170"/>
      <c r="BJ4" s="171"/>
      <c r="BK4" s="170"/>
      <c r="BL4" s="171"/>
      <c r="BM4" s="170"/>
      <c r="BN4" s="171"/>
      <c r="BO4" s="170"/>
      <c r="BP4" s="171"/>
      <c r="BQ4" s="170"/>
      <c r="BR4" s="171"/>
      <c r="BS4" s="170"/>
      <c r="BT4" s="171"/>
      <c r="BU4" s="170"/>
      <c r="BV4" s="171"/>
      <c r="BW4" s="170"/>
      <c r="BX4" s="171"/>
      <c r="BY4" s="170"/>
      <c r="BZ4" s="171"/>
      <c r="CA4" s="170"/>
      <c r="CB4" s="171"/>
    </row>
    <row r="5" spans="1:80" s="65" customFormat="1" ht="14.25" customHeight="1" x14ac:dyDescent="0.25">
      <c r="A5" s="27">
        <v>2</v>
      </c>
      <c r="B5" s="36" t="s">
        <v>204</v>
      </c>
      <c r="C5" s="71">
        <f t="shared" ref="C5:C17" si="0">SUM(E5,G5,I5,K5,M5,O5,Q5,S5,U5,W5,Y5,AA5,AC5,AE5,AG5, AI5,AK5,AM5,AO5,AQ5,AS5,AU5,AW5,AY5,BA5,BC5,BE5,BG5,BI5,BK5,BM5,BO5,BQ5,BS5,BU5,BW5,BY5,CA5)</f>
        <v>0</v>
      </c>
      <c r="D5" s="62">
        <f t="shared" ref="D5:D17" si="1">SUM(F5,H5,J5,L5,N5,P5,R5,T5,V5,X5,Z5,AB5,AD5,AF5,AH5, AJ5,AL5,AN5,AP5,AR5,AT5,AV5,AX5,AZ5,BB5,BD5,BF5,BH5,BJ5,BL5,BN5,BP5,BR5,BT5,BV5,BX5,BZ5,CB5,)</f>
        <v>0</v>
      </c>
      <c r="E5" s="63"/>
      <c r="F5" s="64"/>
      <c r="G5" s="178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  <c r="AI5" s="63"/>
      <c r="AJ5" s="64"/>
      <c r="AK5" s="63"/>
      <c r="AL5" s="64"/>
      <c r="AM5" s="63"/>
      <c r="AN5" s="64"/>
      <c r="AO5" s="63"/>
      <c r="AP5" s="64"/>
      <c r="AQ5" s="63"/>
      <c r="AR5" s="64"/>
      <c r="AS5" s="63"/>
      <c r="AT5" s="64"/>
      <c r="AU5" s="63"/>
      <c r="AV5" s="64"/>
      <c r="AW5" s="63"/>
      <c r="AX5" s="64"/>
      <c r="AY5" s="63"/>
      <c r="AZ5" s="64"/>
      <c r="BA5" s="63"/>
      <c r="BB5" s="64"/>
      <c r="BC5" s="63"/>
      <c r="BD5" s="64"/>
      <c r="BE5" s="63"/>
      <c r="BF5" s="64"/>
      <c r="BG5" s="63"/>
      <c r="BH5" s="64"/>
      <c r="BI5" s="63"/>
      <c r="BJ5" s="64"/>
      <c r="BK5" s="63"/>
      <c r="BL5" s="64"/>
      <c r="BM5" s="63"/>
      <c r="BN5" s="64"/>
      <c r="BO5" s="63"/>
      <c r="BP5" s="64"/>
      <c r="BQ5" s="63"/>
      <c r="BR5" s="64"/>
      <c r="BS5" s="63"/>
      <c r="BT5" s="64"/>
      <c r="BU5" s="63"/>
      <c r="BV5" s="64"/>
      <c r="BW5" s="63"/>
      <c r="BX5" s="64"/>
      <c r="BY5" s="63"/>
      <c r="BZ5" s="64"/>
      <c r="CA5" s="63"/>
      <c r="CB5" s="64"/>
    </row>
    <row r="6" spans="1:80" s="65" customFormat="1" ht="14.25" customHeight="1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178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  <c r="AI6" s="63"/>
      <c r="AJ6" s="64"/>
      <c r="AK6" s="63"/>
      <c r="AL6" s="64"/>
      <c r="AM6" s="63"/>
      <c r="AN6" s="64"/>
      <c r="AO6" s="63"/>
      <c r="AP6" s="64"/>
      <c r="AQ6" s="63"/>
      <c r="AR6" s="64"/>
      <c r="AS6" s="63"/>
      <c r="AT6" s="64"/>
      <c r="AU6" s="63"/>
      <c r="AV6" s="64"/>
      <c r="AW6" s="63"/>
      <c r="AX6" s="64"/>
      <c r="AY6" s="63"/>
      <c r="AZ6" s="64"/>
      <c r="BA6" s="63"/>
      <c r="BB6" s="64"/>
      <c r="BC6" s="63"/>
      <c r="BD6" s="64"/>
      <c r="BE6" s="63"/>
      <c r="BF6" s="64"/>
      <c r="BG6" s="63"/>
      <c r="BH6" s="64"/>
      <c r="BI6" s="63"/>
      <c r="BJ6" s="64"/>
      <c r="BK6" s="63"/>
      <c r="BL6" s="64"/>
      <c r="BM6" s="63"/>
      <c r="BN6" s="64"/>
      <c r="BO6" s="63"/>
      <c r="BP6" s="64"/>
      <c r="BQ6" s="63"/>
      <c r="BR6" s="64"/>
      <c r="BS6" s="63"/>
      <c r="BT6" s="64"/>
      <c r="BU6" s="63"/>
      <c r="BV6" s="64"/>
      <c r="BW6" s="63"/>
      <c r="BX6" s="64"/>
      <c r="BY6" s="63"/>
      <c r="BZ6" s="64"/>
      <c r="CA6" s="63"/>
      <c r="CB6" s="64"/>
    </row>
    <row r="7" spans="1:80" s="65" customFormat="1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178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  <c r="AI7" s="63"/>
      <c r="AJ7" s="64"/>
      <c r="AK7" s="63"/>
      <c r="AL7" s="64"/>
      <c r="AM7" s="63"/>
      <c r="AN7" s="64"/>
      <c r="AO7" s="63"/>
      <c r="AP7" s="64"/>
      <c r="AQ7" s="63"/>
      <c r="AR7" s="64"/>
      <c r="AS7" s="63"/>
      <c r="AT7" s="64"/>
      <c r="AU7" s="63"/>
      <c r="AV7" s="64"/>
      <c r="AW7" s="63"/>
      <c r="AX7" s="64"/>
      <c r="AY7" s="63"/>
      <c r="AZ7" s="64"/>
      <c r="BA7" s="63"/>
      <c r="BB7" s="64"/>
      <c r="BC7" s="63"/>
      <c r="BD7" s="64"/>
      <c r="BE7" s="63"/>
      <c r="BF7" s="64"/>
      <c r="BG7" s="63"/>
      <c r="BH7" s="64"/>
      <c r="BI7" s="63"/>
      <c r="BJ7" s="64"/>
      <c r="BK7" s="63"/>
      <c r="BL7" s="64"/>
      <c r="BM7" s="63"/>
      <c r="BN7" s="64"/>
      <c r="BO7" s="63"/>
      <c r="BP7" s="64"/>
      <c r="BQ7" s="63"/>
      <c r="BR7" s="64"/>
      <c r="BS7" s="63"/>
      <c r="BT7" s="64"/>
      <c r="BU7" s="63"/>
      <c r="BV7" s="64"/>
      <c r="BW7" s="63"/>
      <c r="BX7" s="64"/>
      <c r="BY7" s="63"/>
      <c r="BZ7" s="64"/>
      <c r="CA7" s="63"/>
      <c r="CB7" s="64"/>
    </row>
    <row r="8" spans="1:80" s="65" customFormat="1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178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  <c r="AI8" s="63"/>
      <c r="AJ8" s="64"/>
      <c r="AK8" s="63"/>
      <c r="AL8" s="64"/>
      <c r="AM8" s="63"/>
      <c r="AN8" s="64"/>
      <c r="AO8" s="63"/>
      <c r="AP8" s="64"/>
      <c r="AQ8" s="63"/>
      <c r="AR8" s="64"/>
      <c r="AS8" s="63"/>
      <c r="AT8" s="64"/>
      <c r="AU8" s="63"/>
      <c r="AV8" s="64"/>
      <c r="AW8" s="63"/>
      <c r="AX8" s="64"/>
      <c r="AY8" s="63"/>
      <c r="AZ8" s="64"/>
      <c r="BA8" s="63"/>
      <c r="BB8" s="64"/>
      <c r="BC8" s="63"/>
      <c r="BD8" s="64"/>
      <c r="BE8" s="63"/>
      <c r="BF8" s="64"/>
      <c r="BG8" s="63"/>
      <c r="BH8" s="64"/>
      <c r="BI8" s="63"/>
      <c r="BJ8" s="64"/>
      <c r="BK8" s="63"/>
      <c r="BL8" s="64"/>
      <c r="BM8" s="63"/>
      <c r="BN8" s="64"/>
      <c r="BO8" s="63"/>
      <c r="BP8" s="64"/>
      <c r="BQ8" s="63"/>
      <c r="BR8" s="64"/>
      <c r="BS8" s="63"/>
      <c r="BT8" s="64"/>
      <c r="BU8" s="63"/>
      <c r="BV8" s="64"/>
      <c r="BW8" s="63"/>
      <c r="BX8" s="64"/>
      <c r="BY8" s="63"/>
      <c r="BZ8" s="64"/>
      <c r="CA8" s="63"/>
      <c r="CB8" s="64"/>
    </row>
    <row r="9" spans="1:80" s="65" customFormat="1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178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  <c r="AI9" s="63"/>
      <c r="AJ9" s="64"/>
      <c r="AK9" s="63"/>
      <c r="AL9" s="64"/>
      <c r="AM9" s="63"/>
      <c r="AN9" s="64"/>
      <c r="AO9" s="63"/>
      <c r="AP9" s="64"/>
      <c r="AQ9" s="63"/>
      <c r="AR9" s="64"/>
      <c r="AS9" s="63"/>
      <c r="AT9" s="64"/>
      <c r="AU9" s="63"/>
      <c r="AV9" s="64"/>
      <c r="AW9" s="63"/>
      <c r="AX9" s="64"/>
      <c r="AY9" s="63"/>
      <c r="AZ9" s="64"/>
      <c r="BA9" s="63"/>
      <c r="BB9" s="64"/>
      <c r="BC9" s="63"/>
      <c r="BD9" s="64"/>
      <c r="BE9" s="63"/>
      <c r="BF9" s="64"/>
      <c r="BG9" s="63"/>
      <c r="BH9" s="64"/>
      <c r="BI9" s="63"/>
      <c r="BJ9" s="64"/>
      <c r="BK9" s="63"/>
      <c r="BL9" s="64"/>
      <c r="BM9" s="63"/>
      <c r="BN9" s="64"/>
      <c r="BO9" s="63"/>
      <c r="BP9" s="64"/>
      <c r="BQ9" s="63"/>
      <c r="BR9" s="64"/>
      <c r="BS9" s="63"/>
      <c r="BT9" s="64"/>
      <c r="BU9" s="63"/>
      <c r="BV9" s="64"/>
      <c r="BW9" s="63"/>
      <c r="BX9" s="64"/>
      <c r="BY9" s="63"/>
      <c r="BZ9" s="64"/>
      <c r="CA9" s="63"/>
      <c r="CB9" s="64"/>
    </row>
    <row r="10" spans="1:80" s="65" customFormat="1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178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  <c r="AI10" s="63"/>
      <c r="AJ10" s="64"/>
      <c r="AK10" s="63"/>
      <c r="AL10" s="64"/>
      <c r="AM10" s="63"/>
      <c r="AN10" s="64"/>
      <c r="AO10" s="63"/>
      <c r="AP10" s="64"/>
      <c r="AQ10" s="63"/>
      <c r="AR10" s="64"/>
      <c r="AS10" s="63"/>
      <c r="AT10" s="64"/>
      <c r="AU10" s="63"/>
      <c r="AV10" s="64"/>
      <c r="AW10" s="63"/>
      <c r="AX10" s="64"/>
      <c r="AY10" s="63"/>
      <c r="AZ10" s="64"/>
      <c r="BA10" s="63"/>
      <c r="BB10" s="64"/>
      <c r="BC10" s="63"/>
      <c r="BD10" s="64"/>
      <c r="BE10" s="63"/>
      <c r="BF10" s="64"/>
      <c r="BG10" s="63"/>
      <c r="BH10" s="64"/>
      <c r="BI10" s="63"/>
      <c r="BJ10" s="64"/>
      <c r="BK10" s="63"/>
      <c r="BL10" s="64"/>
      <c r="BM10" s="63"/>
      <c r="BN10" s="64"/>
      <c r="BO10" s="63"/>
      <c r="BP10" s="64"/>
      <c r="BQ10" s="63"/>
      <c r="BR10" s="64"/>
      <c r="BS10" s="63"/>
      <c r="BT10" s="64"/>
      <c r="BU10" s="63"/>
      <c r="BV10" s="64"/>
      <c r="BW10" s="63"/>
      <c r="BX10" s="64"/>
      <c r="BY10" s="63"/>
      <c r="BZ10" s="64"/>
      <c r="CA10" s="63"/>
      <c r="CB10" s="64"/>
    </row>
    <row r="11" spans="1:80" s="65" customFormat="1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178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  <c r="AI11" s="63"/>
      <c r="AJ11" s="64"/>
      <c r="AK11" s="63"/>
      <c r="AL11" s="64"/>
      <c r="AM11" s="63"/>
      <c r="AN11" s="64"/>
      <c r="AO11" s="63"/>
      <c r="AP11" s="64"/>
      <c r="AQ11" s="63"/>
      <c r="AR11" s="64"/>
      <c r="AS11" s="63"/>
      <c r="AT11" s="64"/>
      <c r="AU11" s="63"/>
      <c r="AV11" s="64"/>
      <c r="AW11" s="63"/>
      <c r="AX11" s="64"/>
      <c r="AY11" s="63"/>
      <c r="AZ11" s="64"/>
      <c r="BA11" s="63"/>
      <c r="BB11" s="64"/>
      <c r="BC11" s="63"/>
      <c r="BD11" s="64"/>
      <c r="BE11" s="63"/>
      <c r="BF11" s="64"/>
      <c r="BG11" s="63"/>
      <c r="BH11" s="64"/>
      <c r="BI11" s="63"/>
      <c r="BJ11" s="64"/>
      <c r="BK11" s="63"/>
      <c r="BL11" s="64"/>
      <c r="BM11" s="63"/>
      <c r="BN11" s="64"/>
      <c r="BO11" s="63"/>
      <c r="BP11" s="64"/>
      <c r="BQ11" s="63"/>
      <c r="BR11" s="64"/>
      <c r="BS11" s="63"/>
      <c r="BT11" s="64"/>
      <c r="BU11" s="63"/>
      <c r="BV11" s="64"/>
      <c r="BW11" s="63"/>
      <c r="BX11" s="64"/>
      <c r="BY11" s="63"/>
      <c r="BZ11" s="64"/>
      <c r="CA11" s="63"/>
      <c r="CB11" s="64"/>
    </row>
    <row r="12" spans="1:80" s="65" customFormat="1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178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  <c r="AI12" s="63"/>
      <c r="AJ12" s="64"/>
      <c r="AK12" s="63"/>
      <c r="AL12" s="64"/>
      <c r="AM12" s="63"/>
      <c r="AN12" s="64"/>
      <c r="AO12" s="63"/>
      <c r="AP12" s="64"/>
      <c r="AQ12" s="63"/>
      <c r="AR12" s="64"/>
      <c r="AS12" s="63"/>
      <c r="AT12" s="64"/>
      <c r="AU12" s="63"/>
      <c r="AV12" s="64"/>
      <c r="AW12" s="63"/>
      <c r="AX12" s="64"/>
      <c r="AY12" s="63"/>
      <c r="AZ12" s="64"/>
      <c r="BA12" s="63"/>
      <c r="BB12" s="64"/>
      <c r="BC12" s="63"/>
      <c r="BD12" s="64"/>
      <c r="BE12" s="63"/>
      <c r="BF12" s="64"/>
      <c r="BG12" s="63"/>
      <c r="BH12" s="64"/>
      <c r="BI12" s="63"/>
      <c r="BJ12" s="64"/>
      <c r="BK12" s="63"/>
      <c r="BL12" s="64"/>
      <c r="BM12" s="63"/>
      <c r="BN12" s="64"/>
      <c r="BO12" s="63"/>
      <c r="BP12" s="64"/>
      <c r="BQ12" s="63"/>
      <c r="BR12" s="64"/>
      <c r="BS12" s="63"/>
      <c r="BT12" s="64"/>
      <c r="BU12" s="63"/>
      <c r="BV12" s="64"/>
      <c r="BW12" s="63"/>
      <c r="BX12" s="64"/>
      <c r="BY12" s="63"/>
      <c r="BZ12" s="64"/>
      <c r="CA12" s="63"/>
      <c r="CB12" s="64"/>
    </row>
    <row r="13" spans="1:80" s="65" customFormat="1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178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  <c r="AI13" s="63"/>
      <c r="AJ13" s="64"/>
      <c r="AK13" s="63"/>
      <c r="AL13" s="64"/>
      <c r="AM13" s="63"/>
      <c r="AN13" s="64"/>
      <c r="AO13" s="63"/>
      <c r="AP13" s="64"/>
      <c r="AQ13" s="63"/>
      <c r="AR13" s="64"/>
      <c r="AS13" s="63"/>
      <c r="AT13" s="64"/>
      <c r="AU13" s="63"/>
      <c r="AV13" s="64"/>
      <c r="AW13" s="63"/>
      <c r="AX13" s="64"/>
      <c r="AY13" s="63"/>
      <c r="AZ13" s="64"/>
      <c r="BA13" s="63"/>
      <c r="BB13" s="64"/>
      <c r="BC13" s="63"/>
      <c r="BD13" s="64"/>
      <c r="BE13" s="63"/>
      <c r="BF13" s="64"/>
      <c r="BG13" s="63"/>
      <c r="BH13" s="64"/>
      <c r="BI13" s="63"/>
      <c r="BJ13" s="64"/>
      <c r="BK13" s="63"/>
      <c r="BL13" s="64"/>
      <c r="BM13" s="63"/>
      <c r="BN13" s="64"/>
      <c r="BO13" s="63"/>
      <c r="BP13" s="64"/>
      <c r="BQ13" s="63"/>
      <c r="BR13" s="64"/>
      <c r="BS13" s="63"/>
      <c r="BT13" s="64"/>
      <c r="BU13" s="63"/>
      <c r="BV13" s="64"/>
      <c r="BW13" s="63"/>
      <c r="BX13" s="64"/>
      <c r="BY13" s="63"/>
      <c r="BZ13" s="64"/>
      <c r="CA13" s="63"/>
      <c r="CB13" s="64"/>
    </row>
    <row r="14" spans="1:80" s="65" customFormat="1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178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  <c r="AI14" s="63"/>
      <c r="AJ14" s="64"/>
      <c r="AK14" s="63"/>
      <c r="AL14" s="64"/>
      <c r="AM14" s="63"/>
      <c r="AN14" s="64"/>
      <c r="AO14" s="63"/>
      <c r="AP14" s="64"/>
      <c r="AQ14" s="63"/>
      <c r="AR14" s="64"/>
      <c r="AS14" s="63"/>
      <c r="AT14" s="64"/>
      <c r="AU14" s="63"/>
      <c r="AV14" s="64"/>
      <c r="AW14" s="63"/>
      <c r="AX14" s="64"/>
      <c r="AY14" s="63"/>
      <c r="AZ14" s="64"/>
      <c r="BA14" s="63"/>
      <c r="BB14" s="64"/>
      <c r="BC14" s="63"/>
      <c r="BD14" s="64"/>
      <c r="BE14" s="63"/>
      <c r="BF14" s="64"/>
      <c r="BG14" s="63"/>
      <c r="BH14" s="64"/>
      <c r="BI14" s="63"/>
      <c r="BJ14" s="64"/>
      <c r="BK14" s="63"/>
      <c r="BL14" s="64"/>
      <c r="BM14" s="63"/>
      <c r="BN14" s="64"/>
      <c r="BO14" s="63"/>
      <c r="BP14" s="64"/>
      <c r="BQ14" s="63"/>
      <c r="BR14" s="64"/>
      <c r="BS14" s="63"/>
      <c r="BT14" s="64"/>
      <c r="BU14" s="63"/>
      <c r="BV14" s="64"/>
      <c r="BW14" s="63"/>
      <c r="BX14" s="64"/>
      <c r="BY14" s="63"/>
      <c r="BZ14" s="64"/>
      <c r="CA14" s="63"/>
      <c r="CB14" s="64"/>
    </row>
    <row r="15" spans="1:80" s="65" customFormat="1" ht="14.25" customHeight="1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178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  <c r="AI15" s="63"/>
      <c r="AJ15" s="64"/>
      <c r="AK15" s="63"/>
      <c r="AL15" s="64"/>
      <c r="AM15" s="63"/>
      <c r="AN15" s="64"/>
      <c r="AO15" s="63"/>
      <c r="AP15" s="64"/>
      <c r="AQ15" s="63"/>
      <c r="AR15" s="64"/>
      <c r="AS15" s="63"/>
      <c r="AT15" s="64"/>
      <c r="AU15" s="63"/>
      <c r="AV15" s="64"/>
      <c r="AW15" s="63"/>
      <c r="AX15" s="64"/>
      <c r="AY15" s="63"/>
      <c r="AZ15" s="64"/>
      <c r="BA15" s="63"/>
      <c r="BB15" s="64"/>
      <c r="BC15" s="63"/>
      <c r="BD15" s="64"/>
      <c r="BE15" s="63"/>
      <c r="BF15" s="64"/>
      <c r="BG15" s="63"/>
      <c r="BH15" s="64"/>
      <c r="BI15" s="63"/>
      <c r="BJ15" s="64"/>
      <c r="BK15" s="63"/>
      <c r="BL15" s="64"/>
      <c r="BM15" s="63"/>
      <c r="BN15" s="64"/>
      <c r="BO15" s="63"/>
      <c r="BP15" s="64"/>
      <c r="BQ15" s="63"/>
      <c r="BR15" s="64"/>
      <c r="BS15" s="63"/>
      <c r="BT15" s="64"/>
      <c r="BU15" s="63"/>
      <c r="BV15" s="64"/>
      <c r="BW15" s="63"/>
      <c r="BX15" s="64"/>
      <c r="BY15" s="63"/>
      <c r="BZ15" s="64"/>
      <c r="CA15" s="63"/>
      <c r="CB15" s="64"/>
    </row>
    <row r="16" spans="1:80" s="65" customFormat="1" ht="14.25" customHeight="1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178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  <c r="AI16" s="63"/>
      <c r="AJ16" s="64"/>
      <c r="AK16" s="63"/>
      <c r="AL16" s="64"/>
      <c r="AM16" s="63"/>
      <c r="AN16" s="64"/>
      <c r="AO16" s="63"/>
      <c r="AP16" s="64"/>
      <c r="AQ16" s="63"/>
      <c r="AR16" s="64"/>
      <c r="AS16" s="63"/>
      <c r="AT16" s="64"/>
      <c r="AU16" s="63"/>
      <c r="AV16" s="64"/>
      <c r="AW16" s="63"/>
      <c r="AX16" s="64"/>
      <c r="AY16" s="63"/>
      <c r="AZ16" s="64"/>
      <c r="BA16" s="63"/>
      <c r="BB16" s="64"/>
      <c r="BC16" s="63"/>
      <c r="BD16" s="64"/>
      <c r="BE16" s="63"/>
      <c r="BF16" s="64"/>
      <c r="BG16" s="63"/>
      <c r="BH16" s="64"/>
      <c r="BI16" s="63"/>
      <c r="BJ16" s="64"/>
      <c r="BK16" s="63"/>
      <c r="BL16" s="64"/>
      <c r="BM16" s="63"/>
      <c r="BN16" s="64"/>
      <c r="BO16" s="63"/>
      <c r="BP16" s="64"/>
      <c r="BQ16" s="63"/>
      <c r="BR16" s="64"/>
      <c r="BS16" s="63"/>
      <c r="BT16" s="64"/>
      <c r="BU16" s="63"/>
      <c r="BV16" s="64"/>
      <c r="BW16" s="63"/>
      <c r="BX16" s="64"/>
      <c r="BY16" s="63"/>
      <c r="BZ16" s="64"/>
      <c r="CA16" s="63"/>
      <c r="CB16" s="64"/>
    </row>
    <row r="17" spans="1:80" s="65" customFormat="1" ht="14.25" customHeight="1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178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  <c r="AI17" s="63"/>
      <c r="AJ17" s="64"/>
      <c r="AK17" s="63"/>
      <c r="AL17" s="64"/>
      <c r="AM17" s="63"/>
      <c r="AN17" s="64"/>
      <c r="AO17" s="63"/>
      <c r="AP17" s="64"/>
      <c r="AQ17" s="63"/>
      <c r="AR17" s="64"/>
      <c r="AS17" s="63"/>
      <c r="AT17" s="64"/>
      <c r="AU17" s="63"/>
      <c r="AV17" s="64"/>
      <c r="AW17" s="63"/>
      <c r="AX17" s="64"/>
      <c r="AY17" s="63"/>
      <c r="AZ17" s="64"/>
      <c r="BA17" s="63"/>
      <c r="BB17" s="64"/>
      <c r="BC17" s="63"/>
      <c r="BD17" s="64"/>
      <c r="BE17" s="63"/>
      <c r="BF17" s="64"/>
      <c r="BG17" s="63"/>
      <c r="BH17" s="64"/>
      <c r="BI17" s="63"/>
      <c r="BJ17" s="64"/>
      <c r="BK17" s="63"/>
      <c r="BL17" s="64"/>
      <c r="BM17" s="63"/>
      <c r="BN17" s="64"/>
      <c r="BO17" s="63"/>
      <c r="BP17" s="64"/>
      <c r="BQ17" s="63"/>
      <c r="BR17" s="64"/>
      <c r="BS17" s="63"/>
      <c r="BT17" s="64"/>
      <c r="BU17" s="63"/>
      <c r="BV17" s="64"/>
      <c r="BW17" s="63"/>
      <c r="BX17" s="64"/>
      <c r="BY17" s="63"/>
      <c r="BZ17" s="64"/>
      <c r="CA17" s="63"/>
      <c r="CB17" s="64"/>
    </row>
    <row r="18" spans="1:80" s="65" customFormat="1" x14ac:dyDescent="0.25">
      <c r="A18" s="27">
        <v>17</v>
      </c>
      <c r="B18" s="180" t="s">
        <v>353</v>
      </c>
      <c r="C18" s="71">
        <f t="shared" ref="C18:C23" si="2">SUM(E18,G18,I18,K18,M18,O18,Q18,S18,U18,W18,Y18,AA18,AC18,AE18,AG18, AI18,AK18,AM18,AO18,AQ18,AS18,AU18,AW18,AY18,BA18,BC18,BE18,BG18,BI18,BK18,BM18,BO18,BQ18,BS18,BU18,BW18,BY18,CA18)</f>
        <v>0</v>
      </c>
      <c r="D18" s="62">
        <f t="shared" ref="D18:D23" si="3">SUM(F18,H18,J18,L18,N18,P18,R18,T18,V18,X18,Z18,AB18,AD18,AF18,AH18, AJ18,AL18,AN18,AP18,AR18,AT18,AV18,AX18,AZ18,BB18,BD18,BF18,BH18,BJ18,BL18,BN18,BP18,BR18,BT18,BV18,BX18,BZ18,CB18,)</f>
        <v>0</v>
      </c>
      <c r="E18" s="63"/>
      <c r="F18" s="64"/>
      <c r="G18" s="178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  <c r="AI18" s="63"/>
      <c r="AJ18" s="64"/>
      <c r="AK18" s="63"/>
      <c r="AL18" s="64"/>
      <c r="AM18" s="63"/>
      <c r="AN18" s="64"/>
      <c r="AO18" s="63"/>
      <c r="AP18" s="64"/>
      <c r="AQ18" s="63"/>
      <c r="AR18" s="64"/>
      <c r="AS18" s="63"/>
      <c r="AT18" s="64"/>
      <c r="AU18" s="63"/>
      <c r="AV18" s="64"/>
      <c r="AW18" s="63"/>
      <c r="AX18" s="64"/>
      <c r="AY18" s="63"/>
      <c r="AZ18" s="64"/>
      <c r="BA18" s="63"/>
      <c r="BB18" s="64"/>
      <c r="BC18" s="63"/>
      <c r="BD18" s="64"/>
      <c r="BE18" s="63"/>
      <c r="BF18" s="64"/>
      <c r="BG18" s="63"/>
      <c r="BH18" s="64"/>
      <c r="BI18" s="63"/>
      <c r="BJ18" s="64"/>
      <c r="BK18" s="63"/>
      <c r="BL18" s="64"/>
      <c r="BM18" s="63"/>
      <c r="BN18" s="64"/>
      <c r="BO18" s="63"/>
      <c r="BP18" s="64"/>
      <c r="BQ18" s="63"/>
      <c r="BR18" s="64"/>
      <c r="BS18" s="63"/>
      <c r="BT18" s="64"/>
      <c r="BU18" s="63"/>
      <c r="BV18" s="64"/>
      <c r="BW18" s="63"/>
      <c r="BX18" s="64"/>
      <c r="BY18" s="63"/>
      <c r="BZ18" s="64"/>
      <c r="CA18" s="63"/>
      <c r="CB18" s="64"/>
    </row>
    <row r="19" spans="1:80" s="65" customFormat="1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178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  <c r="AI19" s="63"/>
      <c r="AJ19" s="64"/>
      <c r="AK19" s="63"/>
      <c r="AL19" s="64"/>
      <c r="AM19" s="63"/>
      <c r="AN19" s="64"/>
      <c r="AO19" s="63"/>
      <c r="AP19" s="64"/>
      <c r="AQ19" s="63"/>
      <c r="AR19" s="64"/>
      <c r="AS19" s="63"/>
      <c r="AT19" s="64"/>
      <c r="AU19" s="63"/>
      <c r="AV19" s="64"/>
      <c r="AW19" s="63"/>
      <c r="AX19" s="64"/>
      <c r="AY19" s="63"/>
      <c r="AZ19" s="64"/>
      <c r="BA19" s="63"/>
      <c r="BB19" s="64"/>
      <c r="BC19" s="63"/>
      <c r="BD19" s="64"/>
      <c r="BE19" s="63"/>
      <c r="BF19" s="64"/>
      <c r="BG19" s="63"/>
      <c r="BH19" s="64"/>
      <c r="BI19" s="63"/>
      <c r="BJ19" s="64"/>
      <c r="BK19" s="63"/>
      <c r="BL19" s="64"/>
      <c r="BM19" s="63"/>
      <c r="BN19" s="64"/>
      <c r="BO19" s="63"/>
      <c r="BP19" s="64"/>
      <c r="BQ19" s="63"/>
      <c r="BR19" s="64"/>
      <c r="BS19" s="63"/>
      <c r="BT19" s="64"/>
      <c r="BU19" s="63"/>
      <c r="BV19" s="64"/>
      <c r="BW19" s="63"/>
      <c r="BX19" s="64"/>
      <c r="BY19" s="63"/>
      <c r="BZ19" s="64"/>
      <c r="CA19" s="63"/>
      <c r="CB19" s="64"/>
    </row>
    <row r="20" spans="1:80" s="65" customFormat="1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178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  <c r="AI20" s="63"/>
      <c r="AJ20" s="64"/>
      <c r="AK20" s="63"/>
      <c r="AL20" s="64"/>
      <c r="AM20" s="63"/>
      <c r="AN20" s="64"/>
      <c r="AO20" s="63"/>
      <c r="AP20" s="64"/>
      <c r="AQ20" s="63"/>
      <c r="AR20" s="64"/>
      <c r="AS20" s="63"/>
      <c r="AT20" s="64"/>
      <c r="AU20" s="63"/>
      <c r="AV20" s="64"/>
      <c r="AW20" s="63"/>
      <c r="AX20" s="64"/>
      <c r="AY20" s="63"/>
      <c r="AZ20" s="64"/>
      <c r="BA20" s="63"/>
      <c r="BB20" s="64"/>
      <c r="BC20" s="63"/>
      <c r="BD20" s="64"/>
      <c r="BE20" s="63"/>
      <c r="BF20" s="64"/>
      <c r="BG20" s="63"/>
      <c r="BH20" s="64"/>
      <c r="BI20" s="63"/>
      <c r="BJ20" s="64"/>
      <c r="BK20" s="63"/>
      <c r="BL20" s="64"/>
      <c r="BM20" s="63"/>
      <c r="BN20" s="64"/>
      <c r="BO20" s="63"/>
      <c r="BP20" s="64"/>
      <c r="BQ20" s="63"/>
      <c r="BR20" s="64"/>
      <c r="BS20" s="63"/>
      <c r="BT20" s="64"/>
      <c r="BU20" s="63"/>
      <c r="BV20" s="64"/>
      <c r="BW20" s="63"/>
      <c r="BX20" s="64"/>
      <c r="BY20" s="63"/>
      <c r="BZ20" s="64"/>
      <c r="CA20" s="63"/>
      <c r="CB20" s="64"/>
    </row>
    <row r="21" spans="1:80" s="65" customFormat="1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178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  <c r="AI21" s="63"/>
      <c r="AJ21" s="64"/>
      <c r="AK21" s="63"/>
      <c r="AL21" s="64"/>
      <c r="AM21" s="63"/>
      <c r="AN21" s="64"/>
      <c r="AO21" s="63"/>
      <c r="AP21" s="64"/>
      <c r="AQ21" s="63"/>
      <c r="AR21" s="64"/>
      <c r="AS21" s="63"/>
      <c r="AT21" s="64"/>
      <c r="AU21" s="63"/>
      <c r="AV21" s="64"/>
      <c r="AW21" s="63"/>
      <c r="AX21" s="64"/>
      <c r="AY21" s="63"/>
      <c r="AZ21" s="64"/>
      <c r="BA21" s="63"/>
      <c r="BB21" s="64"/>
      <c r="BC21" s="63"/>
      <c r="BD21" s="64"/>
      <c r="BE21" s="63"/>
      <c r="BF21" s="64"/>
      <c r="BG21" s="63"/>
      <c r="BH21" s="64"/>
      <c r="BI21" s="63"/>
      <c r="BJ21" s="64"/>
      <c r="BK21" s="63"/>
      <c r="BL21" s="64"/>
      <c r="BM21" s="63"/>
      <c r="BN21" s="64"/>
      <c r="BO21" s="63"/>
      <c r="BP21" s="64"/>
      <c r="BQ21" s="63"/>
      <c r="BR21" s="64"/>
      <c r="BS21" s="63"/>
      <c r="BT21" s="64"/>
      <c r="BU21" s="63"/>
      <c r="BV21" s="64"/>
      <c r="BW21" s="63"/>
      <c r="BX21" s="64"/>
      <c r="BY21" s="63"/>
      <c r="BZ21" s="64"/>
      <c r="CA21" s="63"/>
      <c r="CB21" s="64"/>
    </row>
    <row r="22" spans="1:80" s="65" customFormat="1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178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  <c r="AI22" s="63"/>
      <c r="AJ22" s="64"/>
      <c r="AK22" s="63"/>
      <c r="AL22" s="64"/>
      <c r="AM22" s="63"/>
      <c r="AN22" s="64"/>
      <c r="AO22" s="63"/>
      <c r="AP22" s="64"/>
      <c r="AQ22" s="63"/>
      <c r="AR22" s="64"/>
      <c r="AS22" s="63"/>
      <c r="AT22" s="64"/>
      <c r="AU22" s="63"/>
      <c r="AV22" s="64"/>
      <c r="AW22" s="63"/>
      <c r="AX22" s="64"/>
      <c r="AY22" s="63"/>
      <c r="AZ22" s="64"/>
      <c r="BA22" s="63"/>
      <c r="BB22" s="64"/>
      <c r="BC22" s="63"/>
      <c r="BD22" s="64"/>
      <c r="BE22" s="63"/>
      <c r="BF22" s="64"/>
      <c r="BG22" s="63"/>
      <c r="BH22" s="64"/>
      <c r="BI22" s="63"/>
      <c r="BJ22" s="64"/>
      <c r="BK22" s="63"/>
      <c r="BL22" s="64"/>
      <c r="BM22" s="63"/>
      <c r="BN22" s="64"/>
      <c r="BO22" s="63"/>
      <c r="BP22" s="64"/>
      <c r="BQ22" s="63"/>
      <c r="BR22" s="64"/>
      <c r="BS22" s="63"/>
      <c r="BT22" s="64"/>
      <c r="BU22" s="63"/>
      <c r="BV22" s="64"/>
      <c r="BW22" s="63"/>
      <c r="BX22" s="64"/>
      <c r="BY22" s="63"/>
      <c r="BZ22" s="64"/>
      <c r="CA22" s="63"/>
      <c r="CB22" s="64"/>
    </row>
    <row r="23" spans="1:80" s="65" customFormat="1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178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  <c r="AI23" s="63"/>
      <c r="AJ23" s="64"/>
      <c r="AK23" s="63"/>
      <c r="AL23" s="64"/>
      <c r="AM23" s="63"/>
      <c r="AN23" s="64"/>
      <c r="AO23" s="63"/>
      <c r="AP23" s="64"/>
      <c r="AQ23" s="63"/>
      <c r="AR23" s="64"/>
      <c r="AS23" s="63"/>
      <c r="AT23" s="64"/>
      <c r="AU23" s="63"/>
      <c r="AV23" s="64"/>
      <c r="AW23" s="63"/>
      <c r="AX23" s="64"/>
      <c r="AY23" s="63"/>
      <c r="AZ23" s="64"/>
      <c r="BA23" s="63"/>
      <c r="BB23" s="64"/>
      <c r="BC23" s="63"/>
      <c r="BD23" s="64"/>
      <c r="BE23" s="63"/>
      <c r="BF23" s="64"/>
      <c r="BG23" s="63"/>
      <c r="BH23" s="64"/>
      <c r="BI23" s="63"/>
      <c r="BJ23" s="64"/>
      <c r="BK23" s="63"/>
      <c r="BL23" s="64"/>
      <c r="BM23" s="63"/>
      <c r="BN23" s="64"/>
      <c r="BO23" s="63"/>
      <c r="BP23" s="64"/>
      <c r="BQ23" s="63"/>
      <c r="BR23" s="64"/>
      <c r="BS23" s="63"/>
      <c r="BT23" s="64"/>
      <c r="BU23" s="63"/>
      <c r="BV23" s="64"/>
      <c r="BW23" s="63"/>
      <c r="BX23" s="64"/>
      <c r="BY23" s="63"/>
      <c r="BZ23" s="64"/>
      <c r="CA23" s="63"/>
      <c r="CB23" s="64"/>
    </row>
    <row r="24" spans="1:80" s="65" customFormat="1" x14ac:dyDescent="0.25">
      <c r="A24" s="28">
        <v>29</v>
      </c>
      <c r="B24" s="180" t="s">
        <v>284</v>
      </c>
      <c r="C24" s="71">
        <f t="shared" ref="C24:C28" si="4">SUM(E24,G24,I24,K24,M24,O24,Q24,S24,U24,W24,Y24,AA24,AC24,AE24,AG24, AI24,AK24,AM24,AO24,AQ24,AS24,AU24,AW24,AY24,BA24,BC24,BE24,BG24,BI24,BK24,BM24,BO24,BQ24,BS24,BU24,BW24,BY24,CA24)</f>
        <v>0</v>
      </c>
      <c r="D24" s="62">
        <f t="shared" ref="D24:D28" si="5">SUM(F24,H24,J24,L24,N24,P24,R24,T24,V24,X24,Z24,AB24,AD24,AF24,AH24, AJ24,AL24,AN24,AP24,AR24,AT24,AV24,AX24,AZ24,BB24,BD24,BF24,BH24,BJ24,BL24,BN24,BP24,BR24,BT24,BV24,BX24,BZ24,CB24,)</f>
        <v>0</v>
      </c>
      <c r="E24" s="63"/>
      <c r="F24" s="64"/>
      <c r="G24" s="178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  <c r="AI24" s="63"/>
      <c r="AJ24" s="64"/>
      <c r="AK24" s="63"/>
      <c r="AL24" s="64"/>
      <c r="AM24" s="63"/>
      <c r="AN24" s="64"/>
      <c r="AO24" s="63"/>
      <c r="AP24" s="64"/>
      <c r="AQ24" s="63"/>
      <c r="AR24" s="64"/>
      <c r="AS24" s="63"/>
      <c r="AT24" s="64"/>
      <c r="AU24" s="63"/>
      <c r="AV24" s="64"/>
      <c r="AW24" s="63"/>
      <c r="AX24" s="64"/>
      <c r="AY24" s="63"/>
      <c r="AZ24" s="64"/>
      <c r="BA24" s="63"/>
      <c r="BB24" s="64"/>
      <c r="BC24" s="63"/>
      <c r="BD24" s="64"/>
      <c r="BE24" s="63"/>
      <c r="BF24" s="64"/>
      <c r="BG24" s="63"/>
      <c r="BH24" s="64"/>
      <c r="BI24" s="63"/>
      <c r="BJ24" s="64"/>
      <c r="BK24" s="63"/>
      <c r="BL24" s="64"/>
      <c r="BM24" s="63"/>
      <c r="BN24" s="64"/>
      <c r="BO24" s="63"/>
      <c r="BP24" s="64"/>
      <c r="BQ24" s="63"/>
      <c r="BR24" s="64"/>
      <c r="BS24" s="63"/>
      <c r="BT24" s="64"/>
      <c r="BU24" s="63"/>
      <c r="BV24" s="64"/>
      <c r="BW24" s="63"/>
      <c r="BX24" s="64"/>
      <c r="BY24" s="63"/>
      <c r="BZ24" s="64"/>
      <c r="CA24" s="63"/>
      <c r="CB24" s="64"/>
    </row>
    <row r="25" spans="1:80" s="65" customFormat="1" x14ac:dyDescent="0.25">
      <c r="A25" s="28">
        <v>30</v>
      </c>
      <c r="B25" s="180" t="s">
        <v>354</v>
      </c>
      <c r="C25" s="71">
        <f t="shared" si="4"/>
        <v>0</v>
      </c>
      <c r="D25" s="62">
        <f t="shared" si="5"/>
        <v>0</v>
      </c>
      <c r="E25" s="63"/>
      <c r="F25" s="64"/>
      <c r="G25" s="178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  <c r="AI25" s="63"/>
      <c r="AJ25" s="64"/>
      <c r="AK25" s="63"/>
      <c r="AL25" s="64"/>
      <c r="AM25" s="63"/>
      <c r="AN25" s="64"/>
      <c r="AO25" s="63"/>
      <c r="AP25" s="64"/>
      <c r="AQ25" s="63"/>
      <c r="AR25" s="64"/>
      <c r="AS25" s="63"/>
      <c r="AT25" s="64"/>
      <c r="AU25" s="63"/>
      <c r="AV25" s="64"/>
      <c r="AW25" s="63"/>
      <c r="AX25" s="64"/>
      <c r="AY25" s="63"/>
      <c r="AZ25" s="64"/>
      <c r="BA25" s="63"/>
      <c r="BB25" s="64"/>
      <c r="BC25" s="63"/>
      <c r="BD25" s="64"/>
      <c r="BE25" s="63"/>
      <c r="BF25" s="64"/>
      <c r="BG25" s="63"/>
      <c r="BH25" s="64"/>
      <c r="BI25" s="63"/>
      <c r="BJ25" s="64"/>
      <c r="BK25" s="63"/>
      <c r="BL25" s="64"/>
      <c r="BM25" s="63"/>
      <c r="BN25" s="64"/>
      <c r="BO25" s="63"/>
      <c r="BP25" s="64"/>
      <c r="BQ25" s="63"/>
      <c r="BR25" s="64"/>
      <c r="BS25" s="63"/>
      <c r="BT25" s="64"/>
      <c r="BU25" s="63"/>
      <c r="BV25" s="64"/>
      <c r="BW25" s="63"/>
      <c r="BX25" s="64"/>
      <c r="BY25" s="63"/>
      <c r="BZ25" s="64"/>
      <c r="CA25" s="63"/>
      <c r="CB25" s="64"/>
    </row>
    <row r="26" spans="1:80" s="65" customFormat="1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178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  <c r="AI26" s="63"/>
      <c r="AJ26" s="64"/>
      <c r="AK26" s="63"/>
      <c r="AL26" s="64"/>
      <c r="AM26" s="63"/>
      <c r="AN26" s="64"/>
      <c r="AO26" s="63"/>
      <c r="AP26" s="64"/>
      <c r="AQ26" s="63"/>
      <c r="AR26" s="64"/>
      <c r="AS26" s="63"/>
      <c r="AT26" s="64"/>
      <c r="AU26" s="63"/>
      <c r="AV26" s="64"/>
      <c r="AW26" s="63"/>
      <c r="AX26" s="64"/>
      <c r="AY26" s="63"/>
      <c r="AZ26" s="64"/>
      <c r="BA26" s="63"/>
      <c r="BB26" s="64"/>
      <c r="BC26" s="63"/>
      <c r="BD26" s="64"/>
      <c r="BE26" s="63"/>
      <c r="BF26" s="64"/>
      <c r="BG26" s="63"/>
      <c r="BH26" s="64"/>
      <c r="BI26" s="63"/>
      <c r="BJ26" s="64"/>
      <c r="BK26" s="63"/>
      <c r="BL26" s="64"/>
      <c r="BM26" s="63"/>
      <c r="BN26" s="64"/>
      <c r="BO26" s="63"/>
      <c r="BP26" s="64"/>
      <c r="BQ26" s="63"/>
      <c r="BR26" s="64"/>
      <c r="BS26" s="63"/>
      <c r="BT26" s="64"/>
      <c r="BU26" s="63"/>
      <c r="BV26" s="64"/>
      <c r="BW26" s="63"/>
      <c r="BX26" s="64"/>
      <c r="BY26" s="63"/>
      <c r="BZ26" s="64"/>
      <c r="CA26" s="63"/>
      <c r="CB26" s="64"/>
    </row>
    <row r="27" spans="1:80" s="65" customFormat="1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178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  <c r="AI27" s="63"/>
      <c r="AJ27" s="64"/>
      <c r="AK27" s="63"/>
      <c r="AL27" s="64"/>
      <c r="AM27" s="63"/>
      <c r="AN27" s="64"/>
      <c r="AO27" s="63"/>
      <c r="AP27" s="64"/>
      <c r="AQ27" s="63"/>
      <c r="AR27" s="64"/>
      <c r="AS27" s="63"/>
      <c r="AT27" s="64"/>
      <c r="AU27" s="63"/>
      <c r="AV27" s="64"/>
      <c r="AW27" s="63"/>
      <c r="AX27" s="64"/>
      <c r="AY27" s="63"/>
      <c r="AZ27" s="64"/>
      <c r="BA27" s="63"/>
      <c r="BB27" s="64"/>
      <c r="BC27" s="63"/>
      <c r="BD27" s="64"/>
      <c r="BE27" s="63"/>
      <c r="BF27" s="64"/>
      <c r="BG27" s="63"/>
      <c r="BH27" s="64"/>
      <c r="BI27" s="63"/>
      <c r="BJ27" s="64"/>
      <c r="BK27" s="63"/>
      <c r="BL27" s="64"/>
      <c r="BM27" s="63"/>
      <c r="BN27" s="64"/>
      <c r="BO27" s="63"/>
      <c r="BP27" s="64"/>
      <c r="BQ27" s="63"/>
      <c r="BR27" s="64"/>
      <c r="BS27" s="63"/>
      <c r="BT27" s="64"/>
      <c r="BU27" s="63"/>
      <c r="BV27" s="64"/>
      <c r="BW27" s="63"/>
      <c r="BX27" s="64"/>
      <c r="BY27" s="63"/>
      <c r="BZ27" s="64"/>
      <c r="CA27" s="63"/>
      <c r="CB27" s="64"/>
    </row>
    <row r="28" spans="1:80" s="65" customFormat="1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178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  <c r="AI28" s="63"/>
      <c r="AJ28" s="64"/>
      <c r="AK28" s="63"/>
      <c r="AL28" s="64"/>
      <c r="AM28" s="63"/>
      <c r="AN28" s="64"/>
      <c r="AO28" s="63"/>
      <c r="AP28" s="64"/>
      <c r="AQ28" s="63"/>
      <c r="AR28" s="64"/>
      <c r="AS28" s="63"/>
      <c r="AT28" s="64"/>
      <c r="AU28" s="63"/>
      <c r="AV28" s="64"/>
      <c r="AW28" s="63"/>
      <c r="AX28" s="64"/>
      <c r="AY28" s="63"/>
      <c r="AZ28" s="64"/>
      <c r="BA28" s="63"/>
      <c r="BB28" s="64"/>
      <c r="BC28" s="63"/>
      <c r="BD28" s="64"/>
      <c r="BE28" s="63"/>
      <c r="BF28" s="64"/>
      <c r="BG28" s="63"/>
      <c r="BH28" s="64"/>
      <c r="BI28" s="63"/>
      <c r="BJ28" s="64"/>
      <c r="BK28" s="63"/>
      <c r="BL28" s="64"/>
      <c r="BM28" s="63"/>
      <c r="BN28" s="64"/>
      <c r="BO28" s="63"/>
      <c r="BP28" s="64"/>
      <c r="BQ28" s="63"/>
      <c r="BR28" s="64"/>
      <c r="BS28" s="63"/>
      <c r="BT28" s="64"/>
      <c r="BU28" s="63"/>
      <c r="BV28" s="64"/>
      <c r="BW28" s="63"/>
      <c r="BX28" s="64"/>
      <c r="BY28" s="63"/>
      <c r="BZ28" s="64"/>
      <c r="CA28" s="63"/>
      <c r="CB28" s="64"/>
    </row>
    <row r="29" spans="1:80" s="65" customFormat="1" x14ac:dyDescent="0.25">
      <c r="A29" s="28">
        <v>39</v>
      </c>
      <c r="B29" s="180" t="s">
        <v>355</v>
      </c>
      <c r="C29" s="71">
        <f t="shared" ref="C29:C40" si="6">SUM(E29,G29,I29,K29,M29,O29,Q29,S29,U29,W29,Y29,AA29,AC29,AE29,AG29, AI29,AK29,AM29,AO29,AQ29,AS29,AU29,AW29,AY29,BA29,BC29,BE29,BG29,BI29,BK29,BM29,BO29,BQ29,BS29,BU29,BW29,BY29,CA29)</f>
        <v>0</v>
      </c>
      <c r="D29" s="62">
        <f t="shared" ref="D29:D40" si="7">SUM(F29,H29,J29,L29,N29,P29,R29,T29,V29,X29,Z29,AB29,AD29,AF29,AH29, AJ29,AL29,AN29,AP29,AR29,AT29,AV29,AX29,AZ29,BB29,BD29,BF29,BH29,BJ29,BL29,BN29,BP29,BR29,BT29,BV29,BX29,BZ29,CB29,)</f>
        <v>0</v>
      </c>
      <c r="E29" s="63"/>
      <c r="F29" s="64"/>
      <c r="G29" s="178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  <c r="AI29" s="63"/>
      <c r="AJ29" s="64"/>
      <c r="AK29" s="63"/>
      <c r="AL29" s="64"/>
      <c r="AM29" s="63"/>
      <c r="AN29" s="64"/>
      <c r="AO29" s="63"/>
      <c r="AP29" s="64"/>
      <c r="AQ29" s="63"/>
      <c r="AR29" s="64"/>
      <c r="AS29" s="63"/>
      <c r="AT29" s="64"/>
      <c r="AU29" s="63"/>
      <c r="AV29" s="64"/>
      <c r="AW29" s="63"/>
      <c r="AX29" s="64"/>
      <c r="AY29" s="63"/>
      <c r="AZ29" s="64"/>
      <c r="BA29" s="63"/>
      <c r="BB29" s="64"/>
      <c r="BC29" s="63"/>
      <c r="BD29" s="64"/>
      <c r="BE29" s="63"/>
      <c r="BF29" s="64"/>
      <c r="BG29" s="63"/>
      <c r="BH29" s="64"/>
      <c r="BI29" s="63"/>
      <c r="BJ29" s="64"/>
      <c r="BK29" s="63"/>
      <c r="BL29" s="64"/>
      <c r="BM29" s="63"/>
      <c r="BN29" s="64"/>
      <c r="BO29" s="63"/>
      <c r="BP29" s="64"/>
      <c r="BQ29" s="63"/>
      <c r="BR29" s="64"/>
      <c r="BS29" s="63"/>
      <c r="BT29" s="64"/>
      <c r="BU29" s="63"/>
      <c r="BV29" s="64"/>
      <c r="BW29" s="63"/>
      <c r="BX29" s="64"/>
      <c r="BY29" s="63"/>
      <c r="BZ29" s="64"/>
      <c r="CA29" s="63"/>
      <c r="CB29" s="64"/>
    </row>
    <row r="30" spans="1:80" s="65" customFormat="1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178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  <c r="AI30" s="63"/>
      <c r="AJ30" s="64"/>
      <c r="AK30" s="63"/>
      <c r="AL30" s="64"/>
      <c r="AM30" s="63"/>
      <c r="AN30" s="64"/>
      <c r="AO30" s="63"/>
      <c r="AP30" s="64"/>
      <c r="AQ30" s="63"/>
      <c r="AR30" s="64"/>
      <c r="AS30" s="63"/>
      <c r="AT30" s="64"/>
      <c r="AU30" s="63"/>
      <c r="AV30" s="64"/>
      <c r="AW30" s="63"/>
      <c r="AX30" s="64"/>
      <c r="AY30" s="63"/>
      <c r="AZ30" s="64"/>
      <c r="BA30" s="63"/>
      <c r="BB30" s="64"/>
      <c r="BC30" s="63"/>
      <c r="BD30" s="64"/>
      <c r="BE30" s="63"/>
      <c r="BF30" s="64"/>
      <c r="BG30" s="63"/>
      <c r="BH30" s="64"/>
      <c r="BI30" s="63"/>
      <c r="BJ30" s="64"/>
      <c r="BK30" s="63"/>
      <c r="BL30" s="64"/>
      <c r="BM30" s="63"/>
      <c r="BN30" s="64"/>
      <c r="BO30" s="63"/>
      <c r="BP30" s="64"/>
      <c r="BQ30" s="63"/>
      <c r="BR30" s="64"/>
      <c r="BS30" s="63"/>
      <c r="BT30" s="64"/>
      <c r="BU30" s="63"/>
      <c r="BV30" s="64"/>
      <c r="BW30" s="63"/>
      <c r="BX30" s="64"/>
      <c r="BY30" s="63"/>
      <c r="BZ30" s="64"/>
      <c r="CA30" s="63"/>
      <c r="CB30" s="64"/>
    </row>
    <row r="31" spans="1:80" s="65" customFormat="1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178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  <c r="AI31" s="63"/>
      <c r="AJ31" s="64"/>
      <c r="AK31" s="63"/>
      <c r="AL31" s="64"/>
      <c r="AM31" s="63"/>
      <c r="AN31" s="64"/>
      <c r="AO31" s="63"/>
      <c r="AP31" s="64"/>
      <c r="AQ31" s="63"/>
      <c r="AR31" s="64"/>
      <c r="AS31" s="63"/>
      <c r="AT31" s="64"/>
      <c r="AU31" s="63"/>
      <c r="AV31" s="64"/>
      <c r="AW31" s="63"/>
      <c r="AX31" s="64"/>
      <c r="AY31" s="63"/>
      <c r="AZ31" s="64"/>
      <c r="BA31" s="63"/>
      <c r="BB31" s="64"/>
      <c r="BC31" s="63"/>
      <c r="BD31" s="64"/>
      <c r="BE31" s="63"/>
      <c r="BF31" s="64"/>
      <c r="BG31" s="63"/>
      <c r="BH31" s="64"/>
      <c r="BI31" s="63"/>
      <c r="BJ31" s="64"/>
      <c r="BK31" s="63"/>
      <c r="BL31" s="64"/>
      <c r="BM31" s="63"/>
      <c r="BN31" s="64"/>
      <c r="BO31" s="63"/>
      <c r="BP31" s="64"/>
      <c r="BQ31" s="63"/>
      <c r="BR31" s="64"/>
      <c r="BS31" s="63"/>
      <c r="BT31" s="64"/>
      <c r="BU31" s="63"/>
      <c r="BV31" s="64"/>
      <c r="BW31" s="63"/>
      <c r="BX31" s="64"/>
      <c r="BY31" s="63"/>
      <c r="BZ31" s="64"/>
      <c r="CA31" s="63"/>
      <c r="CB31" s="64"/>
    </row>
    <row r="32" spans="1:80" s="65" customFormat="1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178"/>
      <c r="H32" s="64"/>
      <c r="I32" s="63"/>
      <c r="J32" s="64"/>
      <c r="K32" s="63"/>
      <c r="L32" s="64"/>
      <c r="M32" s="63"/>
      <c r="N32" s="64"/>
      <c r="O32" s="63"/>
      <c r="P32" s="64"/>
      <c r="Q32" s="63"/>
      <c r="R32" s="64"/>
      <c r="S32" s="63"/>
      <c r="T32" s="64"/>
      <c r="U32" s="63"/>
      <c r="V32" s="64"/>
      <c r="W32" s="63"/>
      <c r="X32" s="64"/>
      <c r="Y32" s="63"/>
      <c r="Z32" s="64"/>
      <c r="AA32" s="63"/>
      <c r="AB32" s="64"/>
      <c r="AC32" s="63"/>
      <c r="AD32" s="64"/>
      <c r="AE32" s="63"/>
      <c r="AF32" s="64"/>
      <c r="AG32" s="63"/>
      <c r="AH32" s="64"/>
      <c r="AI32" s="63"/>
      <c r="AJ32" s="64"/>
      <c r="AK32" s="63"/>
      <c r="AL32" s="64"/>
      <c r="AM32" s="63"/>
      <c r="AN32" s="64"/>
      <c r="AO32" s="63"/>
      <c r="AP32" s="64"/>
      <c r="AQ32" s="63"/>
      <c r="AR32" s="64"/>
      <c r="AS32" s="63"/>
      <c r="AT32" s="64"/>
      <c r="AU32" s="63"/>
      <c r="AV32" s="64"/>
      <c r="AW32" s="63"/>
      <c r="AX32" s="64"/>
      <c r="AY32" s="63"/>
      <c r="AZ32" s="64"/>
      <c r="BA32" s="63"/>
      <c r="BB32" s="64"/>
      <c r="BC32" s="63"/>
      <c r="BD32" s="64"/>
      <c r="BE32" s="63"/>
      <c r="BF32" s="64"/>
      <c r="BG32" s="63"/>
      <c r="BH32" s="64"/>
      <c r="BI32" s="63"/>
      <c r="BJ32" s="64"/>
      <c r="BK32" s="63"/>
      <c r="BL32" s="64"/>
      <c r="BM32" s="63"/>
      <c r="BN32" s="64"/>
      <c r="BO32" s="63"/>
      <c r="BP32" s="64"/>
      <c r="BQ32" s="63"/>
      <c r="BR32" s="64"/>
      <c r="BS32" s="63"/>
      <c r="BT32" s="64"/>
      <c r="BU32" s="63"/>
      <c r="BV32" s="64"/>
      <c r="BW32" s="63"/>
      <c r="BX32" s="64"/>
      <c r="BY32" s="63"/>
      <c r="BZ32" s="64"/>
      <c r="CA32" s="63"/>
      <c r="CB32" s="64"/>
    </row>
    <row r="33" spans="1:80" s="65" customFormat="1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178"/>
      <c r="H33" s="64"/>
      <c r="I33" s="63"/>
      <c r="J33" s="64"/>
      <c r="K33" s="63"/>
      <c r="L33" s="64"/>
      <c r="M33" s="63"/>
      <c r="N33" s="64"/>
      <c r="O33" s="63"/>
      <c r="P33" s="64"/>
      <c r="Q33" s="63"/>
      <c r="R33" s="64"/>
      <c r="S33" s="63"/>
      <c r="T33" s="64"/>
      <c r="U33" s="63"/>
      <c r="V33" s="64"/>
      <c r="W33" s="63"/>
      <c r="X33" s="64"/>
      <c r="Y33" s="63"/>
      <c r="Z33" s="64"/>
      <c r="AA33" s="63"/>
      <c r="AB33" s="64"/>
      <c r="AC33" s="63"/>
      <c r="AD33" s="64"/>
      <c r="AE33" s="63"/>
      <c r="AF33" s="64"/>
      <c r="AG33" s="63"/>
      <c r="AH33" s="64"/>
      <c r="AI33" s="63"/>
      <c r="AJ33" s="64"/>
      <c r="AK33" s="63"/>
      <c r="AL33" s="64"/>
      <c r="AM33" s="63"/>
      <c r="AN33" s="64"/>
      <c r="AO33" s="63"/>
      <c r="AP33" s="64"/>
      <c r="AQ33" s="63"/>
      <c r="AR33" s="64"/>
      <c r="AS33" s="63"/>
      <c r="AT33" s="64"/>
      <c r="AU33" s="63"/>
      <c r="AV33" s="64"/>
      <c r="AW33" s="63"/>
      <c r="AX33" s="64"/>
      <c r="AY33" s="63"/>
      <c r="AZ33" s="64"/>
      <c r="BA33" s="63"/>
      <c r="BB33" s="64"/>
      <c r="BC33" s="63"/>
      <c r="BD33" s="64"/>
      <c r="BE33" s="63"/>
      <c r="BF33" s="64"/>
      <c r="BG33" s="63"/>
      <c r="BH33" s="64"/>
      <c r="BI33" s="63"/>
      <c r="BJ33" s="64"/>
      <c r="BK33" s="63"/>
      <c r="BL33" s="64"/>
      <c r="BM33" s="63"/>
      <c r="BN33" s="64"/>
      <c r="BO33" s="63"/>
      <c r="BP33" s="64"/>
      <c r="BQ33" s="63"/>
      <c r="BR33" s="64"/>
      <c r="BS33" s="63"/>
      <c r="BT33" s="64"/>
      <c r="BU33" s="63"/>
      <c r="BV33" s="64"/>
      <c r="BW33" s="63"/>
      <c r="BX33" s="64"/>
      <c r="BY33" s="63"/>
      <c r="BZ33" s="64"/>
      <c r="CA33" s="63"/>
      <c r="CB33" s="64"/>
    </row>
    <row r="34" spans="1:80" s="65" customFormat="1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178"/>
      <c r="H34" s="64"/>
      <c r="I34" s="63"/>
      <c r="J34" s="64"/>
      <c r="K34" s="63"/>
      <c r="L34" s="64"/>
      <c r="M34" s="63"/>
      <c r="N34" s="64"/>
      <c r="O34" s="63"/>
      <c r="P34" s="64"/>
      <c r="Q34" s="63"/>
      <c r="R34" s="64"/>
      <c r="S34" s="63"/>
      <c r="T34" s="64"/>
      <c r="U34" s="63"/>
      <c r="V34" s="64"/>
      <c r="W34" s="63"/>
      <c r="X34" s="64"/>
      <c r="Y34" s="63"/>
      <c r="Z34" s="64"/>
      <c r="AA34" s="63"/>
      <c r="AB34" s="64"/>
      <c r="AC34" s="63"/>
      <c r="AD34" s="64"/>
      <c r="AE34" s="63"/>
      <c r="AF34" s="64"/>
      <c r="AG34" s="63"/>
      <c r="AH34" s="64"/>
      <c r="AI34" s="63"/>
      <c r="AJ34" s="64"/>
      <c r="AK34" s="63"/>
      <c r="AL34" s="64"/>
      <c r="AM34" s="63"/>
      <c r="AN34" s="64"/>
      <c r="AO34" s="63"/>
      <c r="AP34" s="64"/>
      <c r="AQ34" s="63"/>
      <c r="AR34" s="64"/>
      <c r="AS34" s="63"/>
      <c r="AT34" s="64"/>
      <c r="AU34" s="63"/>
      <c r="AV34" s="64"/>
      <c r="AW34" s="63"/>
      <c r="AX34" s="64"/>
      <c r="AY34" s="63"/>
      <c r="AZ34" s="64"/>
      <c r="BA34" s="63"/>
      <c r="BB34" s="64"/>
      <c r="BC34" s="63"/>
      <c r="BD34" s="64"/>
      <c r="BE34" s="63"/>
      <c r="BF34" s="64"/>
      <c r="BG34" s="63"/>
      <c r="BH34" s="64"/>
      <c r="BI34" s="63"/>
      <c r="BJ34" s="64"/>
      <c r="BK34" s="63"/>
      <c r="BL34" s="64"/>
      <c r="BM34" s="63"/>
      <c r="BN34" s="64"/>
      <c r="BO34" s="63"/>
      <c r="BP34" s="64"/>
      <c r="BQ34" s="63"/>
      <c r="BR34" s="64"/>
      <c r="BS34" s="63"/>
      <c r="BT34" s="64"/>
      <c r="BU34" s="63"/>
      <c r="BV34" s="64"/>
      <c r="BW34" s="63"/>
      <c r="BX34" s="64"/>
      <c r="BY34" s="63"/>
      <c r="BZ34" s="64"/>
      <c r="CA34" s="63"/>
      <c r="CB34" s="64"/>
    </row>
    <row r="35" spans="1:80" s="65" customFormat="1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178"/>
      <c r="H35" s="64"/>
      <c r="I35" s="63"/>
      <c r="J35" s="64"/>
      <c r="K35" s="63"/>
      <c r="L35" s="64"/>
      <c r="M35" s="63"/>
      <c r="N35" s="64"/>
      <c r="O35" s="63"/>
      <c r="P35" s="64"/>
      <c r="Q35" s="63"/>
      <c r="R35" s="64"/>
      <c r="S35" s="63"/>
      <c r="T35" s="64"/>
      <c r="U35" s="63"/>
      <c r="V35" s="64"/>
      <c r="W35" s="63"/>
      <c r="X35" s="64"/>
      <c r="Y35" s="63"/>
      <c r="Z35" s="64"/>
      <c r="AA35" s="63"/>
      <c r="AB35" s="64"/>
      <c r="AC35" s="63"/>
      <c r="AD35" s="64"/>
      <c r="AE35" s="63"/>
      <c r="AF35" s="64"/>
      <c r="AG35" s="63"/>
      <c r="AH35" s="64"/>
      <c r="AI35" s="63"/>
      <c r="AJ35" s="64"/>
      <c r="AK35" s="63"/>
      <c r="AL35" s="64"/>
      <c r="AM35" s="63"/>
      <c r="AN35" s="64"/>
      <c r="AO35" s="63"/>
      <c r="AP35" s="64"/>
      <c r="AQ35" s="63"/>
      <c r="AR35" s="64"/>
      <c r="AS35" s="63"/>
      <c r="AT35" s="64"/>
      <c r="AU35" s="63"/>
      <c r="AV35" s="64"/>
      <c r="AW35" s="63"/>
      <c r="AX35" s="64"/>
      <c r="AY35" s="63"/>
      <c r="AZ35" s="64"/>
      <c r="BA35" s="63"/>
      <c r="BB35" s="64"/>
      <c r="BC35" s="63"/>
      <c r="BD35" s="64"/>
      <c r="BE35" s="63"/>
      <c r="BF35" s="64"/>
      <c r="BG35" s="63"/>
      <c r="BH35" s="64"/>
      <c r="BI35" s="63"/>
      <c r="BJ35" s="64"/>
      <c r="BK35" s="63"/>
      <c r="BL35" s="64"/>
      <c r="BM35" s="63"/>
      <c r="BN35" s="64"/>
      <c r="BO35" s="63"/>
      <c r="BP35" s="64"/>
      <c r="BQ35" s="63"/>
      <c r="BR35" s="64"/>
      <c r="BS35" s="63"/>
      <c r="BT35" s="64"/>
      <c r="BU35" s="63"/>
      <c r="BV35" s="64"/>
      <c r="BW35" s="63"/>
      <c r="BX35" s="64"/>
      <c r="BY35" s="63"/>
      <c r="BZ35" s="64"/>
      <c r="CA35" s="63"/>
      <c r="CB35" s="64"/>
    </row>
    <row r="36" spans="1:80" s="65" customFormat="1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8"/>
      <c r="H36" s="197"/>
      <c r="I36" s="196"/>
      <c r="J36" s="197"/>
      <c r="K36" s="196"/>
      <c r="L36" s="197"/>
      <c r="M36" s="196"/>
      <c r="N36" s="197"/>
      <c r="O36" s="196"/>
      <c r="P36" s="197"/>
      <c r="Q36" s="196"/>
      <c r="R36" s="197"/>
      <c r="S36" s="196"/>
      <c r="T36" s="197"/>
      <c r="U36" s="196"/>
      <c r="V36" s="197"/>
      <c r="W36" s="196"/>
      <c r="X36" s="197"/>
      <c r="Y36" s="196"/>
      <c r="Z36" s="197"/>
      <c r="AA36" s="196"/>
      <c r="AB36" s="197"/>
      <c r="AC36" s="196"/>
      <c r="AD36" s="197"/>
      <c r="AE36" s="196"/>
      <c r="AF36" s="197"/>
      <c r="AG36" s="196"/>
      <c r="AH36" s="197"/>
      <c r="AI36" s="196"/>
      <c r="AJ36" s="197"/>
      <c r="AK36" s="196"/>
      <c r="AL36" s="197"/>
      <c r="AM36" s="196"/>
      <c r="AN36" s="197"/>
      <c r="AO36" s="196"/>
      <c r="AP36" s="197"/>
      <c r="AQ36" s="196"/>
      <c r="AR36" s="197"/>
      <c r="AS36" s="196"/>
      <c r="AT36" s="197"/>
      <c r="AU36" s="196"/>
      <c r="AV36" s="197"/>
      <c r="AW36" s="196"/>
      <c r="AX36" s="197"/>
      <c r="AY36" s="196"/>
      <c r="AZ36" s="197"/>
      <c r="BA36" s="196"/>
      <c r="BB36" s="197"/>
      <c r="BC36" s="196"/>
      <c r="BD36" s="197"/>
      <c r="BE36" s="196"/>
      <c r="BF36" s="197"/>
      <c r="BG36" s="196"/>
      <c r="BH36" s="197"/>
      <c r="BI36" s="196"/>
      <c r="BJ36" s="197"/>
      <c r="BK36" s="196"/>
      <c r="BL36" s="197"/>
      <c r="BM36" s="196"/>
      <c r="BN36" s="197"/>
      <c r="BO36" s="196"/>
      <c r="BP36" s="197"/>
      <c r="BQ36" s="196"/>
      <c r="BR36" s="197"/>
      <c r="BS36" s="196"/>
      <c r="BT36" s="197"/>
      <c r="BU36" s="196"/>
      <c r="BV36" s="197"/>
      <c r="BW36" s="196"/>
      <c r="BX36" s="197"/>
      <c r="BY36" s="196"/>
      <c r="BZ36" s="197"/>
      <c r="CA36" s="196"/>
      <c r="CB36" s="197"/>
    </row>
    <row r="37" spans="1:80" s="65" customFormat="1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8"/>
      <c r="H37" s="197"/>
      <c r="I37" s="196"/>
      <c r="J37" s="197"/>
      <c r="K37" s="196"/>
      <c r="L37" s="197"/>
      <c r="M37" s="196"/>
      <c r="N37" s="197"/>
      <c r="O37" s="196"/>
      <c r="P37" s="197"/>
      <c r="Q37" s="196"/>
      <c r="R37" s="197"/>
      <c r="S37" s="196"/>
      <c r="T37" s="197"/>
      <c r="U37" s="196"/>
      <c r="V37" s="197"/>
      <c r="W37" s="196"/>
      <c r="X37" s="197"/>
      <c r="Y37" s="196"/>
      <c r="Z37" s="197"/>
      <c r="AA37" s="196"/>
      <c r="AB37" s="197"/>
      <c r="AC37" s="196"/>
      <c r="AD37" s="197"/>
      <c r="AE37" s="196"/>
      <c r="AF37" s="197"/>
      <c r="AG37" s="196"/>
      <c r="AH37" s="197"/>
      <c r="AI37" s="196"/>
      <c r="AJ37" s="197"/>
      <c r="AK37" s="196"/>
      <c r="AL37" s="197"/>
      <c r="AM37" s="196"/>
      <c r="AN37" s="197"/>
      <c r="AO37" s="196"/>
      <c r="AP37" s="197"/>
      <c r="AQ37" s="196"/>
      <c r="AR37" s="197"/>
      <c r="AS37" s="196"/>
      <c r="AT37" s="197"/>
      <c r="AU37" s="196"/>
      <c r="AV37" s="197"/>
      <c r="AW37" s="196"/>
      <c r="AX37" s="197"/>
      <c r="AY37" s="196"/>
      <c r="AZ37" s="197"/>
      <c r="BA37" s="196"/>
      <c r="BB37" s="197"/>
      <c r="BC37" s="196"/>
      <c r="BD37" s="197"/>
      <c r="BE37" s="196"/>
      <c r="BF37" s="197"/>
      <c r="BG37" s="196"/>
      <c r="BH37" s="197"/>
      <c r="BI37" s="196"/>
      <c r="BJ37" s="197"/>
      <c r="BK37" s="196"/>
      <c r="BL37" s="197"/>
      <c r="BM37" s="196"/>
      <c r="BN37" s="197"/>
      <c r="BO37" s="196"/>
      <c r="BP37" s="197"/>
      <c r="BQ37" s="196"/>
      <c r="BR37" s="197"/>
      <c r="BS37" s="196"/>
      <c r="BT37" s="197"/>
      <c r="BU37" s="196"/>
      <c r="BV37" s="197"/>
      <c r="BW37" s="196"/>
      <c r="BX37" s="197"/>
      <c r="BY37" s="196"/>
      <c r="BZ37" s="197"/>
      <c r="CA37" s="196"/>
      <c r="CB37" s="197"/>
    </row>
    <row r="38" spans="1:80" s="65" customFormat="1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8"/>
      <c r="H38" s="197"/>
      <c r="I38" s="196"/>
      <c r="J38" s="197"/>
      <c r="K38" s="196"/>
      <c r="L38" s="197"/>
      <c r="M38" s="196"/>
      <c r="N38" s="197"/>
      <c r="O38" s="196"/>
      <c r="P38" s="197"/>
      <c r="Q38" s="196"/>
      <c r="R38" s="197"/>
      <c r="S38" s="196"/>
      <c r="T38" s="197"/>
      <c r="U38" s="196"/>
      <c r="V38" s="197"/>
      <c r="W38" s="196"/>
      <c r="X38" s="197"/>
      <c r="Y38" s="196"/>
      <c r="Z38" s="197"/>
      <c r="AA38" s="196"/>
      <c r="AB38" s="197"/>
      <c r="AC38" s="196"/>
      <c r="AD38" s="197"/>
      <c r="AE38" s="196"/>
      <c r="AF38" s="197"/>
      <c r="AG38" s="196"/>
      <c r="AH38" s="197"/>
      <c r="AI38" s="196"/>
      <c r="AJ38" s="197"/>
      <c r="AK38" s="196"/>
      <c r="AL38" s="197"/>
      <c r="AM38" s="196"/>
      <c r="AN38" s="197"/>
      <c r="AO38" s="196"/>
      <c r="AP38" s="197"/>
      <c r="AQ38" s="196"/>
      <c r="AR38" s="197"/>
      <c r="AS38" s="196"/>
      <c r="AT38" s="197"/>
      <c r="AU38" s="196"/>
      <c r="AV38" s="197"/>
      <c r="AW38" s="196"/>
      <c r="AX38" s="197"/>
      <c r="AY38" s="196"/>
      <c r="AZ38" s="197"/>
      <c r="BA38" s="196"/>
      <c r="BB38" s="197"/>
      <c r="BC38" s="196"/>
      <c r="BD38" s="197"/>
      <c r="BE38" s="196"/>
      <c r="BF38" s="197"/>
      <c r="BG38" s="196"/>
      <c r="BH38" s="197"/>
      <c r="BI38" s="196"/>
      <c r="BJ38" s="197"/>
      <c r="BK38" s="196"/>
      <c r="BL38" s="197"/>
      <c r="BM38" s="196"/>
      <c r="BN38" s="197"/>
      <c r="BO38" s="196"/>
      <c r="BP38" s="197"/>
      <c r="BQ38" s="196"/>
      <c r="BR38" s="197"/>
      <c r="BS38" s="196"/>
      <c r="BT38" s="197"/>
      <c r="BU38" s="196"/>
      <c r="BV38" s="197"/>
      <c r="BW38" s="196"/>
      <c r="BX38" s="197"/>
      <c r="BY38" s="196"/>
      <c r="BZ38" s="197"/>
      <c r="CA38" s="196"/>
      <c r="CB38" s="197"/>
    </row>
    <row r="39" spans="1:80" s="65" customFormat="1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8"/>
      <c r="H39" s="197"/>
      <c r="I39" s="196"/>
      <c r="J39" s="197"/>
      <c r="K39" s="196"/>
      <c r="L39" s="197"/>
      <c r="M39" s="196"/>
      <c r="N39" s="197"/>
      <c r="O39" s="196"/>
      <c r="P39" s="197"/>
      <c r="Q39" s="196"/>
      <c r="R39" s="197"/>
      <c r="S39" s="196"/>
      <c r="T39" s="197"/>
      <c r="U39" s="196"/>
      <c r="V39" s="197"/>
      <c r="W39" s="196"/>
      <c r="X39" s="197"/>
      <c r="Y39" s="196"/>
      <c r="Z39" s="197"/>
      <c r="AA39" s="196"/>
      <c r="AB39" s="197"/>
      <c r="AC39" s="196"/>
      <c r="AD39" s="197"/>
      <c r="AE39" s="196"/>
      <c r="AF39" s="197"/>
      <c r="AG39" s="196"/>
      <c r="AH39" s="197"/>
      <c r="AI39" s="196"/>
      <c r="AJ39" s="197"/>
      <c r="AK39" s="196"/>
      <c r="AL39" s="197"/>
      <c r="AM39" s="196"/>
      <c r="AN39" s="197"/>
      <c r="AO39" s="196"/>
      <c r="AP39" s="197"/>
      <c r="AQ39" s="196"/>
      <c r="AR39" s="197"/>
      <c r="AS39" s="196"/>
      <c r="AT39" s="197"/>
      <c r="AU39" s="196"/>
      <c r="AV39" s="197"/>
      <c r="AW39" s="196"/>
      <c r="AX39" s="197"/>
      <c r="AY39" s="196"/>
      <c r="AZ39" s="197"/>
      <c r="BA39" s="196"/>
      <c r="BB39" s="197"/>
      <c r="BC39" s="196"/>
      <c r="BD39" s="197"/>
      <c r="BE39" s="196"/>
      <c r="BF39" s="197"/>
      <c r="BG39" s="196"/>
      <c r="BH39" s="197"/>
      <c r="BI39" s="196"/>
      <c r="BJ39" s="197"/>
      <c r="BK39" s="196"/>
      <c r="BL39" s="197"/>
      <c r="BM39" s="196"/>
      <c r="BN39" s="197"/>
      <c r="BO39" s="196"/>
      <c r="BP39" s="197"/>
      <c r="BQ39" s="196"/>
      <c r="BR39" s="197"/>
      <c r="BS39" s="196"/>
      <c r="BT39" s="197"/>
      <c r="BU39" s="196"/>
      <c r="BV39" s="197"/>
      <c r="BW39" s="196"/>
      <c r="BX39" s="197"/>
      <c r="BY39" s="196"/>
      <c r="BZ39" s="197"/>
      <c r="CA39" s="196"/>
      <c r="CB39" s="197"/>
    </row>
    <row r="40" spans="1:80" s="65" customFormat="1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87"/>
      <c r="H40" s="174"/>
      <c r="I40" s="173"/>
      <c r="J40" s="174"/>
      <c r="K40" s="173"/>
      <c r="L40" s="174"/>
      <c r="M40" s="173"/>
      <c r="N40" s="174"/>
      <c r="O40" s="173"/>
      <c r="P40" s="174"/>
      <c r="Q40" s="173"/>
      <c r="R40" s="174"/>
      <c r="S40" s="173"/>
      <c r="T40" s="174"/>
      <c r="U40" s="173"/>
      <c r="V40" s="174"/>
      <c r="W40" s="173"/>
      <c r="X40" s="174"/>
      <c r="Y40" s="173"/>
      <c r="Z40" s="174"/>
      <c r="AA40" s="173"/>
      <c r="AB40" s="174"/>
      <c r="AC40" s="173"/>
      <c r="AD40" s="174"/>
      <c r="AE40" s="173"/>
      <c r="AF40" s="174"/>
      <c r="AG40" s="173"/>
      <c r="AH40" s="174"/>
      <c r="AI40" s="173"/>
      <c r="AJ40" s="174"/>
      <c r="AK40" s="173"/>
      <c r="AL40" s="174"/>
      <c r="AM40" s="173"/>
      <c r="AN40" s="174"/>
      <c r="AO40" s="173"/>
      <c r="AP40" s="174"/>
      <c r="AQ40" s="173"/>
      <c r="AR40" s="174"/>
      <c r="AS40" s="173"/>
      <c r="AT40" s="174"/>
      <c r="AU40" s="173"/>
      <c r="AV40" s="174"/>
      <c r="AW40" s="173"/>
      <c r="AX40" s="174"/>
      <c r="AY40" s="173"/>
      <c r="AZ40" s="174"/>
      <c r="BA40" s="173"/>
      <c r="BB40" s="174"/>
      <c r="BC40" s="173"/>
      <c r="BD40" s="174"/>
      <c r="BE40" s="173"/>
      <c r="BF40" s="174"/>
      <c r="BG40" s="173"/>
      <c r="BH40" s="174"/>
      <c r="BI40" s="173"/>
      <c r="BJ40" s="174"/>
      <c r="BK40" s="173"/>
      <c r="BL40" s="174"/>
      <c r="BM40" s="173"/>
      <c r="BN40" s="174"/>
      <c r="BO40" s="173"/>
      <c r="BP40" s="174"/>
      <c r="BQ40" s="173"/>
      <c r="BR40" s="174"/>
      <c r="BS40" s="173"/>
      <c r="BT40" s="174"/>
      <c r="BU40" s="173"/>
      <c r="BV40" s="174"/>
      <c r="BW40" s="173"/>
      <c r="BX40" s="174"/>
      <c r="BY40" s="173"/>
      <c r="BZ40" s="174"/>
      <c r="CA40" s="173"/>
      <c r="CB40" s="174"/>
    </row>
    <row r="41" spans="1:80" s="65" customFormat="1" x14ac:dyDescent="0.25">
      <c r="A41"/>
      <c r="B41"/>
      <c r="C41"/>
      <c r="D41"/>
      <c r="E41" s="94">
        <f t="shared" ref="E41:AJ41" si="8">SUM(E4:E40)</f>
        <v>0</v>
      </c>
      <c r="F41" s="94">
        <f t="shared" si="8"/>
        <v>0</v>
      </c>
      <c r="G41" s="94">
        <f t="shared" si="8"/>
        <v>0</v>
      </c>
      <c r="H41" s="94">
        <f t="shared" si="8"/>
        <v>0</v>
      </c>
      <c r="I41" s="94">
        <f t="shared" si="8"/>
        <v>0</v>
      </c>
      <c r="J41" s="94">
        <f t="shared" si="8"/>
        <v>0</v>
      </c>
      <c r="K41" s="94">
        <f t="shared" si="8"/>
        <v>0</v>
      </c>
      <c r="L41" s="94">
        <f t="shared" si="8"/>
        <v>0</v>
      </c>
      <c r="M41" s="94">
        <f t="shared" si="8"/>
        <v>0</v>
      </c>
      <c r="N41" s="94">
        <f t="shared" si="8"/>
        <v>0</v>
      </c>
      <c r="O41" s="94">
        <f t="shared" si="8"/>
        <v>0</v>
      </c>
      <c r="P41" s="94">
        <f t="shared" si="8"/>
        <v>0</v>
      </c>
      <c r="Q41" s="94">
        <f t="shared" si="8"/>
        <v>0</v>
      </c>
      <c r="R41" s="94">
        <f t="shared" si="8"/>
        <v>0</v>
      </c>
      <c r="S41" s="94">
        <f t="shared" si="8"/>
        <v>0</v>
      </c>
      <c r="T41" s="94">
        <f t="shared" si="8"/>
        <v>0</v>
      </c>
      <c r="U41" s="94">
        <f t="shared" si="8"/>
        <v>0</v>
      </c>
      <c r="V41" s="94">
        <f t="shared" si="8"/>
        <v>0</v>
      </c>
      <c r="W41" s="94">
        <f t="shared" si="8"/>
        <v>0</v>
      </c>
      <c r="X41" s="94">
        <f t="shared" si="8"/>
        <v>0</v>
      </c>
      <c r="Y41" s="94">
        <f t="shared" si="8"/>
        <v>0</v>
      </c>
      <c r="Z41" s="94">
        <f t="shared" si="8"/>
        <v>0</v>
      </c>
      <c r="AA41" s="94">
        <f t="shared" si="8"/>
        <v>0</v>
      </c>
      <c r="AB41" s="94">
        <f t="shared" si="8"/>
        <v>0</v>
      </c>
      <c r="AC41" s="94">
        <f t="shared" si="8"/>
        <v>0</v>
      </c>
      <c r="AD41" s="94">
        <f t="shared" si="8"/>
        <v>0</v>
      </c>
      <c r="AE41" s="94">
        <f t="shared" si="8"/>
        <v>0</v>
      </c>
      <c r="AF41" s="94">
        <f t="shared" si="8"/>
        <v>0</v>
      </c>
      <c r="AG41" s="94">
        <f t="shared" si="8"/>
        <v>0</v>
      </c>
      <c r="AH41" s="94">
        <f t="shared" si="8"/>
        <v>0</v>
      </c>
      <c r="AI41" s="94">
        <f t="shared" si="8"/>
        <v>0</v>
      </c>
      <c r="AJ41" s="94">
        <f t="shared" si="8"/>
        <v>0</v>
      </c>
      <c r="AK41" s="94">
        <f t="shared" ref="AK41:BP41" si="9">SUM(AK4:AK40)</f>
        <v>0</v>
      </c>
      <c r="AL41" s="94">
        <f t="shared" si="9"/>
        <v>0</v>
      </c>
      <c r="AM41" s="94">
        <f t="shared" si="9"/>
        <v>0</v>
      </c>
      <c r="AN41" s="94">
        <f t="shared" si="9"/>
        <v>0</v>
      </c>
      <c r="AO41" s="94">
        <f t="shared" si="9"/>
        <v>0</v>
      </c>
      <c r="AP41" s="94">
        <f t="shared" si="9"/>
        <v>0</v>
      </c>
      <c r="AQ41" s="94">
        <f t="shared" si="9"/>
        <v>0</v>
      </c>
      <c r="AR41" s="94">
        <f t="shared" si="9"/>
        <v>0</v>
      </c>
      <c r="AS41" s="94">
        <f t="shared" si="9"/>
        <v>0</v>
      </c>
      <c r="AT41" s="94">
        <f t="shared" si="9"/>
        <v>0</v>
      </c>
      <c r="AU41" s="94">
        <f t="shared" si="9"/>
        <v>0</v>
      </c>
      <c r="AV41" s="94">
        <f t="shared" si="9"/>
        <v>0</v>
      </c>
      <c r="AW41" s="94">
        <f t="shared" si="9"/>
        <v>0</v>
      </c>
      <c r="AX41" s="94">
        <f t="shared" si="9"/>
        <v>0</v>
      </c>
      <c r="AY41" s="94">
        <f t="shared" si="9"/>
        <v>0</v>
      </c>
      <c r="AZ41" s="94">
        <f t="shared" si="9"/>
        <v>0</v>
      </c>
      <c r="BA41" s="94">
        <f t="shared" si="9"/>
        <v>0</v>
      </c>
      <c r="BB41" s="94">
        <f t="shared" si="9"/>
        <v>0</v>
      </c>
      <c r="BC41" s="94">
        <f t="shared" si="9"/>
        <v>0</v>
      </c>
      <c r="BD41" s="94">
        <f t="shared" si="9"/>
        <v>0</v>
      </c>
      <c r="BE41" s="94">
        <f t="shared" si="9"/>
        <v>0</v>
      </c>
      <c r="BF41" s="94">
        <f t="shared" si="9"/>
        <v>0</v>
      </c>
      <c r="BG41" s="94">
        <f t="shared" si="9"/>
        <v>0</v>
      </c>
      <c r="BH41" s="94">
        <f t="shared" si="9"/>
        <v>0</v>
      </c>
      <c r="BI41" s="94">
        <f t="shared" si="9"/>
        <v>0</v>
      </c>
      <c r="BJ41" s="94">
        <f t="shared" si="9"/>
        <v>0</v>
      </c>
      <c r="BK41" s="94">
        <f t="shared" si="9"/>
        <v>0</v>
      </c>
      <c r="BL41" s="94">
        <f t="shared" si="9"/>
        <v>0</v>
      </c>
      <c r="BM41" s="94">
        <f t="shared" si="9"/>
        <v>0</v>
      </c>
      <c r="BN41" s="94">
        <f t="shared" si="9"/>
        <v>0</v>
      </c>
      <c r="BO41" s="94">
        <f t="shared" si="9"/>
        <v>0</v>
      </c>
      <c r="BP41" s="94">
        <f t="shared" si="9"/>
        <v>0</v>
      </c>
      <c r="BQ41" s="94">
        <f t="shared" ref="BQ41:CB41" si="10">SUM(BQ4:BQ40)</f>
        <v>0</v>
      </c>
      <c r="BR41" s="94">
        <f t="shared" si="10"/>
        <v>0</v>
      </c>
      <c r="BS41" s="94">
        <f t="shared" si="10"/>
        <v>0</v>
      </c>
      <c r="BT41" s="94">
        <f t="shared" si="10"/>
        <v>0</v>
      </c>
      <c r="BU41" s="94">
        <f t="shared" si="10"/>
        <v>0</v>
      </c>
      <c r="BV41" s="94">
        <f t="shared" si="10"/>
        <v>0</v>
      </c>
      <c r="BW41" s="94">
        <f t="shared" si="10"/>
        <v>0</v>
      </c>
      <c r="BX41" s="94">
        <f t="shared" si="10"/>
        <v>0</v>
      </c>
      <c r="BY41" s="94">
        <f t="shared" si="10"/>
        <v>0</v>
      </c>
      <c r="BZ41" s="94">
        <f t="shared" si="10"/>
        <v>0</v>
      </c>
      <c r="CA41" s="94">
        <f t="shared" si="10"/>
        <v>0</v>
      </c>
      <c r="CB41" s="94">
        <f t="shared" si="10"/>
        <v>0</v>
      </c>
    </row>
  </sheetData>
  <mergeCells count="78">
    <mergeCell ref="C2:C3"/>
    <mergeCell ref="D2:D3"/>
    <mergeCell ref="BY1:BZ1"/>
    <mergeCell ref="CA1:CB1"/>
    <mergeCell ref="BO1:BP1"/>
    <mergeCell ref="BQ1:BR1"/>
    <mergeCell ref="BS1:BT1"/>
    <mergeCell ref="BU1:BV1"/>
    <mergeCell ref="BW1:BX1"/>
    <mergeCell ref="BE1:BF1"/>
    <mergeCell ref="BG1:BH1"/>
    <mergeCell ref="BI1:BJ1"/>
    <mergeCell ref="BK1:BL1"/>
    <mergeCell ref="BM1:BN1"/>
    <mergeCell ref="AU1:AV1"/>
    <mergeCell ref="AW1:AX1"/>
    <mergeCell ref="AY1:AZ1"/>
    <mergeCell ref="BA1:BB1"/>
    <mergeCell ref="BC1:BD1"/>
    <mergeCell ref="AK1:AL1"/>
    <mergeCell ref="AM1:AN1"/>
    <mergeCell ref="AO1:AP1"/>
    <mergeCell ref="AQ1:AR1"/>
    <mergeCell ref="AS1:AT1"/>
    <mergeCell ref="Y1:Z1"/>
    <mergeCell ref="AA1:AB1"/>
    <mergeCell ref="AC1:AD1"/>
    <mergeCell ref="AE1:AF1"/>
    <mergeCell ref="AI1:AJ1"/>
    <mergeCell ref="AG1:AH1"/>
    <mergeCell ref="O1:P1"/>
    <mergeCell ref="Q1:R1"/>
    <mergeCell ref="S1:T1"/>
    <mergeCell ref="U1:V1"/>
    <mergeCell ref="W1:X1"/>
    <mergeCell ref="E1:F1"/>
    <mergeCell ref="G1:H1"/>
    <mergeCell ref="I1:J1"/>
    <mergeCell ref="K1:L1"/>
    <mergeCell ref="M1:N1"/>
    <mergeCell ref="BS2:BT2"/>
    <mergeCell ref="BU2:BV2"/>
    <mergeCell ref="BW2:BX2"/>
    <mergeCell ref="BY2:BZ2"/>
    <mergeCell ref="CA2:CB2"/>
    <mergeCell ref="BQ2:BR2"/>
    <mergeCell ref="BA2:BB2"/>
    <mergeCell ref="BC2:BD2"/>
    <mergeCell ref="BE2:BF2"/>
    <mergeCell ref="AU2:AV2"/>
    <mergeCell ref="AW2:AX2"/>
    <mergeCell ref="AY2:AZ2"/>
    <mergeCell ref="BG2:BH2"/>
    <mergeCell ref="BI2:BJ2"/>
    <mergeCell ref="BK2:BL2"/>
    <mergeCell ref="BM2:BN2"/>
    <mergeCell ref="BO2:BP2"/>
    <mergeCell ref="AS2:AT2"/>
    <mergeCell ref="Y2:Z2"/>
    <mergeCell ref="AC2:AD2"/>
    <mergeCell ref="AE2:AF2"/>
    <mergeCell ref="U2:V2"/>
    <mergeCell ref="W2:X2"/>
    <mergeCell ref="AI2:AJ2"/>
    <mergeCell ref="AK2:AL2"/>
    <mergeCell ref="AM2:AN2"/>
    <mergeCell ref="AO2:AP2"/>
    <mergeCell ref="AQ2:AR2"/>
    <mergeCell ref="AA2:AB2"/>
    <mergeCell ref="AG2:AH2"/>
    <mergeCell ref="M2:N2"/>
    <mergeCell ref="O2:P2"/>
    <mergeCell ref="Q2:R2"/>
    <mergeCell ref="S2:T2"/>
    <mergeCell ref="E2:F2"/>
    <mergeCell ref="G2:H2"/>
    <mergeCell ref="I2:J2"/>
    <mergeCell ref="K2:L2"/>
  </mergeCells>
  <conditionalFormatting sqref="E4:CB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CC4:XFD41">
    <cfRule type="cellIs" dxfId="16" priority="3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H41"/>
  <sheetViews>
    <sheetView zoomScale="85" zoomScaleNormal="85" workbookViewId="0">
      <selection activeCell="E2" sqref="E2:AH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85546875" customWidth="1"/>
    <col min="5" max="6" width="5.28515625" customWidth="1"/>
    <col min="18" max="20" width="4.7109375" customWidth="1"/>
  </cols>
  <sheetData>
    <row r="1" spans="1:34" ht="15.75" thickBot="1" x14ac:dyDescent="0.3">
      <c r="C1" s="227" t="s">
        <v>98</v>
      </c>
      <c r="D1" s="227" t="s">
        <v>99</v>
      </c>
      <c r="E1" s="242" t="s">
        <v>312</v>
      </c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  <c r="U1" s="247" t="s">
        <v>291</v>
      </c>
      <c r="V1" s="247"/>
      <c r="W1" s="247"/>
      <c r="X1" s="247"/>
      <c r="Y1" s="242" t="s">
        <v>292</v>
      </c>
      <c r="Z1" s="243"/>
      <c r="AA1" s="243"/>
      <c r="AB1" s="244"/>
      <c r="AC1" s="245" t="s">
        <v>293</v>
      </c>
      <c r="AD1" s="245"/>
      <c r="AE1" s="245"/>
      <c r="AF1" s="246"/>
      <c r="AG1" s="240" t="s">
        <v>89</v>
      </c>
      <c r="AH1" s="241"/>
    </row>
    <row r="2" spans="1:34" ht="15.75" thickBot="1" x14ac:dyDescent="0.3">
      <c r="A2" s="3"/>
      <c r="B2" s="5"/>
      <c r="C2" s="228"/>
      <c r="D2" s="228"/>
      <c r="E2" s="232"/>
      <c r="F2" s="234"/>
      <c r="G2" s="248"/>
      <c r="H2" s="249"/>
      <c r="I2" s="232"/>
      <c r="J2" s="234"/>
      <c r="K2" s="232"/>
      <c r="L2" s="234"/>
      <c r="M2" s="232"/>
      <c r="N2" s="233"/>
      <c r="O2" s="232"/>
      <c r="P2" s="234"/>
      <c r="Q2" s="232"/>
      <c r="R2" s="234"/>
      <c r="S2" s="232"/>
      <c r="T2" s="234"/>
      <c r="U2" s="229"/>
      <c r="V2" s="230"/>
      <c r="W2" s="230"/>
      <c r="X2" s="231"/>
      <c r="Y2" s="232"/>
      <c r="Z2" s="233"/>
      <c r="AA2" s="233"/>
      <c r="AB2" s="234"/>
      <c r="AC2" s="235"/>
      <c r="AD2" s="236"/>
      <c r="AE2" s="236"/>
      <c r="AF2" s="237"/>
      <c r="AG2" s="238"/>
      <c r="AH2" s="239"/>
    </row>
    <row r="3" spans="1:34" ht="15.75" thickBot="1" x14ac:dyDescent="0.3">
      <c r="A3" s="3" t="s">
        <v>49</v>
      </c>
      <c r="B3" s="5" t="s">
        <v>1</v>
      </c>
      <c r="C3" s="46"/>
      <c r="D3" s="47"/>
      <c r="E3" s="148" t="s">
        <v>87</v>
      </c>
      <c r="F3" s="148" t="s">
        <v>88</v>
      </c>
      <c r="G3" s="148" t="s">
        <v>87</v>
      </c>
      <c r="H3" s="148" t="s">
        <v>88</v>
      </c>
      <c r="I3" s="148" t="s">
        <v>87</v>
      </c>
      <c r="J3" s="148" t="s">
        <v>88</v>
      </c>
      <c r="K3" s="148" t="s">
        <v>87</v>
      </c>
      <c r="L3" s="148" t="s">
        <v>88</v>
      </c>
      <c r="M3" s="148" t="s">
        <v>87</v>
      </c>
      <c r="N3" s="148" t="s">
        <v>88</v>
      </c>
      <c r="O3" s="148" t="s">
        <v>87</v>
      </c>
      <c r="P3" s="148" t="s">
        <v>88</v>
      </c>
      <c r="Q3" s="148" t="s">
        <v>87</v>
      </c>
      <c r="R3" s="148" t="s">
        <v>88</v>
      </c>
      <c r="S3" s="148" t="s">
        <v>87</v>
      </c>
      <c r="T3" s="148" t="s">
        <v>88</v>
      </c>
      <c r="U3" s="148" t="s">
        <v>87</v>
      </c>
      <c r="V3" s="148" t="s">
        <v>88</v>
      </c>
      <c r="W3" s="148" t="s">
        <v>87</v>
      </c>
      <c r="X3" s="148" t="s">
        <v>88</v>
      </c>
      <c r="Y3" s="148" t="s">
        <v>87</v>
      </c>
      <c r="Z3" s="148" t="s">
        <v>88</v>
      </c>
      <c r="AA3" s="148" t="s">
        <v>87</v>
      </c>
      <c r="AB3" s="148" t="s">
        <v>88</v>
      </c>
      <c r="AC3" s="148" t="s">
        <v>87</v>
      </c>
      <c r="AD3" s="148" t="s">
        <v>88</v>
      </c>
      <c r="AE3" s="148" t="s">
        <v>87</v>
      </c>
      <c r="AF3" s="148" t="s">
        <v>88</v>
      </c>
      <c r="AG3" s="148" t="s">
        <v>87</v>
      </c>
      <c r="AH3" s="148" t="s">
        <v>88</v>
      </c>
    </row>
    <row r="4" spans="1:34" x14ac:dyDescent="0.25">
      <c r="A4" s="27">
        <v>1</v>
      </c>
      <c r="B4" s="38" t="s">
        <v>287</v>
      </c>
      <c r="C4" s="71">
        <f>SUM(E4,G4,I4,K4,M4,Q4,S4,U4,O4,W4,Y4,AA4,AC4,AE4,AG4)</f>
        <v>0</v>
      </c>
      <c r="D4" s="71">
        <f>SUM(F4,H4,J4,L4,N4,R4,T4,V4,P4,X4,Z4,AB4,AD4,AF4,AH4)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  <c r="Q4" s="170"/>
      <c r="R4" s="171"/>
      <c r="S4" s="170"/>
      <c r="T4" s="171"/>
      <c r="U4" s="170"/>
      <c r="V4" s="171"/>
      <c r="W4" s="170"/>
      <c r="X4" s="171"/>
      <c r="Y4" s="170"/>
      <c r="Z4" s="171"/>
      <c r="AA4" s="170"/>
      <c r="AB4" s="171"/>
      <c r="AC4" s="170"/>
      <c r="AD4" s="171"/>
      <c r="AE4" s="170"/>
      <c r="AF4" s="171"/>
      <c r="AG4" s="170"/>
      <c r="AH4" s="171"/>
    </row>
    <row r="5" spans="1:34" x14ac:dyDescent="0.25">
      <c r="A5" s="27">
        <v>2</v>
      </c>
      <c r="B5" s="36" t="s">
        <v>204</v>
      </c>
      <c r="C5" s="71">
        <f t="shared" ref="C5:C17" si="0">SUM(E5,G5,I5,K5,M5,Q5,S5,U5,O5,W5,Y5,AA5,AC5,AE5,AG5)</f>
        <v>0</v>
      </c>
      <c r="D5" s="71">
        <f t="shared" ref="D5:D17" si="1">SUM(F5,H5,J5,L5,N5,R5,T5,V5,P5,X5,Z5,AB5,AD5,AF5,AH5)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  <c r="Q5" s="63"/>
      <c r="R5" s="64"/>
      <c r="S5" s="63"/>
      <c r="T5" s="64"/>
      <c r="U5" s="63"/>
      <c r="V5" s="64"/>
      <c r="W5" s="63"/>
      <c r="X5" s="64"/>
      <c r="Y5" s="63"/>
      <c r="Z5" s="64"/>
      <c r="AA5" s="63"/>
      <c r="AB5" s="64"/>
      <c r="AC5" s="63"/>
      <c r="AD5" s="64"/>
      <c r="AE5" s="63"/>
      <c r="AF5" s="64"/>
      <c r="AG5" s="63"/>
      <c r="AH5" s="64"/>
    </row>
    <row r="6" spans="1:34" x14ac:dyDescent="0.25">
      <c r="A6" s="27">
        <v>3</v>
      </c>
      <c r="B6" s="36" t="s">
        <v>326</v>
      </c>
      <c r="C6" s="71">
        <f t="shared" si="0"/>
        <v>0</v>
      </c>
      <c r="D6" s="71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  <c r="Q6" s="63"/>
      <c r="R6" s="64"/>
      <c r="S6" s="63"/>
      <c r="T6" s="64"/>
      <c r="U6" s="63"/>
      <c r="V6" s="64"/>
      <c r="W6" s="63"/>
      <c r="X6" s="64"/>
      <c r="Y6" s="63"/>
      <c r="Z6" s="64"/>
      <c r="AA6" s="63"/>
      <c r="AB6" s="64"/>
      <c r="AC6" s="63"/>
      <c r="AD6" s="64"/>
      <c r="AE6" s="63"/>
      <c r="AF6" s="64"/>
      <c r="AG6" s="63"/>
      <c r="AH6" s="64"/>
    </row>
    <row r="7" spans="1:34" x14ac:dyDescent="0.25">
      <c r="A7" s="27">
        <v>4</v>
      </c>
      <c r="B7" s="38" t="s">
        <v>229</v>
      </c>
      <c r="C7" s="71">
        <f t="shared" si="0"/>
        <v>0</v>
      </c>
      <c r="D7" s="71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  <c r="Q7" s="63"/>
      <c r="R7" s="64"/>
      <c r="S7" s="63"/>
      <c r="T7" s="64"/>
      <c r="U7" s="63"/>
      <c r="V7" s="64"/>
      <c r="W7" s="63"/>
      <c r="X7" s="64"/>
      <c r="Y7" s="63"/>
      <c r="Z7" s="64"/>
      <c r="AA7" s="63"/>
      <c r="AB7" s="64"/>
      <c r="AC7" s="63"/>
      <c r="AD7" s="64"/>
      <c r="AE7" s="63"/>
      <c r="AF7" s="64"/>
      <c r="AG7" s="63"/>
      <c r="AH7" s="64"/>
    </row>
    <row r="8" spans="1:34" x14ac:dyDescent="0.25">
      <c r="A8" s="27">
        <v>5</v>
      </c>
      <c r="B8" s="38" t="s">
        <v>328</v>
      </c>
      <c r="C8" s="71">
        <f t="shared" si="0"/>
        <v>0</v>
      </c>
      <c r="D8" s="71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  <c r="Q8" s="63"/>
      <c r="R8" s="64"/>
      <c r="S8" s="63"/>
      <c r="T8" s="64"/>
      <c r="U8" s="63"/>
      <c r="V8" s="64"/>
      <c r="W8" s="63"/>
      <c r="X8" s="64"/>
      <c r="Y8" s="63"/>
      <c r="Z8" s="64"/>
      <c r="AA8" s="63"/>
      <c r="AB8" s="64"/>
      <c r="AC8" s="63"/>
      <c r="AD8" s="64"/>
      <c r="AE8" s="63"/>
      <c r="AF8" s="64"/>
      <c r="AG8" s="63"/>
      <c r="AH8" s="64"/>
    </row>
    <row r="9" spans="1:34" x14ac:dyDescent="0.25">
      <c r="A9" s="27">
        <v>6</v>
      </c>
      <c r="B9" s="38" t="s">
        <v>206</v>
      </c>
      <c r="C9" s="71">
        <f t="shared" si="0"/>
        <v>0</v>
      </c>
      <c r="D9" s="71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  <c r="Q9" s="63"/>
      <c r="R9" s="64"/>
      <c r="S9" s="63"/>
      <c r="T9" s="64"/>
      <c r="U9" s="63"/>
      <c r="V9" s="64"/>
      <c r="W9" s="63"/>
      <c r="X9" s="64"/>
      <c r="Y9" s="63"/>
      <c r="Z9" s="64"/>
      <c r="AA9" s="63"/>
      <c r="AB9" s="64"/>
      <c r="AC9" s="63"/>
      <c r="AD9" s="64"/>
      <c r="AE9" s="63"/>
      <c r="AF9" s="64"/>
      <c r="AG9" s="63"/>
      <c r="AH9" s="64"/>
    </row>
    <row r="10" spans="1:34" x14ac:dyDescent="0.25">
      <c r="A10" s="27">
        <v>7</v>
      </c>
      <c r="B10" s="38" t="s">
        <v>188</v>
      </c>
      <c r="C10" s="71">
        <f t="shared" si="0"/>
        <v>0</v>
      </c>
      <c r="D10" s="71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  <c r="Q10" s="63"/>
      <c r="R10" s="64"/>
      <c r="S10" s="63"/>
      <c r="T10" s="64"/>
      <c r="U10" s="63"/>
      <c r="V10" s="64"/>
      <c r="W10" s="63"/>
      <c r="X10" s="64"/>
      <c r="Y10" s="63"/>
      <c r="Z10" s="64"/>
      <c r="AA10" s="63"/>
      <c r="AB10" s="64"/>
      <c r="AC10" s="63"/>
      <c r="AD10" s="64"/>
      <c r="AE10" s="63"/>
      <c r="AF10" s="64"/>
      <c r="AG10" s="63"/>
      <c r="AH10" s="64"/>
    </row>
    <row r="11" spans="1:34" x14ac:dyDescent="0.25">
      <c r="A11" s="27">
        <v>8</v>
      </c>
      <c r="B11" s="38" t="s">
        <v>227</v>
      </c>
      <c r="C11" s="71">
        <f t="shared" si="0"/>
        <v>0</v>
      </c>
      <c r="D11" s="71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  <c r="Q11" s="63"/>
      <c r="R11" s="64"/>
      <c r="S11" s="63"/>
      <c r="T11" s="64"/>
      <c r="U11" s="63"/>
      <c r="V11" s="64"/>
      <c r="W11" s="63"/>
      <c r="X11" s="64"/>
      <c r="Y11" s="63"/>
      <c r="Z11" s="64"/>
      <c r="AA11" s="63"/>
      <c r="AB11" s="64"/>
      <c r="AC11" s="63"/>
      <c r="AD11" s="64"/>
      <c r="AE11" s="63"/>
      <c r="AF11" s="64"/>
      <c r="AG11" s="63"/>
      <c r="AH11" s="64"/>
    </row>
    <row r="12" spans="1:34" x14ac:dyDescent="0.25">
      <c r="A12" s="27">
        <v>9</v>
      </c>
      <c r="B12" s="38" t="s">
        <v>268</v>
      </c>
      <c r="C12" s="71">
        <f t="shared" si="0"/>
        <v>0</v>
      </c>
      <c r="D12" s="71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  <c r="Q12" s="63"/>
      <c r="R12" s="64"/>
      <c r="S12" s="63"/>
      <c r="T12" s="64"/>
      <c r="U12" s="63"/>
      <c r="V12" s="64"/>
      <c r="W12" s="63"/>
      <c r="X12" s="64"/>
      <c r="Y12" s="63"/>
      <c r="Z12" s="64"/>
      <c r="AA12" s="63"/>
      <c r="AB12" s="64"/>
      <c r="AC12" s="63"/>
      <c r="AD12" s="64"/>
      <c r="AE12" s="63"/>
      <c r="AF12" s="64"/>
      <c r="AG12" s="63"/>
      <c r="AH12" s="64"/>
    </row>
    <row r="13" spans="1:34" x14ac:dyDescent="0.25">
      <c r="A13" s="27">
        <v>10</v>
      </c>
      <c r="B13" s="38" t="s">
        <v>329</v>
      </c>
      <c r="C13" s="71">
        <f t="shared" si="0"/>
        <v>0</v>
      </c>
      <c r="D13" s="71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  <c r="Q13" s="63"/>
      <c r="R13" s="64"/>
      <c r="S13" s="63"/>
      <c r="T13" s="64"/>
      <c r="U13" s="63"/>
      <c r="V13" s="64"/>
      <c r="W13" s="63"/>
      <c r="X13" s="64"/>
      <c r="Y13" s="63"/>
      <c r="Z13" s="64"/>
      <c r="AA13" s="63"/>
      <c r="AB13" s="64"/>
      <c r="AC13" s="63"/>
      <c r="AD13" s="64"/>
      <c r="AE13" s="63"/>
      <c r="AF13" s="64"/>
      <c r="AG13" s="63"/>
      <c r="AH13" s="64"/>
    </row>
    <row r="14" spans="1:34" x14ac:dyDescent="0.25">
      <c r="A14" s="27">
        <v>11</v>
      </c>
      <c r="B14" s="36" t="s">
        <v>196</v>
      </c>
      <c r="C14" s="71">
        <f t="shared" si="0"/>
        <v>0</v>
      </c>
      <c r="D14" s="71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  <c r="Q14" s="63"/>
      <c r="R14" s="64"/>
      <c r="S14" s="63"/>
      <c r="T14" s="64"/>
      <c r="U14" s="63"/>
      <c r="V14" s="64"/>
      <c r="W14" s="63"/>
      <c r="X14" s="64"/>
      <c r="Y14" s="63"/>
      <c r="Z14" s="64"/>
      <c r="AA14" s="63"/>
      <c r="AB14" s="64"/>
      <c r="AC14" s="63"/>
      <c r="AD14" s="64"/>
      <c r="AE14" s="63"/>
      <c r="AF14" s="64"/>
      <c r="AG14" s="63"/>
      <c r="AH14" s="64"/>
    </row>
    <row r="15" spans="1:34" x14ac:dyDescent="0.25">
      <c r="A15" s="27">
        <v>12</v>
      </c>
      <c r="B15" s="36" t="s">
        <v>285</v>
      </c>
      <c r="C15" s="71">
        <f t="shared" si="0"/>
        <v>0</v>
      </c>
      <c r="D15" s="71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  <c r="Q15" s="63"/>
      <c r="R15" s="64"/>
      <c r="S15" s="63"/>
      <c r="T15" s="64"/>
      <c r="U15" s="63"/>
      <c r="V15" s="64"/>
      <c r="W15" s="63"/>
      <c r="X15" s="64"/>
      <c r="Y15" s="63"/>
      <c r="Z15" s="64"/>
      <c r="AA15" s="63"/>
      <c r="AB15" s="64"/>
      <c r="AC15" s="63"/>
      <c r="AD15" s="64"/>
      <c r="AE15" s="63"/>
      <c r="AF15" s="64"/>
      <c r="AG15" s="63"/>
      <c r="AH15" s="64"/>
    </row>
    <row r="16" spans="1:34" x14ac:dyDescent="0.25">
      <c r="A16" s="27">
        <v>13</v>
      </c>
      <c r="B16" s="181" t="s">
        <v>322</v>
      </c>
      <c r="C16" s="71">
        <f t="shared" si="0"/>
        <v>0</v>
      </c>
      <c r="D16" s="71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  <c r="Q16" s="63"/>
      <c r="R16" s="64"/>
      <c r="S16" s="63"/>
      <c r="T16" s="64"/>
      <c r="U16" s="63"/>
      <c r="V16" s="64"/>
      <c r="W16" s="63"/>
      <c r="X16" s="64"/>
      <c r="Y16" s="63"/>
      <c r="Z16" s="64"/>
      <c r="AA16" s="63"/>
      <c r="AB16" s="64"/>
      <c r="AC16" s="63"/>
      <c r="AD16" s="64"/>
      <c r="AE16" s="63"/>
      <c r="AF16" s="64"/>
      <c r="AG16" s="63"/>
      <c r="AH16" s="64"/>
    </row>
    <row r="17" spans="1:34" x14ac:dyDescent="0.25">
      <c r="A17" s="27">
        <v>14</v>
      </c>
      <c r="B17" s="181" t="s">
        <v>327</v>
      </c>
      <c r="C17" s="71">
        <f t="shared" si="0"/>
        <v>0</v>
      </c>
      <c r="D17" s="71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  <c r="Q17" s="63"/>
      <c r="R17" s="64"/>
      <c r="S17" s="63"/>
      <c r="T17" s="64"/>
      <c r="U17" s="63"/>
      <c r="V17" s="64"/>
      <c r="W17" s="63"/>
      <c r="X17" s="64"/>
      <c r="Y17" s="63"/>
      <c r="Z17" s="64"/>
      <c r="AA17" s="63"/>
      <c r="AB17" s="64"/>
      <c r="AC17" s="63"/>
      <c r="AD17" s="64"/>
      <c r="AE17" s="63"/>
      <c r="AF17" s="64"/>
      <c r="AG17" s="63"/>
      <c r="AH17" s="64"/>
    </row>
    <row r="18" spans="1:34" x14ac:dyDescent="0.25">
      <c r="A18" s="27">
        <v>17</v>
      </c>
      <c r="B18" s="180" t="s">
        <v>353</v>
      </c>
      <c r="C18" s="71">
        <f t="shared" ref="C18:C24" si="2">SUM(E18,G18,I18,K18,M18,Q18,S18,U18,O18,W18,Y18,AA18,AC18,AE18,AG18)</f>
        <v>0</v>
      </c>
      <c r="D18" s="71">
        <f t="shared" ref="D18:D24" si="3">SUM(F18,H18,J18,L18,N18,R18,T18,V18,P18,X18,Z18,AB18,AD18,AF18,AH18)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  <c r="Q18" s="63"/>
      <c r="R18" s="64"/>
      <c r="S18" s="63"/>
      <c r="T18" s="64"/>
      <c r="U18" s="63"/>
      <c r="V18" s="64"/>
      <c r="W18" s="63"/>
      <c r="X18" s="64"/>
      <c r="Y18" s="63"/>
      <c r="Z18" s="64"/>
      <c r="AA18" s="63"/>
      <c r="AB18" s="64"/>
      <c r="AC18" s="63"/>
      <c r="AD18" s="64"/>
      <c r="AE18" s="63"/>
      <c r="AF18" s="64"/>
      <c r="AG18" s="63"/>
      <c r="AH18" s="64"/>
    </row>
    <row r="19" spans="1:34" x14ac:dyDescent="0.25">
      <c r="A19" s="27">
        <v>20</v>
      </c>
      <c r="B19" s="180" t="s">
        <v>325</v>
      </c>
      <c r="C19" s="71">
        <f t="shared" si="2"/>
        <v>0</v>
      </c>
      <c r="D19" s="71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  <c r="Q19" s="63"/>
      <c r="R19" s="64"/>
      <c r="S19" s="63"/>
      <c r="T19" s="64"/>
      <c r="U19" s="63"/>
      <c r="V19" s="64"/>
      <c r="W19" s="63"/>
      <c r="X19" s="64"/>
      <c r="Y19" s="63"/>
      <c r="Z19" s="64"/>
      <c r="AA19" s="63"/>
      <c r="AB19" s="64"/>
      <c r="AC19" s="63"/>
      <c r="AD19" s="64"/>
      <c r="AE19" s="63"/>
      <c r="AF19" s="64"/>
      <c r="AG19" s="63"/>
      <c r="AH19" s="64"/>
    </row>
    <row r="20" spans="1:34" x14ac:dyDescent="0.25">
      <c r="A20" s="27">
        <v>21</v>
      </c>
      <c r="B20" s="38" t="s">
        <v>267</v>
      </c>
      <c r="C20" s="71">
        <f t="shared" si="2"/>
        <v>0</v>
      </c>
      <c r="D20" s="71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  <c r="Q20" s="63"/>
      <c r="R20" s="64"/>
      <c r="S20" s="63"/>
      <c r="T20" s="64"/>
      <c r="U20" s="63"/>
      <c r="V20" s="64"/>
      <c r="W20" s="63"/>
      <c r="X20" s="64"/>
      <c r="Y20" s="63"/>
      <c r="Z20" s="64"/>
      <c r="AA20" s="63"/>
      <c r="AB20" s="64"/>
      <c r="AC20" s="63"/>
      <c r="AD20" s="64"/>
      <c r="AE20" s="63"/>
      <c r="AF20" s="64"/>
      <c r="AG20" s="63"/>
      <c r="AH20" s="64"/>
    </row>
    <row r="21" spans="1:34" x14ac:dyDescent="0.25">
      <c r="A21" s="28">
        <v>22</v>
      </c>
      <c r="B21" s="41" t="s">
        <v>272</v>
      </c>
      <c r="C21" s="71">
        <f t="shared" si="2"/>
        <v>0</v>
      </c>
      <c r="D21" s="71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  <c r="Q21" s="63"/>
      <c r="R21" s="64"/>
      <c r="S21" s="63"/>
      <c r="T21" s="64"/>
      <c r="U21" s="63"/>
      <c r="V21" s="64"/>
      <c r="W21" s="63"/>
      <c r="X21" s="64"/>
      <c r="Y21" s="63"/>
      <c r="Z21" s="64"/>
      <c r="AA21" s="63"/>
      <c r="AB21" s="64"/>
      <c r="AC21" s="63"/>
      <c r="AD21" s="64"/>
      <c r="AE21" s="63"/>
      <c r="AF21" s="64"/>
      <c r="AG21" s="63"/>
      <c r="AH21" s="64"/>
    </row>
    <row r="22" spans="1:34" x14ac:dyDescent="0.25">
      <c r="A22" s="27">
        <v>23</v>
      </c>
      <c r="B22" s="38" t="s">
        <v>303</v>
      </c>
      <c r="C22" s="71">
        <f t="shared" si="2"/>
        <v>0</v>
      </c>
      <c r="D22" s="71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  <c r="Q22" s="63"/>
      <c r="R22" s="64"/>
      <c r="S22" s="63"/>
      <c r="T22" s="64"/>
      <c r="U22" s="63"/>
      <c r="V22" s="64"/>
      <c r="W22" s="63"/>
      <c r="X22" s="64"/>
      <c r="Y22" s="63"/>
      <c r="Z22" s="64"/>
      <c r="AA22" s="63"/>
      <c r="AB22" s="64"/>
      <c r="AC22" s="63"/>
      <c r="AD22" s="64"/>
      <c r="AE22" s="63"/>
      <c r="AF22" s="64"/>
      <c r="AG22" s="63"/>
      <c r="AH22" s="64"/>
    </row>
    <row r="23" spans="1:34" x14ac:dyDescent="0.25">
      <c r="A23" s="28">
        <v>24</v>
      </c>
      <c r="B23" s="180" t="s">
        <v>121</v>
      </c>
      <c r="C23" s="71">
        <f t="shared" si="2"/>
        <v>0</v>
      </c>
      <c r="D23" s="71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  <c r="Q23" s="63"/>
      <c r="R23" s="64"/>
      <c r="S23" s="63"/>
      <c r="T23" s="64"/>
      <c r="U23" s="63"/>
      <c r="V23" s="64"/>
      <c r="W23" s="63"/>
      <c r="X23" s="64"/>
      <c r="Y23" s="63"/>
      <c r="Z23" s="64"/>
      <c r="AA23" s="63"/>
      <c r="AB23" s="64"/>
      <c r="AC23" s="63"/>
      <c r="AD23" s="64"/>
      <c r="AE23" s="63"/>
      <c r="AF23" s="64"/>
      <c r="AG23" s="63"/>
      <c r="AH23" s="64"/>
    </row>
    <row r="24" spans="1:34" x14ac:dyDescent="0.25">
      <c r="A24" s="28">
        <v>29</v>
      </c>
      <c r="B24" s="180" t="s">
        <v>284</v>
      </c>
      <c r="C24" s="71">
        <f t="shared" si="2"/>
        <v>0</v>
      </c>
      <c r="D24" s="71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  <c r="Q24" s="63"/>
      <c r="R24" s="64"/>
      <c r="S24" s="63"/>
      <c r="T24" s="64"/>
      <c r="U24" s="63"/>
      <c r="V24" s="64"/>
      <c r="W24" s="63"/>
      <c r="X24" s="64"/>
      <c r="Y24" s="63"/>
      <c r="Z24" s="64"/>
      <c r="AA24" s="63"/>
      <c r="AB24" s="64"/>
      <c r="AC24" s="63"/>
      <c r="AD24" s="64"/>
      <c r="AE24" s="63"/>
      <c r="AF24" s="64"/>
      <c r="AG24" s="63"/>
      <c r="AH24" s="64"/>
    </row>
    <row r="25" spans="1:34" x14ac:dyDescent="0.25">
      <c r="A25" s="28">
        <v>30</v>
      </c>
      <c r="B25" s="180" t="s">
        <v>354</v>
      </c>
      <c r="C25" s="71">
        <f t="shared" ref="C25:C40" si="4">SUM(E25,G25,I25,K25,M25,Q25,S25,U25,O25,W25,Y25,AA25,AC25,AE25,AG25)</f>
        <v>0</v>
      </c>
      <c r="D25" s="71">
        <f t="shared" ref="D25:D40" si="5">SUM(F25,H25,J25,L25,N25,R25,T25,V25,P25,X25,Z25,AB25,AD25,AF25,AH25)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  <c r="Q25" s="63"/>
      <c r="R25" s="64"/>
      <c r="S25" s="63"/>
      <c r="T25" s="64"/>
      <c r="U25" s="63"/>
      <c r="V25" s="64"/>
      <c r="W25" s="63"/>
      <c r="X25" s="64"/>
      <c r="Y25" s="63"/>
      <c r="Z25" s="64"/>
      <c r="AA25" s="63"/>
      <c r="AB25" s="64"/>
      <c r="AC25" s="63"/>
      <c r="AD25" s="64"/>
      <c r="AE25" s="63"/>
      <c r="AF25" s="64"/>
      <c r="AG25" s="63"/>
      <c r="AH25" s="64"/>
    </row>
    <row r="26" spans="1:34" x14ac:dyDescent="0.25">
      <c r="A26" s="28">
        <v>33</v>
      </c>
      <c r="B26" s="180" t="s">
        <v>301</v>
      </c>
      <c r="C26" s="71">
        <f t="shared" si="4"/>
        <v>0</v>
      </c>
      <c r="D26" s="71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  <c r="Q26" s="63"/>
      <c r="R26" s="64"/>
      <c r="S26" s="63"/>
      <c r="T26" s="64"/>
      <c r="U26" s="63"/>
      <c r="V26" s="64"/>
      <c r="W26" s="63"/>
      <c r="X26" s="64"/>
      <c r="Y26" s="63"/>
      <c r="Z26" s="64"/>
      <c r="AA26" s="63"/>
      <c r="AB26" s="64"/>
      <c r="AC26" s="63"/>
      <c r="AD26" s="64"/>
      <c r="AE26" s="63"/>
      <c r="AF26" s="64"/>
      <c r="AG26" s="63"/>
      <c r="AH26" s="64"/>
    </row>
    <row r="27" spans="1:34" x14ac:dyDescent="0.25">
      <c r="A27" s="28">
        <v>35</v>
      </c>
      <c r="B27" s="180" t="s">
        <v>313</v>
      </c>
      <c r="C27" s="71">
        <f t="shared" si="4"/>
        <v>0</v>
      </c>
      <c r="D27" s="71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  <c r="Q27" s="63"/>
      <c r="R27" s="64"/>
      <c r="S27" s="63"/>
      <c r="T27" s="64"/>
      <c r="U27" s="63"/>
      <c r="V27" s="64"/>
      <c r="W27" s="63"/>
      <c r="X27" s="64"/>
      <c r="Y27" s="63"/>
      <c r="Z27" s="64"/>
      <c r="AA27" s="63"/>
      <c r="AB27" s="64"/>
      <c r="AC27" s="63"/>
      <c r="AD27" s="64"/>
      <c r="AE27" s="63"/>
      <c r="AF27" s="64"/>
      <c r="AG27" s="63"/>
      <c r="AH27" s="64"/>
    </row>
    <row r="28" spans="1:34" x14ac:dyDescent="0.25">
      <c r="A28" s="28">
        <v>36</v>
      </c>
      <c r="B28" s="180" t="s">
        <v>323</v>
      </c>
      <c r="C28" s="71">
        <f t="shared" si="4"/>
        <v>0</v>
      </c>
      <c r="D28" s="71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  <c r="Q28" s="63"/>
      <c r="R28" s="64"/>
      <c r="S28" s="63"/>
      <c r="T28" s="64"/>
      <c r="U28" s="63"/>
      <c r="V28" s="64"/>
      <c r="W28" s="63"/>
      <c r="X28" s="64"/>
      <c r="Y28" s="63"/>
      <c r="Z28" s="64"/>
      <c r="AA28" s="63"/>
      <c r="AB28" s="64"/>
      <c r="AC28" s="63"/>
      <c r="AD28" s="64"/>
      <c r="AE28" s="63"/>
      <c r="AF28" s="64"/>
      <c r="AG28" s="63"/>
      <c r="AH28" s="64"/>
    </row>
    <row r="29" spans="1:34" x14ac:dyDescent="0.25">
      <c r="A29" s="28">
        <v>39</v>
      </c>
      <c r="B29" s="180" t="s">
        <v>355</v>
      </c>
      <c r="C29" s="71">
        <f t="shared" ref="C29" si="6">SUM(E29,G29,I29,K29,M29,Q29,S29,U29,O29,W29,Y29,AA29,AC29,AE29,AG29)</f>
        <v>0</v>
      </c>
      <c r="D29" s="71">
        <f t="shared" ref="D29" si="7">SUM(F29,H29,J29,L29,N29,R29,T29,V29,P29,X29,Z29,AB29,AD29,AF29,AH29)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  <c r="Q29" s="63"/>
      <c r="R29" s="64"/>
      <c r="S29" s="63"/>
      <c r="T29" s="64"/>
      <c r="U29" s="63"/>
      <c r="V29" s="64"/>
      <c r="W29" s="63"/>
      <c r="X29" s="64"/>
      <c r="Y29" s="63"/>
      <c r="Z29" s="64"/>
      <c r="AA29" s="63"/>
      <c r="AB29" s="64"/>
      <c r="AC29" s="63"/>
      <c r="AD29" s="64"/>
      <c r="AE29" s="63"/>
      <c r="AF29" s="64"/>
      <c r="AG29" s="63"/>
      <c r="AH29" s="64"/>
    </row>
    <row r="30" spans="1:34" x14ac:dyDescent="0.25">
      <c r="A30" s="27">
        <v>41</v>
      </c>
      <c r="B30" s="36" t="s">
        <v>286</v>
      </c>
      <c r="C30" s="71">
        <f t="shared" si="4"/>
        <v>0</v>
      </c>
      <c r="D30" s="71">
        <f t="shared" si="5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  <c r="Q30" s="63"/>
      <c r="R30" s="64"/>
      <c r="S30" s="63"/>
      <c r="T30" s="64"/>
      <c r="U30" s="63"/>
      <c r="V30" s="64"/>
      <c r="W30" s="63"/>
      <c r="X30" s="64"/>
      <c r="Y30" s="63"/>
      <c r="Z30" s="64"/>
      <c r="AA30" s="63"/>
      <c r="AB30" s="64"/>
      <c r="AC30" s="63"/>
      <c r="AD30" s="64"/>
      <c r="AE30" s="63"/>
      <c r="AF30" s="64"/>
      <c r="AG30" s="63"/>
      <c r="AH30" s="64"/>
    </row>
    <row r="31" spans="1:34" x14ac:dyDescent="0.25">
      <c r="A31" s="27">
        <v>46</v>
      </c>
      <c r="B31" s="35" t="s">
        <v>308</v>
      </c>
      <c r="C31" s="71">
        <f t="shared" si="4"/>
        <v>0</v>
      </c>
      <c r="D31" s="71">
        <f t="shared" si="5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  <c r="Q31" s="63"/>
      <c r="R31" s="64"/>
      <c r="S31" s="63"/>
      <c r="T31" s="64"/>
      <c r="U31" s="63"/>
      <c r="V31" s="64"/>
      <c r="W31" s="63"/>
      <c r="X31" s="64"/>
      <c r="Y31" s="63"/>
      <c r="Z31" s="64"/>
      <c r="AA31" s="63"/>
      <c r="AB31" s="64"/>
      <c r="AC31" s="63"/>
      <c r="AD31" s="64"/>
      <c r="AE31" s="63"/>
      <c r="AF31" s="64"/>
      <c r="AG31" s="63"/>
      <c r="AH31" s="64"/>
    </row>
    <row r="32" spans="1:34" x14ac:dyDescent="0.25">
      <c r="A32" s="27">
        <v>49</v>
      </c>
      <c r="B32" s="36" t="s">
        <v>307</v>
      </c>
      <c r="C32" s="71">
        <f t="shared" si="4"/>
        <v>0</v>
      </c>
      <c r="D32" s="71">
        <f t="shared" si="5"/>
        <v>0</v>
      </c>
      <c r="E32" s="58"/>
      <c r="F32" s="59"/>
      <c r="G32" s="58"/>
      <c r="H32" s="59"/>
      <c r="I32" s="58"/>
      <c r="J32" s="59"/>
      <c r="K32" s="58"/>
      <c r="L32" s="59"/>
      <c r="M32" s="58"/>
      <c r="N32" s="59"/>
      <c r="O32" s="58"/>
      <c r="P32" s="59"/>
      <c r="Q32" s="58"/>
      <c r="R32" s="59"/>
      <c r="S32" s="58"/>
      <c r="T32" s="59"/>
      <c r="U32" s="58"/>
      <c r="V32" s="59"/>
      <c r="W32" s="58"/>
      <c r="X32" s="59"/>
      <c r="Y32" s="58"/>
      <c r="Z32" s="59"/>
      <c r="AA32" s="58"/>
      <c r="AB32" s="59"/>
      <c r="AC32" s="58"/>
      <c r="AD32" s="59"/>
      <c r="AE32" s="58"/>
      <c r="AF32" s="59"/>
      <c r="AG32" s="58"/>
      <c r="AH32" s="59"/>
    </row>
    <row r="33" spans="1:34" x14ac:dyDescent="0.25">
      <c r="A33" s="27">
        <v>52</v>
      </c>
      <c r="B33" s="181" t="s">
        <v>351</v>
      </c>
      <c r="C33" s="71">
        <f t="shared" si="4"/>
        <v>0</v>
      </c>
      <c r="D33" s="71">
        <f t="shared" si="5"/>
        <v>0</v>
      </c>
      <c r="E33" s="58"/>
      <c r="F33" s="59"/>
      <c r="G33" s="58"/>
      <c r="H33" s="59"/>
      <c r="I33" s="58"/>
      <c r="J33" s="59"/>
      <c r="K33" s="58"/>
      <c r="L33" s="59"/>
      <c r="M33" s="58"/>
      <c r="N33" s="59"/>
      <c r="O33" s="58"/>
      <c r="P33" s="59"/>
      <c r="Q33" s="58"/>
      <c r="R33" s="59"/>
      <c r="S33" s="58"/>
      <c r="T33" s="59"/>
      <c r="U33" s="58"/>
      <c r="V33" s="59"/>
      <c r="W33" s="58"/>
      <c r="X33" s="59"/>
      <c r="Y33" s="58"/>
      <c r="Z33" s="59"/>
      <c r="AA33" s="58"/>
      <c r="AB33" s="59"/>
      <c r="AC33" s="58"/>
      <c r="AD33" s="59"/>
      <c r="AE33" s="58"/>
      <c r="AF33" s="59"/>
      <c r="AG33" s="58"/>
      <c r="AH33" s="59"/>
    </row>
    <row r="34" spans="1:34" x14ac:dyDescent="0.25">
      <c r="A34" s="28">
        <v>53</v>
      </c>
      <c r="B34" s="180" t="s">
        <v>302</v>
      </c>
      <c r="C34" s="71">
        <f t="shared" si="4"/>
        <v>0</v>
      </c>
      <c r="D34" s="71">
        <f t="shared" si="5"/>
        <v>0</v>
      </c>
      <c r="E34" s="58"/>
      <c r="F34" s="59"/>
      <c r="G34" s="58"/>
      <c r="H34" s="59"/>
      <c r="I34" s="58"/>
      <c r="J34" s="59"/>
      <c r="K34" s="58"/>
      <c r="L34" s="59"/>
      <c r="M34" s="58"/>
      <c r="N34" s="59"/>
      <c r="O34" s="58"/>
      <c r="P34" s="59"/>
      <c r="Q34" s="58"/>
      <c r="R34" s="59"/>
      <c r="S34" s="58"/>
      <c r="T34" s="59"/>
      <c r="U34" s="58"/>
      <c r="V34" s="59"/>
      <c r="W34" s="58"/>
      <c r="X34" s="59"/>
      <c r="Y34" s="58"/>
      <c r="Z34" s="59"/>
      <c r="AA34" s="58"/>
      <c r="AB34" s="59"/>
      <c r="AC34" s="58"/>
      <c r="AD34" s="59"/>
      <c r="AE34" s="58"/>
      <c r="AF34" s="59"/>
      <c r="AG34" s="58"/>
      <c r="AH34" s="59"/>
    </row>
    <row r="35" spans="1:34" x14ac:dyDescent="0.25">
      <c r="A35" s="27">
        <v>56</v>
      </c>
      <c r="B35" s="181" t="s">
        <v>332</v>
      </c>
      <c r="C35" s="71">
        <f t="shared" si="4"/>
        <v>0</v>
      </c>
      <c r="D35" s="71">
        <f t="shared" si="5"/>
        <v>0</v>
      </c>
      <c r="E35" s="58"/>
      <c r="F35" s="59"/>
      <c r="G35" s="58"/>
      <c r="H35" s="59"/>
      <c r="I35" s="58"/>
      <c r="J35" s="59"/>
      <c r="K35" s="58"/>
      <c r="L35" s="59"/>
      <c r="M35" s="58"/>
      <c r="N35" s="59"/>
      <c r="O35" s="58"/>
      <c r="P35" s="59"/>
      <c r="Q35" s="58"/>
      <c r="R35" s="59"/>
      <c r="S35" s="58"/>
      <c r="T35" s="59"/>
      <c r="U35" s="58"/>
      <c r="V35" s="59"/>
      <c r="W35" s="58"/>
      <c r="X35" s="59"/>
      <c r="Y35" s="58"/>
      <c r="Z35" s="59"/>
      <c r="AA35" s="58"/>
      <c r="AB35" s="59"/>
      <c r="AC35" s="58"/>
      <c r="AD35" s="59"/>
      <c r="AE35" s="58"/>
      <c r="AF35" s="59"/>
      <c r="AG35" s="58"/>
      <c r="AH35" s="59"/>
    </row>
    <row r="36" spans="1:34" x14ac:dyDescent="0.25">
      <c r="A36" s="28">
        <v>71</v>
      </c>
      <c r="B36" s="180" t="s">
        <v>337</v>
      </c>
      <c r="C36" s="71">
        <f t="shared" si="4"/>
        <v>0</v>
      </c>
      <c r="D36" s="71">
        <f t="shared" si="5"/>
        <v>0</v>
      </c>
      <c r="E36" s="194"/>
      <c r="F36" s="195"/>
      <c r="G36" s="194"/>
      <c r="H36" s="195"/>
      <c r="I36" s="194"/>
      <c r="J36" s="195"/>
      <c r="K36" s="194"/>
      <c r="L36" s="195"/>
      <c r="M36" s="194"/>
      <c r="N36" s="195"/>
      <c r="O36" s="194"/>
      <c r="P36" s="195"/>
      <c r="Q36" s="194"/>
      <c r="R36" s="195"/>
      <c r="S36" s="194"/>
      <c r="T36" s="195"/>
      <c r="U36" s="194"/>
      <c r="V36" s="195"/>
      <c r="W36" s="194"/>
      <c r="X36" s="195"/>
      <c r="Y36" s="194"/>
      <c r="Z36" s="195"/>
      <c r="AA36" s="194"/>
      <c r="AB36" s="195"/>
      <c r="AC36" s="194"/>
      <c r="AD36" s="195"/>
      <c r="AE36" s="194"/>
      <c r="AF36" s="195"/>
      <c r="AG36" s="194"/>
      <c r="AH36" s="195"/>
    </row>
    <row r="37" spans="1:34" x14ac:dyDescent="0.25">
      <c r="A37" s="28">
        <v>72</v>
      </c>
      <c r="B37" s="180" t="s">
        <v>348</v>
      </c>
      <c r="C37" s="71">
        <f t="shared" si="4"/>
        <v>0</v>
      </c>
      <c r="D37" s="71">
        <f t="shared" si="5"/>
        <v>0</v>
      </c>
      <c r="E37" s="194"/>
      <c r="F37" s="195"/>
      <c r="G37" s="194"/>
      <c r="H37" s="195"/>
      <c r="I37" s="194"/>
      <c r="J37" s="195"/>
      <c r="K37" s="194"/>
      <c r="L37" s="195"/>
      <c r="M37" s="194"/>
      <c r="N37" s="195"/>
      <c r="O37" s="194"/>
      <c r="P37" s="195"/>
      <c r="Q37" s="194"/>
      <c r="R37" s="195"/>
      <c r="S37" s="194"/>
      <c r="T37" s="195"/>
      <c r="U37" s="194"/>
      <c r="V37" s="195"/>
      <c r="W37" s="194"/>
      <c r="X37" s="195"/>
      <c r="Y37" s="194"/>
      <c r="Z37" s="195"/>
      <c r="AA37" s="194"/>
      <c r="AB37" s="195"/>
      <c r="AC37" s="194"/>
      <c r="AD37" s="195"/>
      <c r="AE37" s="194"/>
      <c r="AF37" s="195"/>
      <c r="AG37" s="194"/>
      <c r="AH37" s="195"/>
    </row>
    <row r="38" spans="1:34" x14ac:dyDescent="0.25">
      <c r="A38" s="28">
        <v>81</v>
      </c>
      <c r="B38" s="180" t="s">
        <v>349</v>
      </c>
      <c r="C38" s="71">
        <f t="shared" si="4"/>
        <v>0</v>
      </c>
      <c r="D38" s="71">
        <f t="shared" si="5"/>
        <v>0</v>
      </c>
      <c r="E38" s="194"/>
      <c r="F38" s="195"/>
      <c r="G38" s="194"/>
      <c r="H38" s="195"/>
      <c r="I38" s="194"/>
      <c r="J38" s="195"/>
      <c r="K38" s="194"/>
      <c r="L38" s="195"/>
      <c r="M38" s="194"/>
      <c r="N38" s="195"/>
      <c r="O38" s="194"/>
      <c r="P38" s="195"/>
      <c r="Q38" s="194"/>
      <c r="R38" s="195"/>
      <c r="S38" s="194"/>
      <c r="T38" s="195"/>
      <c r="U38" s="194"/>
      <c r="V38" s="195"/>
      <c r="W38" s="194"/>
      <c r="X38" s="195"/>
      <c r="Y38" s="194"/>
      <c r="Z38" s="195"/>
      <c r="AA38" s="194"/>
      <c r="AB38" s="195"/>
      <c r="AC38" s="194"/>
      <c r="AD38" s="195"/>
      <c r="AE38" s="194"/>
      <c r="AF38" s="195"/>
      <c r="AG38" s="194"/>
      <c r="AH38" s="195"/>
    </row>
    <row r="39" spans="1:34" x14ac:dyDescent="0.25">
      <c r="A39" s="28">
        <v>89</v>
      </c>
      <c r="B39" s="180" t="s">
        <v>343</v>
      </c>
      <c r="C39" s="71">
        <f t="shared" si="4"/>
        <v>0</v>
      </c>
      <c r="D39" s="71">
        <f t="shared" si="5"/>
        <v>0</v>
      </c>
      <c r="E39" s="194"/>
      <c r="F39" s="195"/>
      <c r="G39" s="194"/>
      <c r="H39" s="195"/>
      <c r="I39" s="194"/>
      <c r="J39" s="195"/>
      <c r="K39" s="194"/>
      <c r="L39" s="195"/>
      <c r="M39" s="194"/>
      <c r="N39" s="195"/>
      <c r="O39" s="194"/>
      <c r="P39" s="195"/>
      <c r="Q39" s="194"/>
      <c r="R39" s="195"/>
      <c r="S39" s="194"/>
      <c r="T39" s="195"/>
      <c r="U39" s="194"/>
      <c r="V39" s="195"/>
      <c r="W39" s="194"/>
      <c r="X39" s="195"/>
      <c r="Y39" s="194"/>
      <c r="Z39" s="195"/>
      <c r="AA39" s="194"/>
      <c r="AB39" s="195"/>
      <c r="AC39" s="194"/>
      <c r="AD39" s="195"/>
      <c r="AE39" s="194"/>
      <c r="AF39" s="195"/>
      <c r="AG39" s="194"/>
      <c r="AH39" s="195"/>
    </row>
    <row r="40" spans="1:34" ht="15.75" thickBot="1" x14ac:dyDescent="0.3">
      <c r="A40" s="28">
        <v>92</v>
      </c>
      <c r="B40" s="38" t="s">
        <v>311</v>
      </c>
      <c r="C40" s="71">
        <f t="shared" si="4"/>
        <v>0</v>
      </c>
      <c r="D40" s="71">
        <f t="shared" si="5"/>
        <v>0</v>
      </c>
      <c r="E40" s="194"/>
      <c r="F40" s="195"/>
      <c r="G40" s="194"/>
      <c r="H40" s="195"/>
      <c r="I40" s="194"/>
      <c r="J40" s="195"/>
      <c r="K40" s="194"/>
      <c r="L40" s="195"/>
      <c r="M40" s="194"/>
      <c r="N40" s="195"/>
      <c r="O40" s="194"/>
      <c r="P40" s="195"/>
      <c r="Q40" s="194"/>
      <c r="R40" s="195"/>
      <c r="S40" s="194"/>
      <c r="T40" s="195"/>
      <c r="U40" s="194"/>
      <c r="V40" s="195"/>
      <c r="W40" s="194"/>
      <c r="X40" s="195"/>
      <c r="Y40" s="194"/>
      <c r="Z40" s="195"/>
      <c r="AA40" s="194"/>
      <c r="AB40" s="195"/>
      <c r="AC40" s="194"/>
      <c r="AD40" s="195"/>
      <c r="AE40" s="194"/>
      <c r="AF40" s="195"/>
      <c r="AG40" s="194"/>
      <c r="AH40" s="195"/>
    </row>
    <row r="41" spans="1:34" ht="15.75" thickBot="1" x14ac:dyDescent="0.3">
      <c r="E41" s="34">
        <f>SUM(E4:E40)</f>
        <v>0</v>
      </c>
      <c r="F41" s="34">
        <f t="shared" ref="F41:AH41" si="8">SUM(F4:F40)</f>
        <v>0</v>
      </c>
      <c r="G41" s="34">
        <f t="shared" si="8"/>
        <v>0</v>
      </c>
      <c r="H41" s="34">
        <f t="shared" si="8"/>
        <v>0</v>
      </c>
      <c r="I41" s="34">
        <f t="shared" si="8"/>
        <v>0</v>
      </c>
      <c r="J41" s="34">
        <f t="shared" si="8"/>
        <v>0</v>
      </c>
      <c r="K41" s="34">
        <f t="shared" si="8"/>
        <v>0</v>
      </c>
      <c r="L41" s="34">
        <f t="shared" si="8"/>
        <v>0</v>
      </c>
      <c r="M41" s="34">
        <f t="shared" si="8"/>
        <v>0</v>
      </c>
      <c r="N41" s="34">
        <f t="shared" si="8"/>
        <v>0</v>
      </c>
      <c r="O41" s="34">
        <f t="shared" si="8"/>
        <v>0</v>
      </c>
      <c r="P41" s="34">
        <f t="shared" si="8"/>
        <v>0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</row>
  </sheetData>
  <mergeCells count="19">
    <mergeCell ref="K2:L2"/>
    <mergeCell ref="M2:N2"/>
    <mergeCell ref="O2:P2"/>
    <mergeCell ref="S2:T2"/>
    <mergeCell ref="E1:T1"/>
    <mergeCell ref="Q2:R2"/>
    <mergeCell ref="C1:C2"/>
    <mergeCell ref="D1:D2"/>
    <mergeCell ref="E2:F2"/>
    <mergeCell ref="G2:H2"/>
    <mergeCell ref="I2:J2"/>
    <mergeCell ref="U2:X2"/>
    <mergeCell ref="Y2:AB2"/>
    <mergeCell ref="AC2:AF2"/>
    <mergeCell ref="AG2:AH2"/>
    <mergeCell ref="AG1:AH1"/>
    <mergeCell ref="Y1:AB1"/>
    <mergeCell ref="AC1:AF1"/>
    <mergeCell ref="U1:X1"/>
  </mergeCells>
  <conditionalFormatting sqref="E4:AH31">
    <cfRule type="cellIs" dxfId="15" priority="1" operator="equal">
      <formula>1</formula>
    </cfRule>
  </conditionalFormatting>
  <conditionalFormatting sqref="E4:AH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P41"/>
  <sheetViews>
    <sheetView zoomScale="85" zoomScaleNormal="85" zoomScalePageLayoutView="130" workbookViewId="0">
      <selection activeCell="Y28" sqref="Y28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4" width="5.7109375" customWidth="1"/>
    <col min="5" max="5" width="4.7109375" customWidth="1"/>
    <col min="6" max="6" width="4.42578125" customWidth="1"/>
    <col min="19" max="19" width="8" bestFit="1" customWidth="1"/>
  </cols>
  <sheetData>
    <row r="1" spans="1:16" ht="15.75" thickBot="1" x14ac:dyDescent="0.3">
      <c r="C1" s="227" t="s">
        <v>98</v>
      </c>
      <c r="D1" s="227" t="s">
        <v>99</v>
      </c>
      <c r="E1" s="264" t="s">
        <v>91</v>
      </c>
      <c r="F1" s="264"/>
      <c r="G1" s="265" t="s">
        <v>92</v>
      </c>
      <c r="H1" s="265"/>
      <c r="I1" s="266" t="s">
        <v>93</v>
      </c>
      <c r="J1" s="267"/>
      <c r="K1" s="268" t="s">
        <v>207</v>
      </c>
      <c r="L1" s="269"/>
      <c r="M1" s="254" t="s">
        <v>208</v>
      </c>
      <c r="N1" s="255"/>
      <c r="O1" s="250" t="s">
        <v>90</v>
      </c>
      <c r="P1" s="251"/>
    </row>
    <row r="2" spans="1:16" ht="15.75" thickBot="1" x14ac:dyDescent="0.3">
      <c r="A2" s="3"/>
      <c r="B2" s="5"/>
      <c r="C2" s="228"/>
      <c r="D2" s="228"/>
      <c r="E2" s="256"/>
      <c r="F2" s="257"/>
      <c r="G2" s="258"/>
      <c r="H2" s="259"/>
      <c r="I2" s="260"/>
      <c r="J2" s="261"/>
      <c r="K2" s="262"/>
      <c r="L2" s="263"/>
      <c r="M2" s="233"/>
      <c r="N2" s="233"/>
      <c r="O2" s="252"/>
      <c r="P2" s="253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2" t="s">
        <v>88</v>
      </c>
      <c r="G3" s="188" t="s">
        <v>87</v>
      </c>
      <c r="H3" s="188" t="s">
        <v>88</v>
      </c>
      <c r="I3" s="189" t="s">
        <v>87</v>
      </c>
      <c r="J3" s="189" t="s">
        <v>88</v>
      </c>
      <c r="K3" s="190" t="s">
        <v>87</v>
      </c>
      <c r="L3" s="190" t="s">
        <v>88</v>
      </c>
      <c r="M3" s="191" t="s">
        <v>87</v>
      </c>
      <c r="N3" s="179" t="s">
        <v>88</v>
      </c>
      <c r="O3" s="192" t="s">
        <v>87</v>
      </c>
      <c r="P3" s="192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28" si="4">SUM(E25,G25,I25,K25,M25,O25)</f>
        <v>0</v>
      </c>
      <c r="D25" s="62">
        <f t="shared" ref="D25:D28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40" si="6">SUM(E29,G29,I29,K29,M29,O29)</f>
        <v>0</v>
      </c>
      <c r="D29" s="62">
        <f t="shared" ref="D29:D40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6"/>
        <v>0</v>
      </c>
      <c r="D38" s="62">
        <f t="shared" si="7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6"/>
        <v>0</v>
      </c>
      <c r="D39" s="62">
        <f t="shared" si="7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6"/>
        <v>0</v>
      </c>
      <c r="D40" s="62">
        <f t="shared" si="7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x14ac:dyDescent="0.25">
      <c r="E41" s="72">
        <f t="shared" ref="E41:O41" si="8">SUM(E4:E40)</f>
        <v>0</v>
      </c>
      <c r="F41" s="72">
        <f t="shared" si="8"/>
        <v>0</v>
      </c>
      <c r="G41" s="72">
        <f t="shared" si="8"/>
        <v>0</v>
      </c>
      <c r="H41" s="72">
        <f t="shared" si="8"/>
        <v>0</v>
      </c>
      <c r="I41" s="72">
        <f t="shared" si="8"/>
        <v>0</v>
      </c>
      <c r="J41" s="72">
        <f t="shared" si="8"/>
        <v>0</v>
      </c>
      <c r="K41" s="72">
        <f t="shared" si="8"/>
        <v>0</v>
      </c>
      <c r="L41" s="72">
        <f t="shared" si="8"/>
        <v>0</v>
      </c>
      <c r="M41" s="72">
        <f t="shared" si="8"/>
        <v>0</v>
      </c>
      <c r="N41" s="72">
        <f t="shared" si="8"/>
        <v>0</v>
      </c>
      <c r="O41" s="72">
        <f t="shared" si="8"/>
        <v>0</v>
      </c>
      <c r="P41" s="72">
        <f t="shared" ref="P41" si="9">SUM(P4:P40)</f>
        <v>0</v>
      </c>
    </row>
  </sheetData>
  <mergeCells count="14">
    <mergeCell ref="O1:P1"/>
    <mergeCell ref="O2:P2"/>
    <mergeCell ref="C1:C2"/>
    <mergeCell ref="D1:D2"/>
    <mergeCell ref="M1:N1"/>
    <mergeCell ref="E2:F2"/>
    <mergeCell ref="G2:H2"/>
    <mergeCell ref="I2:J2"/>
    <mergeCell ref="K2:L2"/>
    <mergeCell ref="M2:N2"/>
    <mergeCell ref="E1:F1"/>
    <mergeCell ref="G1:H1"/>
    <mergeCell ref="I1:J1"/>
    <mergeCell ref="K1:L1"/>
  </mergeCells>
  <conditionalFormatting sqref="E4:P31">
    <cfRule type="cellIs" dxfId="13" priority="1" operator="equal">
      <formula>1</formula>
    </cfRule>
  </conditionalFormatting>
  <conditionalFormatting sqref="E4:P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P41"/>
  <sheetViews>
    <sheetView zoomScale="83" zoomScaleNormal="85" workbookViewId="0">
      <selection activeCell="AA19" sqref="AA19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16" ht="15.75" thickBot="1" x14ac:dyDescent="0.3">
      <c r="C1" s="227" t="s">
        <v>98</v>
      </c>
      <c r="D1" s="227" t="s">
        <v>99</v>
      </c>
      <c r="E1" s="279" t="s">
        <v>91</v>
      </c>
      <c r="F1" s="280"/>
      <c r="G1" s="281" t="s">
        <v>92</v>
      </c>
      <c r="H1" s="282"/>
      <c r="I1" s="283" t="s">
        <v>207</v>
      </c>
      <c r="J1" s="284"/>
      <c r="K1" s="287" t="s">
        <v>208</v>
      </c>
      <c r="L1" s="288"/>
      <c r="M1" s="288"/>
      <c r="N1" s="289"/>
      <c r="O1" s="285" t="s">
        <v>316</v>
      </c>
      <c r="P1" s="286"/>
    </row>
    <row r="2" spans="1:16" ht="15.75" thickBot="1" x14ac:dyDescent="0.3">
      <c r="A2" s="3"/>
      <c r="B2" s="17"/>
      <c r="C2" s="228"/>
      <c r="D2" s="228"/>
      <c r="E2" s="270"/>
      <c r="F2" s="271"/>
      <c r="G2" s="272"/>
      <c r="H2" s="273"/>
      <c r="I2" s="274"/>
      <c r="J2" s="275"/>
      <c r="K2" s="276"/>
      <c r="L2" s="277"/>
      <c r="M2" s="276"/>
      <c r="N2" s="277"/>
      <c r="O2" s="276"/>
      <c r="P2" s="278"/>
    </row>
    <row r="3" spans="1:16" ht="15.75" thickBot="1" x14ac:dyDescent="0.3">
      <c r="A3" s="3" t="s">
        <v>49</v>
      </c>
      <c r="B3" s="17" t="s">
        <v>1</v>
      </c>
      <c r="C3" s="46"/>
      <c r="D3" s="47"/>
      <c r="E3" s="172" t="s">
        <v>87</v>
      </c>
      <c r="F3" s="175" t="s">
        <v>88</v>
      </c>
      <c r="G3" s="75" t="s">
        <v>87</v>
      </c>
      <c r="H3" s="75" t="s">
        <v>88</v>
      </c>
      <c r="I3" s="176" t="s">
        <v>87</v>
      </c>
      <c r="J3" s="74" t="s">
        <v>88</v>
      </c>
      <c r="K3" s="61" t="s">
        <v>87</v>
      </c>
      <c r="L3" s="73" t="s">
        <v>88</v>
      </c>
      <c r="M3" s="61" t="s">
        <v>87</v>
      </c>
      <c r="N3" s="61" t="s">
        <v>88</v>
      </c>
      <c r="O3" s="60" t="s">
        <v>87</v>
      </c>
      <c r="P3" s="57" t="s">
        <v>88</v>
      </c>
    </row>
    <row r="4" spans="1:16" x14ac:dyDescent="0.25">
      <c r="A4" s="27">
        <v>1</v>
      </c>
      <c r="B4" s="38" t="s">
        <v>287</v>
      </c>
      <c r="C4" s="71">
        <f>SUM(E4,G4,I4,K4,M4,O4)</f>
        <v>0</v>
      </c>
      <c r="D4" s="62">
        <f>SUM(F4,H4,J4,L4,N4,P4)</f>
        <v>0</v>
      </c>
      <c r="E4" s="170"/>
      <c r="F4" s="171"/>
      <c r="G4" s="170"/>
      <c r="H4" s="171"/>
      <c r="I4" s="170"/>
      <c r="J4" s="171"/>
      <c r="K4" s="170"/>
      <c r="L4" s="171"/>
      <c r="M4" s="170"/>
      <c r="N4" s="171"/>
      <c r="O4" s="170"/>
      <c r="P4" s="171"/>
    </row>
    <row r="5" spans="1:16" x14ac:dyDescent="0.25">
      <c r="A5" s="27">
        <v>2</v>
      </c>
      <c r="B5" s="36" t="s">
        <v>204</v>
      </c>
      <c r="C5" s="71">
        <f t="shared" ref="C5:C17" si="0">SUM(E5,G5,I5,K5,M5,O5)</f>
        <v>0</v>
      </c>
      <c r="D5" s="62">
        <f t="shared" ref="D5:D17" si="1">SUM(F5,H5,J5,L5,N5,P5)</f>
        <v>0</v>
      </c>
      <c r="E5" s="63"/>
      <c r="F5" s="64"/>
      <c r="G5" s="63"/>
      <c r="H5" s="64"/>
      <c r="I5" s="63"/>
      <c r="J5" s="64"/>
      <c r="K5" s="63"/>
      <c r="L5" s="64"/>
      <c r="M5" s="63"/>
      <c r="N5" s="64"/>
      <c r="O5" s="63"/>
      <c r="P5" s="64"/>
    </row>
    <row r="6" spans="1:16" x14ac:dyDescent="0.25">
      <c r="A6" s="27">
        <v>3</v>
      </c>
      <c r="B6" s="36" t="s">
        <v>326</v>
      </c>
      <c r="C6" s="71">
        <f t="shared" si="0"/>
        <v>0</v>
      </c>
      <c r="D6" s="62">
        <f t="shared" si="1"/>
        <v>0</v>
      </c>
      <c r="E6" s="63"/>
      <c r="F6" s="64"/>
      <c r="G6" s="63"/>
      <c r="H6" s="64"/>
      <c r="I6" s="63"/>
      <c r="J6" s="64"/>
      <c r="K6" s="63"/>
      <c r="L6" s="64"/>
      <c r="M6" s="63"/>
      <c r="N6" s="64"/>
      <c r="O6" s="63"/>
      <c r="P6" s="64"/>
    </row>
    <row r="7" spans="1:16" x14ac:dyDescent="0.25">
      <c r="A7" s="27">
        <v>4</v>
      </c>
      <c r="B7" s="38" t="s">
        <v>229</v>
      </c>
      <c r="C7" s="71">
        <f t="shared" si="0"/>
        <v>0</v>
      </c>
      <c r="D7" s="62">
        <f t="shared" si="1"/>
        <v>0</v>
      </c>
      <c r="E7" s="63"/>
      <c r="F7" s="64"/>
      <c r="G7" s="63"/>
      <c r="H7" s="64"/>
      <c r="I7" s="63"/>
      <c r="J7" s="64"/>
      <c r="K7" s="63"/>
      <c r="L7" s="64"/>
      <c r="M7" s="63"/>
      <c r="N7" s="64"/>
      <c r="O7" s="63"/>
      <c r="P7" s="64"/>
    </row>
    <row r="8" spans="1:16" x14ac:dyDescent="0.25">
      <c r="A8" s="27">
        <v>5</v>
      </c>
      <c r="B8" s="38" t="s">
        <v>328</v>
      </c>
      <c r="C8" s="71">
        <f t="shared" si="0"/>
        <v>0</v>
      </c>
      <c r="D8" s="62">
        <f t="shared" si="1"/>
        <v>0</v>
      </c>
      <c r="E8" s="63"/>
      <c r="F8" s="64"/>
      <c r="G8" s="63"/>
      <c r="H8" s="64"/>
      <c r="I8" s="63"/>
      <c r="J8" s="64"/>
      <c r="K8" s="63"/>
      <c r="L8" s="64"/>
      <c r="M8" s="63"/>
      <c r="N8" s="64"/>
      <c r="O8" s="63"/>
      <c r="P8" s="64"/>
    </row>
    <row r="9" spans="1:16" x14ac:dyDescent="0.25">
      <c r="A9" s="27">
        <v>6</v>
      </c>
      <c r="B9" s="38" t="s">
        <v>206</v>
      </c>
      <c r="C9" s="71">
        <f t="shared" si="0"/>
        <v>0</v>
      </c>
      <c r="D9" s="62">
        <f t="shared" si="1"/>
        <v>0</v>
      </c>
      <c r="E9" s="63"/>
      <c r="F9" s="64"/>
      <c r="G9" s="63"/>
      <c r="H9" s="64"/>
      <c r="I9" s="63"/>
      <c r="J9" s="64"/>
      <c r="K9" s="63"/>
      <c r="L9" s="64"/>
      <c r="M9" s="63"/>
      <c r="N9" s="64"/>
      <c r="O9" s="63"/>
      <c r="P9" s="64"/>
    </row>
    <row r="10" spans="1:16" x14ac:dyDescent="0.25">
      <c r="A10" s="27">
        <v>7</v>
      </c>
      <c r="B10" s="38" t="s">
        <v>188</v>
      </c>
      <c r="C10" s="71">
        <f t="shared" si="0"/>
        <v>0</v>
      </c>
      <c r="D10" s="62">
        <f t="shared" si="1"/>
        <v>0</v>
      </c>
      <c r="E10" s="63"/>
      <c r="F10" s="64"/>
      <c r="G10" s="63"/>
      <c r="H10" s="64"/>
      <c r="I10" s="63"/>
      <c r="J10" s="64"/>
      <c r="K10" s="63"/>
      <c r="L10" s="64"/>
      <c r="M10" s="63"/>
      <c r="N10" s="64"/>
      <c r="O10" s="63"/>
      <c r="P10" s="64"/>
    </row>
    <row r="11" spans="1:16" x14ac:dyDescent="0.25">
      <c r="A11" s="27">
        <v>8</v>
      </c>
      <c r="B11" s="38" t="s">
        <v>227</v>
      </c>
      <c r="C11" s="71">
        <f t="shared" si="0"/>
        <v>0</v>
      </c>
      <c r="D11" s="62">
        <f t="shared" si="1"/>
        <v>0</v>
      </c>
      <c r="E11" s="63"/>
      <c r="F11" s="64"/>
      <c r="G11" s="63"/>
      <c r="H11" s="64"/>
      <c r="I11" s="63"/>
      <c r="J11" s="64"/>
      <c r="K11" s="63"/>
      <c r="L11" s="64"/>
      <c r="M11" s="63"/>
      <c r="N11" s="64"/>
      <c r="O11" s="63"/>
      <c r="P11" s="64"/>
    </row>
    <row r="12" spans="1:16" x14ac:dyDescent="0.25">
      <c r="A12" s="27">
        <v>9</v>
      </c>
      <c r="B12" s="38" t="s">
        <v>268</v>
      </c>
      <c r="C12" s="71">
        <f t="shared" si="0"/>
        <v>0</v>
      </c>
      <c r="D12" s="62">
        <f t="shared" si="1"/>
        <v>0</v>
      </c>
      <c r="E12" s="63"/>
      <c r="F12" s="64"/>
      <c r="G12" s="63"/>
      <c r="H12" s="64"/>
      <c r="I12" s="63"/>
      <c r="J12" s="64"/>
      <c r="K12" s="63"/>
      <c r="L12" s="64"/>
      <c r="M12" s="63"/>
      <c r="N12" s="64"/>
      <c r="O12" s="63"/>
      <c r="P12" s="64"/>
    </row>
    <row r="13" spans="1:16" x14ac:dyDescent="0.25">
      <c r="A13" s="27">
        <v>10</v>
      </c>
      <c r="B13" s="38" t="s">
        <v>329</v>
      </c>
      <c r="C13" s="71">
        <f t="shared" si="0"/>
        <v>0</v>
      </c>
      <c r="D13" s="62">
        <f t="shared" si="1"/>
        <v>0</v>
      </c>
      <c r="E13" s="63"/>
      <c r="F13" s="64"/>
      <c r="G13" s="63"/>
      <c r="H13" s="64"/>
      <c r="I13" s="63"/>
      <c r="J13" s="64"/>
      <c r="K13" s="63"/>
      <c r="L13" s="64"/>
      <c r="M13" s="63"/>
      <c r="N13" s="64"/>
      <c r="O13" s="63"/>
      <c r="P13" s="64"/>
    </row>
    <row r="14" spans="1:16" x14ac:dyDescent="0.25">
      <c r="A14" s="27">
        <v>11</v>
      </c>
      <c r="B14" s="36" t="s">
        <v>196</v>
      </c>
      <c r="C14" s="71">
        <f t="shared" si="0"/>
        <v>0</v>
      </c>
      <c r="D14" s="62">
        <f t="shared" si="1"/>
        <v>0</v>
      </c>
      <c r="E14" s="63"/>
      <c r="F14" s="64"/>
      <c r="G14" s="63"/>
      <c r="H14" s="64"/>
      <c r="I14" s="63"/>
      <c r="J14" s="64"/>
      <c r="K14" s="63"/>
      <c r="L14" s="64"/>
      <c r="M14" s="63"/>
      <c r="N14" s="64"/>
      <c r="O14" s="63"/>
      <c r="P14" s="64"/>
    </row>
    <row r="15" spans="1:16" x14ac:dyDescent="0.25">
      <c r="A15" s="27">
        <v>12</v>
      </c>
      <c r="B15" s="36" t="s">
        <v>285</v>
      </c>
      <c r="C15" s="71">
        <f t="shared" si="0"/>
        <v>0</v>
      </c>
      <c r="D15" s="62">
        <f t="shared" si="1"/>
        <v>0</v>
      </c>
      <c r="E15" s="63"/>
      <c r="F15" s="64"/>
      <c r="G15" s="63"/>
      <c r="H15" s="64"/>
      <c r="I15" s="63"/>
      <c r="J15" s="64"/>
      <c r="K15" s="63"/>
      <c r="L15" s="64"/>
      <c r="M15" s="63"/>
      <c r="N15" s="64"/>
      <c r="O15" s="63"/>
      <c r="P15" s="64"/>
    </row>
    <row r="16" spans="1:16" x14ac:dyDescent="0.25">
      <c r="A16" s="27">
        <v>13</v>
      </c>
      <c r="B16" s="181" t="s">
        <v>322</v>
      </c>
      <c r="C16" s="71">
        <f t="shared" si="0"/>
        <v>0</v>
      </c>
      <c r="D16" s="62">
        <f t="shared" si="1"/>
        <v>0</v>
      </c>
      <c r="E16" s="63"/>
      <c r="F16" s="64"/>
      <c r="G16" s="63"/>
      <c r="H16" s="64"/>
      <c r="I16" s="63"/>
      <c r="J16" s="64"/>
      <c r="K16" s="63"/>
      <c r="L16" s="64"/>
      <c r="M16" s="63"/>
      <c r="N16" s="64"/>
      <c r="O16" s="63"/>
      <c r="P16" s="64"/>
    </row>
    <row r="17" spans="1:16" x14ac:dyDescent="0.25">
      <c r="A17" s="27">
        <v>14</v>
      </c>
      <c r="B17" s="181" t="s">
        <v>327</v>
      </c>
      <c r="C17" s="71">
        <f t="shared" si="0"/>
        <v>0</v>
      </c>
      <c r="D17" s="62">
        <f t="shared" si="1"/>
        <v>0</v>
      </c>
      <c r="E17" s="63"/>
      <c r="F17" s="64"/>
      <c r="G17" s="63"/>
      <c r="H17" s="64"/>
      <c r="I17" s="63"/>
      <c r="J17" s="64"/>
      <c r="K17" s="63"/>
      <c r="L17" s="64"/>
      <c r="M17" s="63"/>
      <c r="N17" s="64"/>
      <c r="O17" s="63"/>
      <c r="P17" s="64"/>
    </row>
    <row r="18" spans="1:16" x14ac:dyDescent="0.25">
      <c r="A18" s="27">
        <v>17</v>
      </c>
      <c r="B18" s="180" t="s">
        <v>353</v>
      </c>
      <c r="C18" s="71">
        <f t="shared" ref="C18:C24" si="2">SUM(E18,G18,I18,K18,M18,O18)</f>
        <v>0</v>
      </c>
      <c r="D18" s="62">
        <f t="shared" ref="D18:D24" si="3">SUM(F18,H18,J18,L18,N18,P18)</f>
        <v>0</v>
      </c>
      <c r="E18" s="63"/>
      <c r="F18" s="64"/>
      <c r="G18" s="63"/>
      <c r="H18" s="64"/>
      <c r="I18" s="63"/>
      <c r="J18" s="64"/>
      <c r="K18" s="63"/>
      <c r="L18" s="64"/>
      <c r="M18" s="63"/>
      <c r="N18" s="64"/>
      <c r="O18" s="63"/>
      <c r="P18" s="64"/>
    </row>
    <row r="19" spans="1:16" x14ac:dyDescent="0.25">
      <c r="A19" s="27">
        <v>20</v>
      </c>
      <c r="B19" s="180" t="s">
        <v>325</v>
      </c>
      <c r="C19" s="71">
        <f t="shared" si="2"/>
        <v>0</v>
      </c>
      <c r="D19" s="62">
        <f t="shared" si="3"/>
        <v>0</v>
      </c>
      <c r="E19" s="63"/>
      <c r="F19" s="64"/>
      <c r="G19" s="63"/>
      <c r="H19" s="64"/>
      <c r="I19" s="63"/>
      <c r="J19" s="64"/>
      <c r="K19" s="63"/>
      <c r="L19" s="64"/>
      <c r="M19" s="63"/>
      <c r="N19" s="64"/>
      <c r="O19" s="63"/>
      <c r="P19" s="64"/>
    </row>
    <row r="20" spans="1:16" x14ac:dyDescent="0.25">
      <c r="A20" s="27">
        <v>21</v>
      </c>
      <c r="B20" s="38" t="s">
        <v>267</v>
      </c>
      <c r="C20" s="71">
        <f t="shared" si="2"/>
        <v>0</v>
      </c>
      <c r="D20" s="62">
        <f t="shared" si="3"/>
        <v>0</v>
      </c>
      <c r="E20" s="63"/>
      <c r="F20" s="64"/>
      <c r="G20" s="63"/>
      <c r="H20" s="64"/>
      <c r="I20" s="63"/>
      <c r="J20" s="64"/>
      <c r="K20" s="63"/>
      <c r="L20" s="64"/>
      <c r="M20" s="63"/>
      <c r="N20" s="64"/>
      <c r="O20" s="63"/>
      <c r="P20" s="64"/>
    </row>
    <row r="21" spans="1:16" x14ac:dyDescent="0.25">
      <c r="A21" s="28">
        <v>22</v>
      </c>
      <c r="B21" s="41" t="s">
        <v>272</v>
      </c>
      <c r="C21" s="71">
        <f t="shared" si="2"/>
        <v>0</v>
      </c>
      <c r="D21" s="62">
        <f t="shared" si="3"/>
        <v>0</v>
      </c>
      <c r="E21" s="63"/>
      <c r="F21" s="64"/>
      <c r="G21" s="63"/>
      <c r="H21" s="64"/>
      <c r="I21" s="63"/>
      <c r="J21" s="64"/>
      <c r="K21" s="63"/>
      <c r="L21" s="64"/>
      <c r="M21" s="63"/>
      <c r="N21" s="64"/>
      <c r="O21" s="63"/>
      <c r="P21" s="64"/>
    </row>
    <row r="22" spans="1:16" x14ac:dyDescent="0.25">
      <c r="A22" s="27">
        <v>23</v>
      </c>
      <c r="B22" s="38" t="s">
        <v>303</v>
      </c>
      <c r="C22" s="71">
        <f t="shared" si="2"/>
        <v>0</v>
      </c>
      <c r="D22" s="62">
        <f t="shared" si="3"/>
        <v>0</v>
      </c>
      <c r="E22" s="63"/>
      <c r="F22" s="64"/>
      <c r="G22" s="63"/>
      <c r="H22" s="64"/>
      <c r="I22" s="63"/>
      <c r="J22" s="64"/>
      <c r="K22" s="63"/>
      <c r="L22" s="64"/>
      <c r="M22" s="63"/>
      <c r="N22" s="64"/>
      <c r="O22" s="63"/>
      <c r="P22" s="64"/>
    </row>
    <row r="23" spans="1:16" x14ac:dyDescent="0.25">
      <c r="A23" s="28">
        <v>24</v>
      </c>
      <c r="B23" s="180" t="s">
        <v>121</v>
      </c>
      <c r="C23" s="71">
        <f t="shared" si="2"/>
        <v>0</v>
      </c>
      <c r="D23" s="62">
        <f t="shared" si="3"/>
        <v>0</v>
      </c>
      <c r="E23" s="63"/>
      <c r="F23" s="64"/>
      <c r="G23" s="63"/>
      <c r="H23" s="64"/>
      <c r="I23" s="63"/>
      <c r="J23" s="64"/>
      <c r="K23" s="63"/>
      <c r="L23" s="64"/>
      <c r="M23" s="63"/>
      <c r="N23" s="64"/>
      <c r="O23" s="63"/>
      <c r="P23" s="64"/>
    </row>
    <row r="24" spans="1:16" x14ac:dyDescent="0.25">
      <c r="A24" s="28">
        <v>29</v>
      </c>
      <c r="B24" s="180" t="s">
        <v>284</v>
      </c>
      <c r="C24" s="71">
        <f t="shared" si="2"/>
        <v>0</v>
      </c>
      <c r="D24" s="62">
        <f t="shared" si="3"/>
        <v>0</v>
      </c>
      <c r="E24" s="63"/>
      <c r="F24" s="64"/>
      <c r="G24" s="63"/>
      <c r="H24" s="64"/>
      <c r="I24" s="63"/>
      <c r="J24" s="64"/>
      <c r="K24" s="63"/>
      <c r="L24" s="64"/>
      <c r="M24" s="63"/>
      <c r="N24" s="64"/>
      <c r="O24" s="63"/>
      <c r="P24" s="64"/>
    </row>
    <row r="25" spans="1:16" x14ac:dyDescent="0.25">
      <c r="A25" s="28">
        <v>30</v>
      </c>
      <c r="B25" s="180" t="s">
        <v>354</v>
      </c>
      <c r="C25" s="71">
        <f t="shared" ref="C25:C40" si="4">SUM(E25,G25,I25,K25,M25,O25)</f>
        <v>0</v>
      </c>
      <c r="D25" s="62">
        <f t="shared" ref="D25:D40" si="5">SUM(F25,H25,J25,L25,N25,P25)</f>
        <v>0</v>
      </c>
      <c r="E25" s="63"/>
      <c r="F25" s="64"/>
      <c r="G25" s="63"/>
      <c r="H25" s="64"/>
      <c r="I25" s="63"/>
      <c r="J25" s="64"/>
      <c r="K25" s="63"/>
      <c r="L25" s="64"/>
      <c r="M25" s="63"/>
      <c r="N25" s="64"/>
      <c r="O25" s="63"/>
      <c r="P25" s="64"/>
    </row>
    <row r="26" spans="1:16" x14ac:dyDescent="0.25">
      <c r="A26" s="28">
        <v>33</v>
      </c>
      <c r="B26" s="180" t="s">
        <v>301</v>
      </c>
      <c r="C26" s="71">
        <f t="shared" si="4"/>
        <v>0</v>
      </c>
      <c r="D26" s="62">
        <f t="shared" si="5"/>
        <v>0</v>
      </c>
      <c r="E26" s="63"/>
      <c r="F26" s="64"/>
      <c r="G26" s="63"/>
      <c r="H26" s="64"/>
      <c r="I26" s="63"/>
      <c r="J26" s="64"/>
      <c r="K26" s="63"/>
      <c r="L26" s="64"/>
      <c r="M26" s="63"/>
      <c r="N26" s="64"/>
      <c r="O26" s="63"/>
      <c r="P26" s="64"/>
    </row>
    <row r="27" spans="1:16" x14ac:dyDescent="0.25">
      <c r="A27" s="28">
        <v>35</v>
      </c>
      <c r="B27" s="180" t="s">
        <v>313</v>
      </c>
      <c r="C27" s="71">
        <f t="shared" si="4"/>
        <v>0</v>
      </c>
      <c r="D27" s="62">
        <f t="shared" si="5"/>
        <v>0</v>
      </c>
      <c r="E27" s="63"/>
      <c r="F27" s="64"/>
      <c r="G27" s="63"/>
      <c r="H27" s="64"/>
      <c r="I27" s="63"/>
      <c r="J27" s="64"/>
      <c r="K27" s="63"/>
      <c r="L27" s="64"/>
      <c r="M27" s="63"/>
      <c r="N27" s="64"/>
      <c r="O27" s="63"/>
      <c r="P27" s="64"/>
    </row>
    <row r="28" spans="1:16" x14ac:dyDescent="0.25">
      <c r="A28" s="28">
        <v>36</v>
      </c>
      <c r="B28" s="180" t="s">
        <v>323</v>
      </c>
      <c r="C28" s="71">
        <f t="shared" si="4"/>
        <v>0</v>
      </c>
      <c r="D28" s="62">
        <f t="shared" si="5"/>
        <v>0</v>
      </c>
      <c r="E28" s="63"/>
      <c r="F28" s="64"/>
      <c r="G28" s="63"/>
      <c r="H28" s="64"/>
      <c r="I28" s="63"/>
      <c r="J28" s="64"/>
      <c r="K28" s="63"/>
      <c r="L28" s="64"/>
      <c r="M28" s="63"/>
      <c r="N28" s="64"/>
      <c r="O28" s="63"/>
      <c r="P28" s="64"/>
    </row>
    <row r="29" spans="1:16" x14ac:dyDescent="0.25">
      <c r="A29" s="28">
        <v>39</v>
      </c>
      <c r="B29" s="180" t="s">
        <v>355</v>
      </c>
      <c r="C29" s="71">
        <f t="shared" ref="C29:C37" si="6">SUM(E29,G29,I29,K29,M29,O29)</f>
        <v>0</v>
      </c>
      <c r="D29" s="62">
        <f t="shared" ref="D29:D37" si="7">SUM(F29,H29,J29,L29,N29,P29)</f>
        <v>0</v>
      </c>
      <c r="E29" s="63"/>
      <c r="F29" s="64"/>
      <c r="G29" s="63"/>
      <c r="H29" s="64"/>
      <c r="I29" s="63"/>
      <c r="J29" s="64"/>
      <c r="K29" s="63"/>
      <c r="L29" s="64"/>
      <c r="M29" s="63"/>
      <c r="N29" s="64"/>
      <c r="O29" s="63"/>
      <c r="P29" s="64"/>
    </row>
    <row r="30" spans="1:16" x14ac:dyDescent="0.25">
      <c r="A30" s="27">
        <v>41</v>
      </c>
      <c r="B30" s="36" t="s">
        <v>286</v>
      </c>
      <c r="C30" s="71">
        <f t="shared" si="6"/>
        <v>0</v>
      </c>
      <c r="D30" s="62">
        <f t="shared" si="7"/>
        <v>0</v>
      </c>
      <c r="E30" s="63"/>
      <c r="F30" s="64"/>
      <c r="G30" s="63"/>
      <c r="H30" s="64"/>
      <c r="I30" s="63"/>
      <c r="J30" s="64"/>
      <c r="K30" s="63"/>
      <c r="L30" s="64"/>
      <c r="M30" s="63"/>
      <c r="N30" s="64"/>
      <c r="O30" s="63"/>
      <c r="P30" s="64"/>
    </row>
    <row r="31" spans="1:16" x14ac:dyDescent="0.25">
      <c r="A31" s="27">
        <v>46</v>
      </c>
      <c r="B31" s="35" t="s">
        <v>308</v>
      </c>
      <c r="C31" s="71">
        <f t="shared" si="6"/>
        <v>0</v>
      </c>
      <c r="D31" s="62">
        <f t="shared" si="7"/>
        <v>0</v>
      </c>
      <c r="E31" s="63"/>
      <c r="F31" s="64"/>
      <c r="G31" s="63"/>
      <c r="H31" s="64"/>
      <c r="I31" s="63"/>
      <c r="J31" s="64"/>
      <c r="K31" s="63"/>
      <c r="L31" s="64"/>
      <c r="M31" s="63"/>
      <c r="N31" s="64"/>
      <c r="O31" s="63"/>
      <c r="P31" s="64"/>
    </row>
    <row r="32" spans="1:16" x14ac:dyDescent="0.25">
      <c r="A32" s="27">
        <v>49</v>
      </c>
      <c r="B32" s="36" t="s">
        <v>307</v>
      </c>
      <c r="C32" s="71">
        <f t="shared" si="6"/>
        <v>0</v>
      </c>
      <c r="D32" s="62">
        <f t="shared" si="7"/>
        <v>0</v>
      </c>
      <c r="E32" s="63"/>
      <c r="F32" s="64"/>
      <c r="G32" s="63"/>
      <c r="H32" s="64"/>
      <c r="I32" s="63"/>
      <c r="J32" s="64"/>
      <c r="K32" s="63"/>
      <c r="L32" s="64"/>
      <c r="M32" s="63"/>
      <c r="N32" s="64"/>
      <c r="O32" s="63"/>
      <c r="P32" s="64"/>
    </row>
    <row r="33" spans="1:16" x14ac:dyDescent="0.25">
      <c r="A33" s="27">
        <v>52</v>
      </c>
      <c r="B33" s="181" t="s">
        <v>351</v>
      </c>
      <c r="C33" s="71">
        <f t="shared" si="6"/>
        <v>0</v>
      </c>
      <c r="D33" s="62">
        <f t="shared" si="7"/>
        <v>0</v>
      </c>
      <c r="E33" s="63"/>
      <c r="F33" s="64"/>
      <c r="G33" s="63"/>
      <c r="H33" s="64"/>
      <c r="I33" s="63"/>
      <c r="J33" s="64"/>
      <c r="K33" s="63"/>
      <c r="L33" s="64"/>
      <c r="M33" s="63"/>
      <c r="N33" s="64"/>
      <c r="O33" s="63"/>
      <c r="P33" s="64"/>
    </row>
    <row r="34" spans="1:16" x14ac:dyDescent="0.25">
      <c r="A34" s="28">
        <v>53</v>
      </c>
      <c r="B34" s="180" t="s">
        <v>302</v>
      </c>
      <c r="C34" s="71">
        <f t="shared" si="6"/>
        <v>0</v>
      </c>
      <c r="D34" s="62">
        <f t="shared" si="7"/>
        <v>0</v>
      </c>
      <c r="E34" s="63"/>
      <c r="F34" s="64"/>
      <c r="G34" s="63"/>
      <c r="H34" s="64"/>
      <c r="I34" s="63"/>
      <c r="J34" s="64"/>
      <c r="K34" s="63"/>
      <c r="L34" s="64"/>
      <c r="M34" s="63"/>
      <c r="N34" s="64"/>
      <c r="O34" s="63"/>
      <c r="P34" s="64"/>
    </row>
    <row r="35" spans="1:16" x14ac:dyDescent="0.25">
      <c r="A35" s="27">
        <v>56</v>
      </c>
      <c r="B35" s="181" t="s">
        <v>332</v>
      </c>
      <c r="C35" s="71">
        <f t="shared" si="6"/>
        <v>0</v>
      </c>
      <c r="D35" s="62">
        <f t="shared" si="7"/>
        <v>0</v>
      </c>
      <c r="E35" s="63"/>
      <c r="F35" s="64"/>
      <c r="G35" s="63"/>
      <c r="H35" s="64"/>
      <c r="I35" s="63"/>
      <c r="J35" s="64"/>
      <c r="K35" s="63"/>
      <c r="L35" s="64"/>
      <c r="M35" s="63"/>
      <c r="N35" s="64"/>
      <c r="O35" s="63"/>
      <c r="P35" s="64"/>
    </row>
    <row r="36" spans="1:16" x14ac:dyDescent="0.25">
      <c r="A36" s="28">
        <v>71</v>
      </c>
      <c r="B36" s="180" t="s">
        <v>337</v>
      </c>
      <c r="C36" s="71">
        <f t="shared" si="6"/>
        <v>0</v>
      </c>
      <c r="D36" s="62">
        <f t="shared" si="7"/>
        <v>0</v>
      </c>
      <c r="E36" s="196"/>
      <c r="F36" s="197"/>
      <c r="G36" s="196"/>
      <c r="H36" s="197"/>
      <c r="I36" s="196"/>
      <c r="J36" s="197"/>
      <c r="K36" s="196"/>
      <c r="L36" s="197"/>
      <c r="M36" s="196"/>
      <c r="N36" s="197"/>
      <c r="O36" s="196"/>
      <c r="P36" s="197"/>
    </row>
    <row r="37" spans="1:16" x14ac:dyDescent="0.25">
      <c r="A37" s="28">
        <v>72</v>
      </c>
      <c r="B37" s="180" t="s">
        <v>348</v>
      </c>
      <c r="C37" s="71">
        <f t="shared" si="6"/>
        <v>0</v>
      </c>
      <c r="D37" s="62">
        <f t="shared" si="7"/>
        <v>0</v>
      </c>
      <c r="E37" s="196"/>
      <c r="F37" s="197"/>
      <c r="G37" s="196"/>
      <c r="H37" s="197"/>
      <c r="I37" s="196"/>
      <c r="J37" s="197"/>
      <c r="K37" s="196"/>
      <c r="L37" s="197"/>
      <c r="M37" s="196"/>
      <c r="N37" s="197"/>
      <c r="O37" s="196"/>
      <c r="P37" s="197"/>
    </row>
    <row r="38" spans="1:16" x14ac:dyDescent="0.25">
      <c r="A38" s="28">
        <v>81</v>
      </c>
      <c r="B38" s="180" t="s">
        <v>349</v>
      </c>
      <c r="C38" s="71">
        <f t="shared" si="4"/>
        <v>0</v>
      </c>
      <c r="D38" s="62">
        <f t="shared" si="5"/>
        <v>0</v>
      </c>
      <c r="E38" s="196"/>
      <c r="F38" s="197"/>
      <c r="G38" s="196"/>
      <c r="H38" s="197"/>
      <c r="I38" s="196"/>
      <c r="J38" s="197"/>
      <c r="K38" s="196"/>
      <c r="L38" s="197"/>
      <c r="M38" s="196"/>
      <c r="N38" s="197"/>
      <c r="O38" s="196"/>
      <c r="P38" s="197"/>
    </row>
    <row r="39" spans="1:16" x14ac:dyDescent="0.25">
      <c r="A39" s="28">
        <v>89</v>
      </c>
      <c r="B39" s="180" t="s">
        <v>343</v>
      </c>
      <c r="C39" s="71">
        <f t="shared" si="4"/>
        <v>0</v>
      </c>
      <c r="D39" s="62">
        <f t="shared" si="5"/>
        <v>0</v>
      </c>
      <c r="E39" s="196"/>
      <c r="F39" s="197"/>
      <c r="G39" s="196"/>
      <c r="H39" s="197"/>
      <c r="I39" s="196"/>
      <c r="J39" s="197"/>
      <c r="K39" s="196"/>
      <c r="L39" s="197"/>
      <c r="M39" s="196"/>
      <c r="N39" s="197"/>
      <c r="O39" s="196"/>
      <c r="P39" s="197"/>
    </row>
    <row r="40" spans="1:16" ht="15.75" thickBot="1" x14ac:dyDescent="0.3">
      <c r="A40" s="28">
        <v>92</v>
      </c>
      <c r="B40" s="38" t="s">
        <v>311</v>
      </c>
      <c r="C40" s="71">
        <f t="shared" si="4"/>
        <v>0</v>
      </c>
      <c r="D40" s="62">
        <f t="shared" si="5"/>
        <v>0</v>
      </c>
      <c r="E40" s="173"/>
      <c r="F40" s="174"/>
      <c r="G40" s="173"/>
      <c r="H40" s="174"/>
      <c r="I40" s="173"/>
      <c r="J40" s="174"/>
      <c r="K40" s="173"/>
      <c r="L40" s="174"/>
      <c r="M40" s="173"/>
      <c r="N40" s="174"/>
      <c r="O40" s="173"/>
      <c r="P40" s="174"/>
    </row>
    <row r="41" spans="1:16" ht="15.75" thickBot="1" x14ac:dyDescent="0.3">
      <c r="E41" s="144">
        <f>SUM(E4:E40)</f>
        <v>0</v>
      </c>
      <c r="F41" s="144">
        <f t="shared" ref="F41:P41" si="8">SUM(F4:F40)</f>
        <v>0</v>
      </c>
      <c r="G41" s="144">
        <f t="shared" si="8"/>
        <v>0</v>
      </c>
      <c r="H41" s="144">
        <f t="shared" si="8"/>
        <v>0</v>
      </c>
      <c r="I41" s="144">
        <f t="shared" si="8"/>
        <v>0</v>
      </c>
      <c r="J41" s="144">
        <f t="shared" si="8"/>
        <v>0</v>
      </c>
      <c r="K41" s="144">
        <f t="shared" si="8"/>
        <v>0</v>
      </c>
      <c r="L41" s="144">
        <f t="shared" si="8"/>
        <v>0</v>
      </c>
      <c r="M41" s="144">
        <f t="shared" si="8"/>
        <v>0</v>
      </c>
      <c r="N41" s="144">
        <f t="shared" si="8"/>
        <v>0</v>
      </c>
      <c r="O41" s="144">
        <f t="shared" si="8"/>
        <v>0</v>
      </c>
      <c r="P41" s="144">
        <f t="shared" si="8"/>
        <v>0</v>
      </c>
    </row>
  </sheetData>
  <mergeCells count="13">
    <mergeCell ref="K2:L2"/>
    <mergeCell ref="O2:P2"/>
    <mergeCell ref="E1:F1"/>
    <mergeCell ref="G1:H1"/>
    <mergeCell ref="I1:J1"/>
    <mergeCell ref="O1:P1"/>
    <mergeCell ref="M2:N2"/>
    <mergeCell ref="K1:N1"/>
    <mergeCell ref="C1:C2"/>
    <mergeCell ref="D1:D2"/>
    <mergeCell ref="E2:F2"/>
    <mergeCell ref="G2:H2"/>
    <mergeCell ref="I2:J2"/>
  </mergeCells>
  <conditionalFormatting sqref="E4:P35">
    <cfRule type="cellIs" dxfId="11" priority="1" operator="equal">
      <formula>1</formula>
    </cfRule>
  </conditionalFormatting>
  <conditionalFormatting sqref="E4:P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9"/>
  <sheetViews>
    <sheetView zoomScale="85" zoomScaleNormal="85" workbookViewId="0">
      <selection activeCell="O17" sqref="O17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4" ht="15.75" thickBot="1" x14ac:dyDescent="0.3">
      <c r="C1" s="290" t="s">
        <v>350</v>
      </c>
      <c r="D1" s="291"/>
    </row>
    <row r="2" spans="1:4" x14ac:dyDescent="0.25">
      <c r="A2" s="3" t="s">
        <v>49</v>
      </c>
      <c r="B2" s="5" t="s">
        <v>1</v>
      </c>
      <c r="C2" s="92" t="s">
        <v>87</v>
      </c>
      <c r="D2" s="92" t="s">
        <v>88</v>
      </c>
    </row>
    <row r="3" spans="1:4" x14ac:dyDescent="0.25">
      <c r="A3" s="27">
        <v>1</v>
      </c>
      <c r="B3" s="38" t="s">
        <v>287</v>
      </c>
      <c r="C3" s="69">
        <v>1</v>
      </c>
      <c r="D3" s="70"/>
    </row>
    <row r="4" spans="1:4" x14ac:dyDescent="0.25">
      <c r="A4" s="27">
        <v>2</v>
      </c>
      <c r="B4" s="36" t="s">
        <v>204</v>
      </c>
      <c r="C4" s="69"/>
      <c r="D4" s="70"/>
    </row>
    <row r="5" spans="1:4" x14ac:dyDescent="0.25">
      <c r="A5" s="27">
        <v>3</v>
      </c>
      <c r="B5" s="36" t="s">
        <v>326</v>
      </c>
      <c r="C5" s="69">
        <v>1</v>
      </c>
      <c r="D5" s="70"/>
    </row>
    <row r="6" spans="1:4" x14ac:dyDescent="0.25">
      <c r="A6" s="27">
        <v>4</v>
      </c>
      <c r="B6" s="38" t="s">
        <v>229</v>
      </c>
      <c r="C6" s="69">
        <v>1</v>
      </c>
      <c r="D6" s="70"/>
    </row>
    <row r="7" spans="1:4" x14ac:dyDescent="0.25">
      <c r="A7" s="27">
        <v>5</v>
      </c>
      <c r="B7" s="38" t="s">
        <v>328</v>
      </c>
      <c r="C7" s="69">
        <v>1</v>
      </c>
      <c r="D7" s="70"/>
    </row>
    <row r="8" spans="1:4" x14ac:dyDescent="0.25">
      <c r="A8" s="27">
        <v>6</v>
      </c>
      <c r="B8" s="38" t="s">
        <v>206</v>
      </c>
      <c r="C8" s="69">
        <v>1</v>
      </c>
      <c r="D8" s="70"/>
    </row>
    <row r="9" spans="1:4" x14ac:dyDescent="0.25">
      <c r="A9" s="27">
        <v>7</v>
      </c>
      <c r="B9" s="38" t="s">
        <v>188</v>
      </c>
      <c r="C9" s="69">
        <v>1</v>
      </c>
      <c r="D9" s="70"/>
    </row>
    <row r="10" spans="1:4" x14ac:dyDescent="0.25">
      <c r="A10" s="27">
        <v>8</v>
      </c>
      <c r="B10" s="38" t="s">
        <v>227</v>
      </c>
      <c r="C10" s="69">
        <v>1</v>
      </c>
      <c r="D10" s="70">
        <v>1</v>
      </c>
    </row>
    <row r="11" spans="1:4" x14ac:dyDescent="0.25">
      <c r="A11" s="27">
        <v>9</v>
      </c>
      <c r="B11" s="38" t="s">
        <v>268</v>
      </c>
      <c r="C11" s="69"/>
      <c r="D11" s="70"/>
    </row>
    <row r="12" spans="1:4" x14ac:dyDescent="0.25">
      <c r="A12" s="27">
        <v>10</v>
      </c>
      <c r="B12" s="38" t="s">
        <v>329</v>
      </c>
      <c r="C12" s="69">
        <v>1</v>
      </c>
      <c r="D12" s="70"/>
    </row>
    <row r="13" spans="1:4" x14ac:dyDescent="0.25">
      <c r="A13" s="27">
        <v>11</v>
      </c>
      <c r="B13" s="36" t="s">
        <v>196</v>
      </c>
      <c r="C13" s="69"/>
      <c r="D13" s="70"/>
    </row>
    <row r="14" spans="1:4" x14ac:dyDescent="0.25">
      <c r="A14" s="27">
        <v>12</v>
      </c>
      <c r="B14" s="36" t="s">
        <v>285</v>
      </c>
      <c r="C14" s="69"/>
      <c r="D14" s="70"/>
    </row>
    <row r="15" spans="1:4" x14ac:dyDescent="0.25">
      <c r="A15" s="27">
        <v>13</v>
      </c>
      <c r="B15" s="181" t="s">
        <v>322</v>
      </c>
      <c r="C15" s="69"/>
      <c r="D15" s="70"/>
    </row>
    <row r="16" spans="1:4" x14ac:dyDescent="0.25">
      <c r="A16" s="27">
        <v>14</v>
      </c>
      <c r="B16" s="181" t="s">
        <v>327</v>
      </c>
      <c r="C16" s="69">
        <v>1</v>
      </c>
      <c r="D16" s="70"/>
    </row>
    <row r="17" spans="1:4" x14ac:dyDescent="0.25">
      <c r="A17" s="27">
        <v>17</v>
      </c>
      <c r="B17" s="180" t="s">
        <v>353</v>
      </c>
      <c r="C17" s="69">
        <v>1</v>
      </c>
      <c r="D17" s="70"/>
    </row>
    <row r="18" spans="1:4" x14ac:dyDescent="0.25">
      <c r="A18" s="27">
        <v>20</v>
      </c>
      <c r="B18" s="180" t="s">
        <v>325</v>
      </c>
      <c r="C18" s="69">
        <v>1</v>
      </c>
      <c r="D18" s="70"/>
    </row>
    <row r="19" spans="1:4" x14ac:dyDescent="0.25">
      <c r="A19" s="27">
        <v>21</v>
      </c>
      <c r="B19" s="38" t="s">
        <v>267</v>
      </c>
      <c r="C19" s="69"/>
      <c r="D19" s="70"/>
    </row>
    <row r="20" spans="1:4" x14ac:dyDescent="0.25">
      <c r="A20" s="28">
        <v>22</v>
      </c>
      <c r="B20" s="41" t="s">
        <v>272</v>
      </c>
      <c r="C20" s="69"/>
      <c r="D20" s="70"/>
    </row>
    <row r="21" spans="1:4" x14ac:dyDescent="0.25">
      <c r="A21" s="27">
        <v>23</v>
      </c>
      <c r="B21" s="38" t="s">
        <v>303</v>
      </c>
      <c r="C21" s="69"/>
      <c r="D21" s="70"/>
    </row>
    <row r="22" spans="1:4" x14ac:dyDescent="0.25">
      <c r="A22" s="28">
        <v>24</v>
      </c>
      <c r="B22" s="180" t="s">
        <v>121</v>
      </c>
      <c r="C22" s="69"/>
      <c r="D22" s="70"/>
    </row>
    <row r="23" spans="1:4" x14ac:dyDescent="0.25">
      <c r="A23" s="28">
        <v>29</v>
      </c>
      <c r="B23" s="180" t="s">
        <v>284</v>
      </c>
      <c r="C23" s="69">
        <v>1</v>
      </c>
      <c r="D23" s="70">
        <v>1</v>
      </c>
    </row>
    <row r="24" spans="1:4" x14ac:dyDescent="0.25">
      <c r="A24" s="28">
        <v>30</v>
      </c>
      <c r="B24" s="180" t="s">
        <v>354</v>
      </c>
      <c r="C24" s="69"/>
      <c r="D24" s="70"/>
    </row>
    <row r="25" spans="1:4" x14ac:dyDescent="0.25">
      <c r="A25" s="28">
        <v>33</v>
      </c>
      <c r="B25" s="180" t="s">
        <v>301</v>
      </c>
      <c r="C25" s="69">
        <v>1</v>
      </c>
      <c r="D25" s="70">
        <v>1</v>
      </c>
    </row>
    <row r="26" spans="1:4" x14ac:dyDescent="0.25">
      <c r="A26" s="28">
        <v>35</v>
      </c>
      <c r="B26" s="180" t="s">
        <v>313</v>
      </c>
      <c r="C26" s="69"/>
      <c r="D26" s="70"/>
    </row>
    <row r="27" spans="1:4" x14ac:dyDescent="0.25">
      <c r="A27" s="28">
        <v>36</v>
      </c>
      <c r="B27" s="180" t="s">
        <v>323</v>
      </c>
      <c r="C27" s="69">
        <v>1</v>
      </c>
      <c r="D27" s="70"/>
    </row>
    <row r="28" spans="1:4" x14ac:dyDescent="0.25">
      <c r="A28" s="28">
        <v>39</v>
      </c>
      <c r="B28" s="180" t="s">
        <v>355</v>
      </c>
      <c r="C28" s="69">
        <v>1</v>
      </c>
      <c r="D28" s="70"/>
    </row>
    <row r="29" spans="1:4" x14ac:dyDescent="0.25">
      <c r="A29" s="27">
        <v>41</v>
      </c>
      <c r="B29" s="36" t="s">
        <v>286</v>
      </c>
      <c r="C29" s="69">
        <v>1</v>
      </c>
      <c r="D29" s="70"/>
    </row>
    <row r="30" spans="1:4" x14ac:dyDescent="0.25">
      <c r="A30" s="27">
        <v>46</v>
      </c>
      <c r="B30" s="35" t="s">
        <v>308</v>
      </c>
      <c r="C30" s="69"/>
      <c r="D30" s="70"/>
    </row>
    <row r="31" spans="1:4" x14ac:dyDescent="0.25">
      <c r="A31" s="27">
        <v>49</v>
      </c>
      <c r="B31" s="36" t="s">
        <v>307</v>
      </c>
      <c r="C31" s="69">
        <v>1</v>
      </c>
      <c r="D31" s="70"/>
    </row>
    <row r="32" spans="1:4" x14ac:dyDescent="0.25">
      <c r="A32" s="27">
        <v>52</v>
      </c>
      <c r="B32" s="181" t="s">
        <v>351</v>
      </c>
      <c r="C32" s="69"/>
      <c r="D32" s="70"/>
    </row>
    <row r="33" spans="1:4" x14ac:dyDescent="0.25">
      <c r="A33" s="28">
        <v>53</v>
      </c>
      <c r="B33" s="180" t="s">
        <v>302</v>
      </c>
      <c r="C33" s="69"/>
      <c r="D33" s="70"/>
    </row>
    <row r="34" spans="1:4" x14ac:dyDescent="0.25">
      <c r="A34" s="27">
        <v>56</v>
      </c>
      <c r="B34" s="181" t="s">
        <v>332</v>
      </c>
      <c r="C34" s="69"/>
      <c r="D34" s="70"/>
    </row>
    <row r="35" spans="1:4" x14ac:dyDescent="0.25">
      <c r="A35" s="28">
        <v>71</v>
      </c>
      <c r="B35" s="180" t="s">
        <v>337</v>
      </c>
      <c r="C35" s="69"/>
      <c r="D35" s="70"/>
    </row>
    <row r="36" spans="1:4" x14ac:dyDescent="0.25">
      <c r="A36" s="28">
        <v>72</v>
      </c>
      <c r="B36" s="180" t="s">
        <v>348</v>
      </c>
      <c r="C36" s="69"/>
      <c r="D36" s="70"/>
    </row>
    <row r="37" spans="1:4" x14ac:dyDescent="0.25">
      <c r="A37" s="28">
        <v>81</v>
      </c>
      <c r="B37" s="180" t="s">
        <v>349</v>
      </c>
      <c r="C37" s="69"/>
      <c r="D37" s="70"/>
    </row>
    <row r="38" spans="1:4" x14ac:dyDescent="0.25">
      <c r="A38" s="28">
        <v>89</v>
      </c>
      <c r="B38" s="180" t="s">
        <v>343</v>
      </c>
      <c r="C38" s="69"/>
      <c r="D38" s="70"/>
    </row>
    <row r="39" spans="1:4" x14ac:dyDescent="0.25">
      <c r="A39" s="28">
        <v>92</v>
      </c>
      <c r="B39" s="38" t="s">
        <v>311</v>
      </c>
      <c r="C39" s="69"/>
      <c r="D39" s="70"/>
    </row>
  </sheetData>
  <mergeCells count="1">
    <mergeCell ref="C1:D1"/>
  </mergeCells>
  <conditionalFormatting sqref="C3:D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98" t="s">
        <v>210</v>
      </c>
      <c r="D1" s="299"/>
      <c r="E1" s="299"/>
      <c r="F1" s="299"/>
      <c r="G1" s="299"/>
      <c r="H1" s="299"/>
      <c r="I1" s="300"/>
      <c r="J1" s="135" t="s">
        <v>203</v>
      </c>
      <c r="K1" s="136" t="s">
        <v>202</v>
      </c>
      <c r="L1" s="292" t="s">
        <v>297</v>
      </c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7"/>
      <c r="AH1" s="292" t="s">
        <v>183</v>
      </c>
      <c r="AI1" s="293"/>
      <c r="AJ1" s="293"/>
      <c r="AK1" s="294"/>
    </row>
    <row r="2" spans="1:37" x14ac:dyDescent="0.25">
      <c r="B2" s="132"/>
      <c r="C2" s="183" t="s">
        <v>352</v>
      </c>
      <c r="D2" s="183" t="s">
        <v>319</v>
      </c>
      <c r="E2" s="183" t="s">
        <v>300</v>
      </c>
      <c r="F2" s="184" t="s">
        <v>289</v>
      </c>
      <c r="G2" s="184" t="s">
        <v>236</v>
      </c>
      <c r="H2" s="184" t="s">
        <v>237</v>
      </c>
      <c r="I2" s="185" t="s">
        <v>238</v>
      </c>
      <c r="J2" s="138" t="s">
        <v>239</v>
      </c>
      <c r="K2" s="137" t="s">
        <v>240</v>
      </c>
      <c r="L2" s="139" t="s">
        <v>241</v>
      </c>
      <c r="M2" s="140" t="s">
        <v>242</v>
      </c>
      <c r="N2" s="140" t="s">
        <v>243</v>
      </c>
      <c r="O2" s="140" t="s">
        <v>244</v>
      </c>
      <c r="P2" s="140" t="s">
        <v>245</v>
      </c>
      <c r="Q2" s="140" t="s">
        <v>246</v>
      </c>
      <c r="R2" s="140" t="s">
        <v>247</v>
      </c>
      <c r="S2" s="140" t="s">
        <v>248</v>
      </c>
      <c r="T2" s="140" t="s">
        <v>249</v>
      </c>
      <c r="U2" s="140" t="s">
        <v>250</v>
      </c>
      <c r="V2" s="140" t="s">
        <v>251</v>
      </c>
      <c r="W2" s="140" t="s">
        <v>252</v>
      </c>
      <c r="X2" s="140" t="s">
        <v>253</v>
      </c>
      <c r="Y2" s="140" t="s">
        <v>254</v>
      </c>
      <c r="Z2" s="140" t="s">
        <v>255</v>
      </c>
      <c r="AA2" s="140" t="s">
        <v>256</v>
      </c>
      <c r="AB2" s="140" t="s">
        <v>257</v>
      </c>
      <c r="AC2" s="140" t="s">
        <v>258</v>
      </c>
      <c r="AD2" s="140" t="s">
        <v>259</v>
      </c>
      <c r="AE2" s="140" t="s">
        <v>260</v>
      </c>
      <c r="AF2" s="140" t="s">
        <v>261</v>
      </c>
      <c r="AG2" s="141" t="s">
        <v>262</v>
      </c>
      <c r="AH2" s="139" t="s">
        <v>263</v>
      </c>
      <c r="AI2" s="140" t="s">
        <v>264</v>
      </c>
      <c r="AJ2" s="140" t="s">
        <v>265</v>
      </c>
      <c r="AK2" s="141" t="s">
        <v>266</v>
      </c>
    </row>
    <row r="3" spans="1:37" x14ac:dyDescent="0.25">
      <c r="A3" s="90">
        <f>AVERAGE(D3:AK3)</f>
        <v>1.9411764705882353</v>
      </c>
      <c r="B3" s="131">
        <v>1</v>
      </c>
      <c r="C3" s="145" t="s">
        <v>189</v>
      </c>
      <c r="D3" s="145">
        <v>3</v>
      </c>
      <c r="E3" s="145">
        <v>3</v>
      </c>
      <c r="F3" s="145">
        <v>3</v>
      </c>
      <c r="G3" s="145">
        <v>3</v>
      </c>
      <c r="H3" s="145">
        <v>0</v>
      </c>
      <c r="I3" s="133">
        <v>3</v>
      </c>
      <c r="J3" s="167">
        <v>3</v>
      </c>
      <c r="K3" s="124">
        <v>0</v>
      </c>
      <c r="L3" s="83">
        <v>3</v>
      </c>
      <c r="M3" s="89">
        <v>0</v>
      </c>
      <c r="N3" s="89">
        <v>0</v>
      </c>
      <c r="O3" s="89">
        <v>3</v>
      </c>
      <c r="P3" s="89">
        <v>0</v>
      </c>
      <c r="Q3" s="89">
        <v>1</v>
      </c>
      <c r="R3" s="89">
        <v>1</v>
      </c>
      <c r="S3" s="89">
        <v>1</v>
      </c>
      <c r="T3" s="89">
        <v>3</v>
      </c>
      <c r="U3" s="89">
        <v>3</v>
      </c>
      <c r="V3" s="89">
        <v>3</v>
      </c>
      <c r="W3" s="89">
        <v>1</v>
      </c>
      <c r="X3" s="89">
        <v>3</v>
      </c>
      <c r="Y3" s="89">
        <v>3</v>
      </c>
      <c r="Z3" s="89">
        <v>3</v>
      </c>
      <c r="AA3" s="89">
        <v>3</v>
      </c>
      <c r="AB3" s="89">
        <v>3</v>
      </c>
      <c r="AC3" s="89">
        <v>0</v>
      </c>
      <c r="AD3" s="89">
        <v>3</v>
      </c>
      <c r="AE3" s="89">
        <v>3</v>
      </c>
      <c r="AF3" s="89">
        <v>1</v>
      </c>
      <c r="AG3" s="96">
        <v>3</v>
      </c>
      <c r="AH3" s="83">
        <v>1</v>
      </c>
      <c r="AI3" s="89">
        <v>3</v>
      </c>
      <c r="AJ3" s="89">
        <v>0</v>
      </c>
      <c r="AK3" s="96">
        <v>0</v>
      </c>
    </row>
    <row r="4" spans="1:37" x14ac:dyDescent="0.25">
      <c r="A4" s="90">
        <f t="shared" ref="A4:A40" si="0">AVERAGE(D4:AK4)</f>
        <v>1.6764705882352942</v>
      </c>
      <c r="B4" s="131">
        <v>2</v>
      </c>
      <c r="C4" s="145" t="s">
        <v>189</v>
      </c>
      <c r="D4" s="145">
        <v>3</v>
      </c>
      <c r="E4" s="145">
        <v>3</v>
      </c>
      <c r="F4" s="145">
        <v>3</v>
      </c>
      <c r="G4" s="146">
        <v>3</v>
      </c>
      <c r="H4" s="146">
        <v>0</v>
      </c>
      <c r="I4" s="134">
        <v>3</v>
      </c>
      <c r="J4" s="102">
        <v>3</v>
      </c>
      <c r="K4" s="124">
        <v>0</v>
      </c>
      <c r="L4" s="83">
        <v>0</v>
      </c>
      <c r="M4" s="89">
        <v>1</v>
      </c>
      <c r="N4" s="89">
        <v>3</v>
      </c>
      <c r="O4" s="89">
        <v>1</v>
      </c>
      <c r="P4" s="89">
        <v>3</v>
      </c>
      <c r="Q4" s="89">
        <v>1</v>
      </c>
      <c r="R4" s="89">
        <v>0</v>
      </c>
      <c r="S4" s="89">
        <v>3</v>
      </c>
      <c r="T4" s="89">
        <v>3</v>
      </c>
      <c r="U4" s="89">
        <v>0</v>
      </c>
      <c r="V4" s="89">
        <v>1</v>
      </c>
      <c r="W4" s="89">
        <v>0</v>
      </c>
      <c r="X4" s="89">
        <v>0</v>
      </c>
      <c r="Y4" s="89">
        <v>3</v>
      </c>
      <c r="Z4" s="89">
        <v>3</v>
      </c>
      <c r="AA4" s="89">
        <v>1</v>
      </c>
      <c r="AB4" s="89">
        <v>0</v>
      </c>
      <c r="AC4" s="89">
        <v>3</v>
      </c>
      <c r="AD4" s="89">
        <v>3</v>
      </c>
      <c r="AE4" s="89">
        <v>1</v>
      </c>
      <c r="AF4" s="89">
        <v>3</v>
      </c>
      <c r="AG4" s="96">
        <v>0</v>
      </c>
      <c r="AH4" s="83">
        <v>3</v>
      </c>
      <c r="AI4" s="89">
        <v>0</v>
      </c>
      <c r="AJ4" s="89">
        <v>3</v>
      </c>
      <c r="AK4" s="96">
        <v>0</v>
      </c>
    </row>
    <row r="5" spans="1:37" x14ac:dyDescent="0.25">
      <c r="A5" s="90">
        <f t="shared" si="0"/>
        <v>1.8235294117647058</v>
      </c>
      <c r="B5" s="131">
        <v>3</v>
      </c>
      <c r="C5" s="145" t="s">
        <v>189</v>
      </c>
      <c r="D5" s="145">
        <v>0</v>
      </c>
      <c r="E5" s="145">
        <v>1</v>
      </c>
      <c r="F5" s="145">
        <v>1</v>
      </c>
      <c r="G5" s="146">
        <v>3</v>
      </c>
      <c r="H5" s="146">
        <v>0</v>
      </c>
      <c r="I5" s="134">
        <v>0</v>
      </c>
      <c r="J5" s="102">
        <v>0</v>
      </c>
      <c r="K5" s="124">
        <v>3</v>
      </c>
      <c r="L5" s="83">
        <v>0</v>
      </c>
      <c r="M5" s="89">
        <v>3</v>
      </c>
      <c r="N5" s="89">
        <v>1</v>
      </c>
      <c r="O5" s="89">
        <v>1</v>
      </c>
      <c r="P5" s="89">
        <v>3</v>
      </c>
      <c r="Q5" s="89">
        <v>3</v>
      </c>
      <c r="R5" s="89">
        <v>0</v>
      </c>
      <c r="S5" s="89">
        <v>3</v>
      </c>
      <c r="T5" s="89">
        <v>0</v>
      </c>
      <c r="U5" s="89">
        <v>3</v>
      </c>
      <c r="V5" s="89">
        <v>3</v>
      </c>
      <c r="W5" s="89">
        <v>1</v>
      </c>
      <c r="X5" s="89">
        <v>3</v>
      </c>
      <c r="Y5" s="89">
        <v>3</v>
      </c>
      <c r="Z5" s="89">
        <v>3</v>
      </c>
      <c r="AA5" s="89">
        <v>3</v>
      </c>
      <c r="AB5" s="89">
        <v>3</v>
      </c>
      <c r="AC5" s="89">
        <v>3</v>
      </c>
      <c r="AD5" s="89">
        <v>1</v>
      </c>
      <c r="AE5" s="89">
        <v>1</v>
      </c>
      <c r="AF5" s="89">
        <v>3</v>
      </c>
      <c r="AG5" s="96">
        <v>3</v>
      </c>
      <c r="AH5" s="83">
        <v>1</v>
      </c>
      <c r="AI5" s="89">
        <v>0</v>
      </c>
      <c r="AJ5" s="89">
        <v>3</v>
      </c>
      <c r="AK5" s="96">
        <v>3</v>
      </c>
    </row>
    <row r="6" spans="1:37" x14ac:dyDescent="0.25">
      <c r="A6" s="90">
        <f t="shared" si="0"/>
        <v>2.1470588235294117</v>
      </c>
      <c r="B6" s="131">
        <v>4</v>
      </c>
      <c r="C6" s="145" t="s">
        <v>189</v>
      </c>
      <c r="D6" s="145">
        <v>3</v>
      </c>
      <c r="E6" s="145">
        <v>3</v>
      </c>
      <c r="F6" s="145">
        <v>3</v>
      </c>
      <c r="G6" s="146">
        <v>3</v>
      </c>
      <c r="H6" s="146">
        <v>3</v>
      </c>
      <c r="I6" s="134">
        <v>3</v>
      </c>
      <c r="J6" s="102">
        <v>1</v>
      </c>
      <c r="K6" s="124">
        <v>3</v>
      </c>
      <c r="L6" s="83">
        <v>3</v>
      </c>
      <c r="M6" s="89">
        <v>3</v>
      </c>
      <c r="N6" s="89">
        <v>3</v>
      </c>
      <c r="O6" s="89">
        <v>1</v>
      </c>
      <c r="P6" s="89">
        <v>3</v>
      </c>
      <c r="Q6" s="89">
        <v>3</v>
      </c>
      <c r="R6" s="89">
        <v>3</v>
      </c>
      <c r="S6" s="89">
        <v>3</v>
      </c>
      <c r="T6" s="89">
        <v>0</v>
      </c>
      <c r="U6" s="89">
        <v>3</v>
      </c>
      <c r="V6" s="89">
        <v>3</v>
      </c>
      <c r="W6" s="89">
        <v>3</v>
      </c>
      <c r="X6" s="89">
        <v>0</v>
      </c>
      <c r="Y6" s="89">
        <v>3</v>
      </c>
      <c r="Z6" s="89">
        <v>3</v>
      </c>
      <c r="AA6" s="89">
        <v>1</v>
      </c>
      <c r="AB6" s="89">
        <v>1</v>
      </c>
      <c r="AC6" s="89">
        <v>1</v>
      </c>
      <c r="AD6" s="89">
        <v>0</v>
      </c>
      <c r="AE6" s="89">
        <v>1</v>
      </c>
      <c r="AF6" s="89">
        <v>1</v>
      </c>
      <c r="AG6" s="96">
        <v>1</v>
      </c>
      <c r="AH6" s="83">
        <v>1</v>
      </c>
      <c r="AI6" s="89">
        <v>1</v>
      </c>
      <c r="AJ6" s="89">
        <v>3</v>
      </c>
      <c r="AK6" s="96">
        <v>3</v>
      </c>
    </row>
    <row r="7" spans="1:37" x14ac:dyDescent="0.25">
      <c r="A7" s="90">
        <f t="shared" si="0"/>
        <v>2.1176470588235294</v>
      </c>
      <c r="B7" s="131">
        <v>5</v>
      </c>
      <c r="C7" s="145" t="s">
        <v>189</v>
      </c>
      <c r="D7" s="145">
        <v>1</v>
      </c>
      <c r="E7" s="145">
        <v>1</v>
      </c>
      <c r="F7" s="145">
        <v>3</v>
      </c>
      <c r="G7" s="146">
        <v>3</v>
      </c>
      <c r="H7" s="146">
        <v>3</v>
      </c>
      <c r="I7" s="134">
        <v>0</v>
      </c>
      <c r="J7" s="102">
        <v>1</v>
      </c>
      <c r="K7" s="124">
        <v>3</v>
      </c>
      <c r="L7" s="83">
        <v>1</v>
      </c>
      <c r="M7" s="89">
        <v>3</v>
      </c>
      <c r="N7" s="89">
        <v>3</v>
      </c>
      <c r="O7" s="89">
        <v>3</v>
      </c>
      <c r="P7" s="89">
        <v>3</v>
      </c>
      <c r="Q7" s="89">
        <v>1</v>
      </c>
      <c r="R7" s="89">
        <v>0</v>
      </c>
      <c r="S7" s="89">
        <v>1</v>
      </c>
      <c r="T7" s="89">
        <v>3</v>
      </c>
      <c r="U7" s="89">
        <v>3</v>
      </c>
      <c r="V7" s="89">
        <v>3</v>
      </c>
      <c r="W7" s="89">
        <v>3</v>
      </c>
      <c r="X7" s="89">
        <v>3</v>
      </c>
      <c r="Y7" s="89">
        <v>3</v>
      </c>
      <c r="Z7" s="89">
        <v>1</v>
      </c>
      <c r="AA7" s="89">
        <v>3</v>
      </c>
      <c r="AB7" s="89">
        <v>3</v>
      </c>
      <c r="AC7" s="89">
        <v>1</v>
      </c>
      <c r="AD7" s="89">
        <v>3</v>
      </c>
      <c r="AE7" s="89">
        <v>1</v>
      </c>
      <c r="AF7" s="89">
        <v>1</v>
      </c>
      <c r="AG7" s="96">
        <v>1</v>
      </c>
      <c r="AH7" s="83">
        <v>3</v>
      </c>
      <c r="AI7" s="89">
        <v>1</v>
      </c>
      <c r="AJ7" s="89">
        <v>3</v>
      </c>
      <c r="AK7" s="96">
        <v>3</v>
      </c>
    </row>
    <row r="8" spans="1:37" x14ac:dyDescent="0.25">
      <c r="A8" s="90">
        <f t="shared" si="0"/>
        <v>1.8235294117647058</v>
      </c>
      <c r="B8" s="131">
        <v>6</v>
      </c>
      <c r="C8" s="145" t="s">
        <v>189</v>
      </c>
      <c r="D8" s="145">
        <v>3</v>
      </c>
      <c r="E8" s="145">
        <v>3</v>
      </c>
      <c r="F8" s="145">
        <v>1</v>
      </c>
      <c r="G8" s="146">
        <v>0</v>
      </c>
      <c r="H8" s="146">
        <v>3</v>
      </c>
      <c r="I8" s="134">
        <v>0</v>
      </c>
      <c r="J8" s="102">
        <v>3</v>
      </c>
      <c r="K8" s="124">
        <v>3</v>
      </c>
      <c r="L8" s="83">
        <v>3</v>
      </c>
      <c r="M8" s="89">
        <v>3</v>
      </c>
      <c r="N8" s="89">
        <v>0</v>
      </c>
      <c r="O8" s="89">
        <v>1</v>
      </c>
      <c r="P8" s="89">
        <v>3</v>
      </c>
      <c r="Q8" s="89">
        <v>0</v>
      </c>
      <c r="R8" s="89">
        <v>3</v>
      </c>
      <c r="S8" s="89">
        <v>0</v>
      </c>
      <c r="T8" s="89">
        <v>3</v>
      </c>
      <c r="U8" s="89">
        <v>0</v>
      </c>
      <c r="V8" s="89">
        <v>3</v>
      </c>
      <c r="W8" s="89">
        <v>3</v>
      </c>
      <c r="X8" s="89">
        <v>1</v>
      </c>
      <c r="Y8" s="89">
        <v>1</v>
      </c>
      <c r="Z8" s="89">
        <v>1</v>
      </c>
      <c r="AA8" s="89">
        <v>3</v>
      </c>
      <c r="AB8" s="89">
        <v>1</v>
      </c>
      <c r="AC8" s="89">
        <v>3</v>
      </c>
      <c r="AD8" s="89">
        <v>0</v>
      </c>
      <c r="AE8" s="89">
        <v>3</v>
      </c>
      <c r="AF8" s="89">
        <v>3</v>
      </c>
      <c r="AG8" s="96">
        <v>3</v>
      </c>
      <c r="AH8" s="83">
        <v>3</v>
      </c>
      <c r="AI8" s="89">
        <v>0</v>
      </c>
      <c r="AJ8" s="89">
        <v>1</v>
      </c>
      <c r="AK8" s="96">
        <v>1</v>
      </c>
    </row>
    <row r="9" spans="1:37" x14ac:dyDescent="0.25">
      <c r="A9" s="90">
        <f t="shared" si="0"/>
        <v>2.2647058823529411</v>
      </c>
      <c r="B9" s="131">
        <v>7</v>
      </c>
      <c r="C9" s="145" t="s">
        <v>189</v>
      </c>
      <c r="D9" s="145">
        <v>3</v>
      </c>
      <c r="E9" s="145">
        <v>3</v>
      </c>
      <c r="F9" s="145">
        <v>3</v>
      </c>
      <c r="G9" s="146">
        <v>3</v>
      </c>
      <c r="H9" s="146">
        <v>1</v>
      </c>
      <c r="I9" s="134">
        <v>3</v>
      </c>
      <c r="J9" s="102">
        <v>1</v>
      </c>
      <c r="K9" s="124">
        <v>3</v>
      </c>
      <c r="L9" s="83">
        <v>3</v>
      </c>
      <c r="M9" s="89">
        <v>3</v>
      </c>
      <c r="N9" s="89">
        <v>3</v>
      </c>
      <c r="O9" s="89">
        <v>0</v>
      </c>
      <c r="P9" s="89">
        <v>1</v>
      </c>
      <c r="Q9" s="89">
        <v>3</v>
      </c>
      <c r="R9" s="89">
        <v>0</v>
      </c>
      <c r="S9" s="89">
        <v>0</v>
      </c>
      <c r="T9" s="89">
        <v>3</v>
      </c>
      <c r="U9" s="89">
        <v>1</v>
      </c>
      <c r="V9" s="89">
        <v>3</v>
      </c>
      <c r="W9" s="89">
        <v>3</v>
      </c>
      <c r="X9" s="89">
        <v>3</v>
      </c>
      <c r="Y9" s="89">
        <v>3</v>
      </c>
      <c r="Z9" s="89">
        <v>3</v>
      </c>
      <c r="AA9" s="89">
        <v>3</v>
      </c>
      <c r="AB9" s="89">
        <v>3</v>
      </c>
      <c r="AC9" s="89">
        <v>1</v>
      </c>
      <c r="AD9" s="89">
        <v>3</v>
      </c>
      <c r="AE9" s="89">
        <v>0</v>
      </c>
      <c r="AF9" s="89">
        <v>3</v>
      </c>
      <c r="AG9" s="96">
        <v>3</v>
      </c>
      <c r="AH9" s="83">
        <v>3</v>
      </c>
      <c r="AI9" s="89">
        <v>3</v>
      </c>
      <c r="AJ9" s="89">
        <v>3</v>
      </c>
      <c r="AK9" s="96">
        <v>0</v>
      </c>
    </row>
    <row r="10" spans="1:37" x14ac:dyDescent="0.25">
      <c r="A10" s="90">
        <f t="shared" si="0"/>
        <v>2.0882352941176472</v>
      </c>
      <c r="B10" s="131">
        <v>8</v>
      </c>
      <c r="C10" s="145" t="s">
        <v>189</v>
      </c>
      <c r="D10" s="145">
        <v>3</v>
      </c>
      <c r="E10" s="145">
        <v>0</v>
      </c>
      <c r="F10" s="145">
        <v>3</v>
      </c>
      <c r="G10" s="146">
        <v>3</v>
      </c>
      <c r="H10" s="146">
        <v>1</v>
      </c>
      <c r="I10" s="134">
        <v>0</v>
      </c>
      <c r="J10" s="102">
        <v>3</v>
      </c>
      <c r="K10" s="124">
        <v>3</v>
      </c>
      <c r="L10" s="83">
        <v>0</v>
      </c>
      <c r="M10" s="89">
        <v>3</v>
      </c>
      <c r="N10" s="89">
        <v>3</v>
      </c>
      <c r="O10" s="89">
        <v>1</v>
      </c>
      <c r="P10" s="89">
        <v>3</v>
      </c>
      <c r="Q10" s="89">
        <v>0</v>
      </c>
      <c r="R10" s="89">
        <v>3</v>
      </c>
      <c r="S10" s="89">
        <v>3</v>
      </c>
      <c r="T10" s="89">
        <v>3</v>
      </c>
      <c r="U10" s="89">
        <v>3</v>
      </c>
      <c r="V10" s="89">
        <v>3</v>
      </c>
      <c r="W10" s="89">
        <v>3</v>
      </c>
      <c r="X10" s="89">
        <v>0</v>
      </c>
      <c r="Y10" s="89">
        <v>3</v>
      </c>
      <c r="Z10" s="89">
        <v>3</v>
      </c>
      <c r="AA10" s="89">
        <v>3</v>
      </c>
      <c r="AB10" s="89">
        <v>3</v>
      </c>
      <c r="AC10" s="89">
        <v>3</v>
      </c>
      <c r="AD10" s="89">
        <v>3</v>
      </c>
      <c r="AE10" s="89">
        <v>3</v>
      </c>
      <c r="AF10" s="89">
        <v>3</v>
      </c>
      <c r="AG10" s="96">
        <v>3</v>
      </c>
      <c r="AH10" s="83">
        <v>0</v>
      </c>
      <c r="AI10" s="89">
        <v>0</v>
      </c>
      <c r="AJ10" s="89">
        <v>0</v>
      </c>
      <c r="AK10" s="96">
        <v>0</v>
      </c>
    </row>
    <row r="11" spans="1:37" x14ac:dyDescent="0.25">
      <c r="A11" s="90">
        <f t="shared" si="0"/>
        <v>2.3235294117647061</v>
      </c>
      <c r="B11" s="131">
        <v>9</v>
      </c>
      <c r="C11" s="145" t="s">
        <v>189</v>
      </c>
      <c r="D11" s="145">
        <v>3</v>
      </c>
      <c r="E11" s="145">
        <v>1</v>
      </c>
      <c r="F11" s="145">
        <v>1</v>
      </c>
      <c r="G11" s="146">
        <v>3</v>
      </c>
      <c r="H11" s="146">
        <v>3</v>
      </c>
      <c r="I11" s="134">
        <v>1</v>
      </c>
      <c r="J11" s="102">
        <v>0</v>
      </c>
      <c r="K11" s="124">
        <v>3</v>
      </c>
      <c r="L11" s="83">
        <v>3</v>
      </c>
      <c r="M11" s="89">
        <v>1</v>
      </c>
      <c r="N11" s="89">
        <v>3</v>
      </c>
      <c r="O11" s="89">
        <v>3</v>
      </c>
      <c r="P11" s="89">
        <v>3</v>
      </c>
      <c r="Q11" s="89">
        <v>3</v>
      </c>
      <c r="R11" s="89">
        <v>3</v>
      </c>
      <c r="S11" s="89">
        <v>3</v>
      </c>
      <c r="T11" s="89">
        <v>1</v>
      </c>
      <c r="U11" s="89">
        <v>3</v>
      </c>
      <c r="V11" s="89">
        <v>3</v>
      </c>
      <c r="W11" s="89">
        <v>1</v>
      </c>
      <c r="X11" s="89">
        <v>3</v>
      </c>
      <c r="Y11" s="89">
        <v>3</v>
      </c>
      <c r="Z11" s="89">
        <v>3</v>
      </c>
      <c r="AA11" s="89">
        <v>3</v>
      </c>
      <c r="AB11" s="89">
        <v>1</v>
      </c>
      <c r="AC11" s="89">
        <v>3</v>
      </c>
      <c r="AD11" s="89">
        <v>3</v>
      </c>
      <c r="AE11" s="89">
        <v>1</v>
      </c>
      <c r="AF11" s="89">
        <v>1</v>
      </c>
      <c r="AG11" s="96">
        <v>3</v>
      </c>
      <c r="AH11" s="83">
        <v>3</v>
      </c>
      <c r="AI11" s="89">
        <v>3</v>
      </c>
      <c r="AJ11" s="89">
        <v>3</v>
      </c>
      <c r="AK11" s="96">
        <v>1</v>
      </c>
    </row>
    <row r="12" spans="1:37" x14ac:dyDescent="0.25">
      <c r="A12" s="90">
        <f t="shared" si="0"/>
        <v>1.8529411764705883</v>
      </c>
      <c r="B12" s="131">
        <v>10</v>
      </c>
      <c r="C12" s="145" t="s">
        <v>189</v>
      </c>
      <c r="D12" s="145">
        <v>3</v>
      </c>
      <c r="E12" s="145">
        <v>0</v>
      </c>
      <c r="F12" s="145">
        <v>3</v>
      </c>
      <c r="G12" s="146">
        <v>3</v>
      </c>
      <c r="H12" s="146">
        <v>3</v>
      </c>
      <c r="I12" s="134">
        <v>0</v>
      </c>
      <c r="J12" s="102">
        <v>1</v>
      </c>
      <c r="K12" s="124">
        <v>1</v>
      </c>
      <c r="L12" s="83">
        <v>3</v>
      </c>
      <c r="M12" s="89">
        <v>3</v>
      </c>
      <c r="N12" s="89">
        <v>3</v>
      </c>
      <c r="O12" s="89">
        <v>3</v>
      </c>
      <c r="P12" s="89">
        <v>3</v>
      </c>
      <c r="Q12" s="89">
        <v>0</v>
      </c>
      <c r="R12" s="89">
        <v>3</v>
      </c>
      <c r="S12" s="89">
        <v>3</v>
      </c>
      <c r="T12" s="89">
        <v>3</v>
      </c>
      <c r="U12" s="89">
        <v>1</v>
      </c>
      <c r="V12" s="89">
        <v>1</v>
      </c>
      <c r="W12" s="89">
        <v>0</v>
      </c>
      <c r="X12" s="89">
        <v>1</v>
      </c>
      <c r="Y12" s="89">
        <v>0</v>
      </c>
      <c r="Z12" s="89">
        <v>1</v>
      </c>
      <c r="AA12" s="89">
        <v>0</v>
      </c>
      <c r="AB12" s="89">
        <v>1</v>
      </c>
      <c r="AC12" s="89">
        <v>3</v>
      </c>
      <c r="AD12" s="89">
        <v>0</v>
      </c>
      <c r="AE12" s="89">
        <v>3</v>
      </c>
      <c r="AF12" s="89">
        <v>3</v>
      </c>
      <c r="AG12" s="96">
        <v>1</v>
      </c>
      <c r="AH12" s="83">
        <v>3</v>
      </c>
      <c r="AI12" s="89">
        <v>3</v>
      </c>
      <c r="AJ12" s="89">
        <v>1</v>
      </c>
      <c r="AK12" s="96">
        <v>3</v>
      </c>
    </row>
    <row r="13" spans="1:37" x14ac:dyDescent="0.25">
      <c r="A13" s="90">
        <f t="shared" si="0"/>
        <v>1.4705882352941178</v>
      </c>
      <c r="B13" s="131">
        <v>11</v>
      </c>
      <c r="C13" s="145" t="s">
        <v>189</v>
      </c>
      <c r="D13" s="145">
        <v>1</v>
      </c>
      <c r="E13" s="145">
        <v>1</v>
      </c>
      <c r="F13" s="145">
        <v>0</v>
      </c>
      <c r="G13" s="146">
        <v>1</v>
      </c>
      <c r="H13" s="146">
        <v>3</v>
      </c>
      <c r="I13" s="134">
        <v>0</v>
      </c>
      <c r="J13" s="102">
        <v>1</v>
      </c>
      <c r="K13" s="124">
        <v>1</v>
      </c>
      <c r="L13" s="83">
        <v>0</v>
      </c>
      <c r="M13" s="89">
        <v>1</v>
      </c>
      <c r="N13" s="89">
        <v>3</v>
      </c>
      <c r="O13" s="89">
        <v>0</v>
      </c>
      <c r="P13" s="89">
        <v>0</v>
      </c>
      <c r="Q13" s="89">
        <v>1</v>
      </c>
      <c r="R13" s="89">
        <v>3</v>
      </c>
      <c r="S13" s="89">
        <v>0</v>
      </c>
      <c r="T13" s="89">
        <v>3</v>
      </c>
      <c r="U13" s="89">
        <v>0</v>
      </c>
      <c r="V13" s="89">
        <v>1</v>
      </c>
      <c r="W13" s="89">
        <v>3</v>
      </c>
      <c r="X13" s="89">
        <v>3</v>
      </c>
      <c r="Y13" s="89">
        <v>1</v>
      </c>
      <c r="Z13" s="89">
        <v>3</v>
      </c>
      <c r="AA13" s="89">
        <v>0</v>
      </c>
      <c r="AB13" s="89">
        <v>0</v>
      </c>
      <c r="AC13" s="89">
        <v>3</v>
      </c>
      <c r="AD13" s="89">
        <v>3</v>
      </c>
      <c r="AE13" s="89">
        <v>3</v>
      </c>
      <c r="AF13" s="89">
        <v>1</v>
      </c>
      <c r="AG13" s="96">
        <v>3</v>
      </c>
      <c r="AH13" s="83">
        <v>0</v>
      </c>
      <c r="AI13" s="89">
        <v>3</v>
      </c>
      <c r="AJ13" s="89">
        <v>1</v>
      </c>
      <c r="AK13" s="96">
        <v>3</v>
      </c>
    </row>
    <row r="14" spans="1:37" x14ac:dyDescent="0.25">
      <c r="A14" s="90">
        <f t="shared" si="0"/>
        <v>1.9705882352941178</v>
      </c>
      <c r="B14" s="131">
        <v>12</v>
      </c>
      <c r="C14" s="145" t="s">
        <v>189</v>
      </c>
      <c r="D14" s="145">
        <v>3</v>
      </c>
      <c r="E14" s="145">
        <v>3</v>
      </c>
      <c r="F14" s="145">
        <v>3</v>
      </c>
      <c r="G14" s="146">
        <v>3</v>
      </c>
      <c r="H14" s="146">
        <v>0</v>
      </c>
      <c r="I14" s="134">
        <v>0</v>
      </c>
      <c r="J14" s="102">
        <v>0</v>
      </c>
      <c r="K14" s="124">
        <v>1</v>
      </c>
      <c r="L14" s="83">
        <v>3</v>
      </c>
      <c r="M14" s="89">
        <v>1</v>
      </c>
      <c r="N14" s="89">
        <v>1</v>
      </c>
      <c r="O14" s="89">
        <v>0</v>
      </c>
      <c r="P14" s="89">
        <v>3</v>
      </c>
      <c r="Q14" s="89">
        <v>3</v>
      </c>
      <c r="R14" s="89">
        <v>3</v>
      </c>
      <c r="S14" s="89">
        <v>3</v>
      </c>
      <c r="T14" s="89">
        <v>0</v>
      </c>
      <c r="U14" s="89">
        <v>3</v>
      </c>
      <c r="V14" s="89">
        <v>3</v>
      </c>
      <c r="W14" s="89">
        <v>1</v>
      </c>
      <c r="X14" s="89">
        <v>3</v>
      </c>
      <c r="Y14" s="89">
        <v>1</v>
      </c>
      <c r="Z14" s="89">
        <v>3</v>
      </c>
      <c r="AA14" s="89">
        <v>3</v>
      </c>
      <c r="AB14" s="89">
        <v>1</v>
      </c>
      <c r="AC14" s="89">
        <v>3</v>
      </c>
      <c r="AD14" s="89">
        <v>3</v>
      </c>
      <c r="AE14" s="89">
        <v>3</v>
      </c>
      <c r="AF14" s="89">
        <v>1</v>
      </c>
      <c r="AG14" s="96">
        <v>1</v>
      </c>
      <c r="AH14" s="83">
        <v>3</v>
      </c>
      <c r="AI14" s="89">
        <v>1</v>
      </c>
      <c r="AJ14" s="89">
        <v>1</v>
      </c>
      <c r="AK14" s="96">
        <v>3</v>
      </c>
    </row>
    <row r="15" spans="1:37" ht="15.75" thickBot="1" x14ac:dyDescent="0.3">
      <c r="A15" s="90">
        <f t="shared" si="0"/>
        <v>1.7941176470588236</v>
      </c>
      <c r="B15" s="131">
        <v>13</v>
      </c>
      <c r="C15" s="145" t="s">
        <v>189</v>
      </c>
      <c r="D15" s="145">
        <v>1</v>
      </c>
      <c r="E15" s="145">
        <v>3</v>
      </c>
      <c r="F15" s="145">
        <v>3</v>
      </c>
      <c r="G15" s="146">
        <v>3</v>
      </c>
      <c r="H15" s="146">
        <v>3</v>
      </c>
      <c r="I15" s="134">
        <v>1</v>
      </c>
      <c r="J15" s="168">
        <v>1</v>
      </c>
      <c r="K15" s="124">
        <v>3</v>
      </c>
      <c r="L15" s="83">
        <v>3</v>
      </c>
      <c r="M15" s="89">
        <v>3</v>
      </c>
      <c r="N15" s="89">
        <v>0</v>
      </c>
      <c r="O15" s="89">
        <v>3</v>
      </c>
      <c r="P15" s="89">
        <v>3</v>
      </c>
      <c r="Q15" s="89">
        <v>1</v>
      </c>
      <c r="R15" s="89">
        <v>1</v>
      </c>
      <c r="S15" s="89">
        <v>3</v>
      </c>
      <c r="T15" s="89">
        <v>0</v>
      </c>
      <c r="U15" s="89">
        <v>0</v>
      </c>
      <c r="V15" s="89">
        <v>3</v>
      </c>
      <c r="W15" s="89">
        <v>0</v>
      </c>
      <c r="X15" s="89">
        <v>3</v>
      </c>
      <c r="Y15" s="89">
        <v>3</v>
      </c>
      <c r="Z15" s="89">
        <v>3</v>
      </c>
      <c r="AA15" s="89">
        <v>3</v>
      </c>
      <c r="AB15" s="89">
        <v>3</v>
      </c>
      <c r="AC15" s="89">
        <v>1</v>
      </c>
      <c r="AD15" s="89">
        <v>1</v>
      </c>
      <c r="AE15" s="89">
        <v>1</v>
      </c>
      <c r="AF15" s="89">
        <v>0</v>
      </c>
      <c r="AG15" s="96">
        <v>0</v>
      </c>
      <c r="AH15" s="83">
        <v>0</v>
      </c>
      <c r="AI15" s="89">
        <v>1</v>
      </c>
      <c r="AJ15" s="89">
        <v>1</v>
      </c>
      <c r="AK15" s="96">
        <v>3</v>
      </c>
    </row>
    <row r="16" spans="1:37" x14ac:dyDescent="0.25">
      <c r="A16" s="90">
        <f t="shared" si="0"/>
        <v>1.7352941176470589</v>
      </c>
      <c r="B16" s="131">
        <v>14</v>
      </c>
      <c r="C16" s="145" t="s">
        <v>189</v>
      </c>
      <c r="D16" s="145">
        <v>3</v>
      </c>
      <c r="E16" s="145">
        <v>3</v>
      </c>
      <c r="F16" s="145">
        <v>3</v>
      </c>
      <c r="G16" s="146">
        <v>3</v>
      </c>
      <c r="H16" s="146">
        <v>0</v>
      </c>
      <c r="I16" s="134">
        <v>0</v>
      </c>
      <c r="J16" s="123">
        <v>1</v>
      </c>
      <c r="K16" s="102">
        <v>3</v>
      </c>
      <c r="L16" s="83">
        <v>3</v>
      </c>
      <c r="M16" s="89">
        <v>3</v>
      </c>
      <c r="N16" s="89">
        <v>1</v>
      </c>
      <c r="O16" s="89">
        <v>3</v>
      </c>
      <c r="P16" s="89">
        <v>3</v>
      </c>
      <c r="Q16" s="89">
        <v>1</v>
      </c>
      <c r="R16" s="89">
        <v>3</v>
      </c>
      <c r="S16" s="89">
        <v>0</v>
      </c>
      <c r="T16" s="89">
        <v>3</v>
      </c>
      <c r="U16" s="89">
        <v>0</v>
      </c>
      <c r="V16" s="89">
        <v>3</v>
      </c>
      <c r="W16" s="89">
        <v>0</v>
      </c>
      <c r="X16" s="89">
        <v>0</v>
      </c>
      <c r="Y16" s="89">
        <v>1</v>
      </c>
      <c r="Z16" s="89">
        <v>1</v>
      </c>
      <c r="AA16" s="89">
        <v>3</v>
      </c>
      <c r="AB16" s="89">
        <v>3</v>
      </c>
      <c r="AC16" s="89">
        <v>0</v>
      </c>
      <c r="AD16" s="89">
        <v>0</v>
      </c>
      <c r="AE16" s="89">
        <v>0</v>
      </c>
      <c r="AF16" s="89">
        <v>3</v>
      </c>
      <c r="AG16" s="96">
        <v>3</v>
      </c>
      <c r="AH16" s="83">
        <v>3</v>
      </c>
      <c r="AI16" s="89">
        <v>0</v>
      </c>
      <c r="AJ16" s="89">
        <v>0</v>
      </c>
      <c r="AK16" s="96">
        <v>3</v>
      </c>
    </row>
    <row r="17" spans="1:37" x14ac:dyDescent="0.25">
      <c r="A17" s="90">
        <f t="shared" si="0"/>
        <v>1.5294117647058822</v>
      </c>
      <c r="B17" s="131">
        <v>15</v>
      </c>
      <c r="C17" s="145" t="s">
        <v>189</v>
      </c>
      <c r="D17" s="145">
        <v>0</v>
      </c>
      <c r="E17" s="145">
        <v>1</v>
      </c>
      <c r="F17" s="145">
        <v>3</v>
      </c>
      <c r="G17" s="146">
        <v>3</v>
      </c>
      <c r="H17" s="146">
        <v>0</v>
      </c>
      <c r="I17" s="134">
        <v>3</v>
      </c>
      <c r="J17" s="124">
        <v>0</v>
      </c>
      <c r="K17" s="102">
        <v>1</v>
      </c>
      <c r="L17" s="83">
        <v>0</v>
      </c>
      <c r="M17" s="89">
        <v>3</v>
      </c>
      <c r="N17" s="89">
        <v>3</v>
      </c>
      <c r="O17" s="89">
        <v>0</v>
      </c>
      <c r="P17" s="89">
        <v>1</v>
      </c>
      <c r="Q17" s="89">
        <v>0</v>
      </c>
      <c r="R17" s="89">
        <v>3</v>
      </c>
      <c r="S17" s="89">
        <v>3</v>
      </c>
      <c r="T17" s="89">
        <v>3</v>
      </c>
      <c r="U17" s="89">
        <v>3</v>
      </c>
      <c r="V17" s="89">
        <v>1</v>
      </c>
      <c r="W17" s="89">
        <v>3</v>
      </c>
      <c r="X17" s="89">
        <v>0</v>
      </c>
      <c r="Y17" s="89">
        <v>0</v>
      </c>
      <c r="Z17" s="89">
        <v>1</v>
      </c>
      <c r="AA17" s="89">
        <v>0</v>
      </c>
      <c r="AB17" s="89">
        <v>3</v>
      </c>
      <c r="AC17" s="89">
        <v>0</v>
      </c>
      <c r="AD17" s="89">
        <v>3</v>
      </c>
      <c r="AE17" s="89">
        <v>1</v>
      </c>
      <c r="AF17" s="89">
        <v>0</v>
      </c>
      <c r="AG17" s="96">
        <v>3</v>
      </c>
      <c r="AH17" s="83">
        <v>1</v>
      </c>
      <c r="AI17" s="89">
        <v>0</v>
      </c>
      <c r="AJ17" s="89">
        <v>3</v>
      </c>
      <c r="AK17" s="96">
        <v>3</v>
      </c>
    </row>
    <row r="18" spans="1:37" x14ac:dyDescent="0.25">
      <c r="A18" s="90">
        <f t="shared" si="0"/>
        <v>1.7647058823529411</v>
      </c>
      <c r="B18" s="131">
        <v>16</v>
      </c>
      <c r="C18" s="145" t="s">
        <v>189</v>
      </c>
      <c r="D18" s="145">
        <v>3</v>
      </c>
      <c r="E18" s="145">
        <v>1</v>
      </c>
      <c r="F18" s="145">
        <v>0</v>
      </c>
      <c r="G18" s="146">
        <v>3</v>
      </c>
      <c r="H18" s="146">
        <v>3</v>
      </c>
      <c r="I18" s="134">
        <v>3</v>
      </c>
      <c r="J18" s="124">
        <v>3</v>
      </c>
      <c r="K18" s="102">
        <v>3</v>
      </c>
      <c r="L18" s="83">
        <v>1</v>
      </c>
      <c r="M18" s="89">
        <v>0</v>
      </c>
      <c r="N18" s="89">
        <v>3</v>
      </c>
      <c r="O18" s="89">
        <v>3</v>
      </c>
      <c r="P18" s="89">
        <v>0</v>
      </c>
      <c r="Q18" s="89">
        <v>3</v>
      </c>
      <c r="R18" s="89">
        <v>0</v>
      </c>
      <c r="S18" s="89">
        <v>3</v>
      </c>
      <c r="T18" s="89">
        <v>1</v>
      </c>
      <c r="U18" s="89">
        <v>3</v>
      </c>
      <c r="V18" s="89">
        <v>0</v>
      </c>
      <c r="W18" s="89">
        <v>1</v>
      </c>
      <c r="X18" s="89">
        <v>0</v>
      </c>
      <c r="Y18" s="89">
        <v>3</v>
      </c>
      <c r="Z18" s="89">
        <v>3</v>
      </c>
      <c r="AA18" s="89">
        <v>3</v>
      </c>
      <c r="AB18" s="89">
        <v>1</v>
      </c>
      <c r="AC18" s="89">
        <v>3</v>
      </c>
      <c r="AD18" s="89">
        <v>3</v>
      </c>
      <c r="AE18" s="89">
        <v>1</v>
      </c>
      <c r="AF18" s="89">
        <v>0</v>
      </c>
      <c r="AG18" s="96">
        <v>3</v>
      </c>
      <c r="AH18" s="83">
        <v>1</v>
      </c>
      <c r="AI18" s="89">
        <v>1</v>
      </c>
      <c r="AJ18" s="89">
        <v>1</v>
      </c>
      <c r="AK18" s="96">
        <v>0</v>
      </c>
    </row>
    <row r="19" spans="1:37" x14ac:dyDescent="0.25">
      <c r="A19" s="90">
        <f t="shared" si="0"/>
        <v>1.7058823529411764</v>
      </c>
      <c r="B19" s="131">
        <v>17</v>
      </c>
      <c r="C19" s="145" t="s">
        <v>189</v>
      </c>
      <c r="D19" s="145">
        <v>3</v>
      </c>
      <c r="E19" s="145">
        <v>3</v>
      </c>
      <c r="F19" s="145">
        <v>3</v>
      </c>
      <c r="G19" s="146">
        <v>1</v>
      </c>
      <c r="H19" s="146">
        <v>3</v>
      </c>
      <c r="I19" s="134">
        <v>3</v>
      </c>
      <c r="J19" s="124">
        <v>0</v>
      </c>
      <c r="K19" s="102">
        <v>0</v>
      </c>
      <c r="L19" s="83">
        <v>1</v>
      </c>
      <c r="M19" s="89">
        <v>0</v>
      </c>
      <c r="N19" s="89">
        <v>3</v>
      </c>
      <c r="O19" s="89">
        <v>1</v>
      </c>
      <c r="P19" s="89">
        <v>1</v>
      </c>
      <c r="Q19" s="89">
        <v>3</v>
      </c>
      <c r="R19" s="89">
        <v>3</v>
      </c>
      <c r="S19" s="89">
        <v>0</v>
      </c>
      <c r="T19" s="89">
        <v>3</v>
      </c>
      <c r="U19" s="89">
        <v>1</v>
      </c>
      <c r="V19" s="89">
        <v>3</v>
      </c>
      <c r="W19" s="89">
        <v>3</v>
      </c>
      <c r="X19" s="89">
        <v>3</v>
      </c>
      <c r="Y19" s="89">
        <v>1</v>
      </c>
      <c r="Z19" s="89">
        <v>1</v>
      </c>
      <c r="AA19" s="89">
        <v>0</v>
      </c>
      <c r="AB19" s="89">
        <v>0</v>
      </c>
      <c r="AC19" s="89">
        <v>3</v>
      </c>
      <c r="AD19" s="89">
        <v>3</v>
      </c>
      <c r="AE19" s="89">
        <v>0</v>
      </c>
      <c r="AF19" s="89">
        <v>3</v>
      </c>
      <c r="AG19" s="96">
        <v>1</v>
      </c>
      <c r="AH19" s="83">
        <v>1</v>
      </c>
      <c r="AI19" s="89">
        <v>1</v>
      </c>
      <c r="AJ19" s="89">
        <v>3</v>
      </c>
      <c r="AK19" s="96">
        <v>0</v>
      </c>
    </row>
    <row r="20" spans="1:37" ht="15.75" thickBot="1" x14ac:dyDescent="0.3">
      <c r="A20" s="90">
        <f t="shared" si="0"/>
        <v>1.911764705882353</v>
      </c>
      <c r="B20" s="131">
        <v>18</v>
      </c>
      <c r="C20" s="145" t="s">
        <v>189</v>
      </c>
      <c r="D20" s="145">
        <v>3</v>
      </c>
      <c r="E20" s="145">
        <v>3</v>
      </c>
      <c r="F20" s="145">
        <v>1</v>
      </c>
      <c r="G20" s="146">
        <v>3</v>
      </c>
      <c r="H20" s="146">
        <v>3</v>
      </c>
      <c r="I20" s="134">
        <v>1</v>
      </c>
      <c r="J20" s="125">
        <v>1</v>
      </c>
      <c r="K20" s="102">
        <v>3</v>
      </c>
      <c r="L20" s="83">
        <v>3</v>
      </c>
      <c r="M20" s="89">
        <v>3</v>
      </c>
      <c r="N20" s="89">
        <v>0</v>
      </c>
      <c r="O20" s="89">
        <v>3</v>
      </c>
      <c r="P20" s="89">
        <v>3</v>
      </c>
      <c r="Q20" s="89">
        <v>3</v>
      </c>
      <c r="R20" s="89">
        <v>1</v>
      </c>
      <c r="S20" s="89">
        <v>3</v>
      </c>
      <c r="T20" s="89">
        <v>3</v>
      </c>
      <c r="U20" s="89">
        <v>1</v>
      </c>
      <c r="V20" s="89">
        <v>3</v>
      </c>
      <c r="W20" s="89">
        <v>1</v>
      </c>
      <c r="X20" s="89">
        <v>3</v>
      </c>
      <c r="Y20" s="89">
        <v>3</v>
      </c>
      <c r="Z20" s="89">
        <v>3</v>
      </c>
      <c r="AA20" s="89">
        <v>1</v>
      </c>
      <c r="AB20" s="89">
        <v>3</v>
      </c>
      <c r="AC20" s="89">
        <v>1</v>
      </c>
      <c r="AD20" s="89">
        <v>1</v>
      </c>
      <c r="AE20" s="89">
        <v>3</v>
      </c>
      <c r="AF20" s="89">
        <v>0</v>
      </c>
      <c r="AG20" s="96">
        <v>0</v>
      </c>
      <c r="AH20" s="83">
        <v>1</v>
      </c>
      <c r="AI20" s="89">
        <v>1</v>
      </c>
      <c r="AJ20" s="89">
        <v>0</v>
      </c>
      <c r="AK20" s="96">
        <v>0</v>
      </c>
    </row>
    <row r="21" spans="1:37" x14ac:dyDescent="0.25">
      <c r="A21" s="90">
        <f t="shared" si="0"/>
        <v>1.9411764705882353</v>
      </c>
      <c r="B21" s="131">
        <v>19</v>
      </c>
      <c r="C21" s="145" t="s">
        <v>189</v>
      </c>
      <c r="D21" s="145">
        <v>3</v>
      </c>
      <c r="E21" s="145">
        <v>3</v>
      </c>
      <c r="F21" s="145">
        <v>0</v>
      </c>
      <c r="G21" s="146">
        <v>3</v>
      </c>
      <c r="H21" s="146">
        <v>3</v>
      </c>
      <c r="I21" s="134">
        <v>3</v>
      </c>
      <c r="J21" s="123">
        <v>1</v>
      </c>
      <c r="K21" s="102">
        <v>1</v>
      </c>
      <c r="L21" s="83">
        <v>1</v>
      </c>
      <c r="M21" s="89">
        <v>3</v>
      </c>
      <c r="N21" s="89">
        <v>3</v>
      </c>
      <c r="O21" s="89">
        <v>3</v>
      </c>
      <c r="P21" s="89">
        <v>3</v>
      </c>
      <c r="Q21" s="89">
        <v>3</v>
      </c>
      <c r="R21" s="89">
        <v>3</v>
      </c>
      <c r="S21" s="89">
        <v>1</v>
      </c>
      <c r="T21" s="89">
        <v>3</v>
      </c>
      <c r="U21" s="89">
        <v>1</v>
      </c>
      <c r="V21" s="89">
        <v>1</v>
      </c>
      <c r="W21" s="89">
        <v>3</v>
      </c>
      <c r="X21" s="89">
        <v>1</v>
      </c>
      <c r="Y21" s="89">
        <v>3</v>
      </c>
      <c r="Z21" s="89">
        <v>3</v>
      </c>
      <c r="AA21" s="89">
        <v>3</v>
      </c>
      <c r="AB21" s="89">
        <v>3</v>
      </c>
      <c r="AC21" s="89">
        <v>0</v>
      </c>
      <c r="AD21" s="89">
        <v>0</v>
      </c>
      <c r="AE21" s="89">
        <v>3</v>
      </c>
      <c r="AF21" s="89">
        <v>3</v>
      </c>
      <c r="AG21" s="96">
        <v>1</v>
      </c>
      <c r="AH21" s="83">
        <v>0</v>
      </c>
      <c r="AI21" s="89">
        <v>0</v>
      </c>
      <c r="AJ21" s="89">
        <v>1</v>
      </c>
      <c r="AK21" s="96">
        <v>0</v>
      </c>
    </row>
    <row r="22" spans="1:37" x14ac:dyDescent="0.25">
      <c r="A22" s="90">
        <f t="shared" si="0"/>
        <v>1.8823529411764706</v>
      </c>
      <c r="B22" s="131">
        <v>20</v>
      </c>
      <c r="C22" s="145" t="s">
        <v>189</v>
      </c>
      <c r="D22" s="145">
        <v>3</v>
      </c>
      <c r="E22" s="145">
        <v>1</v>
      </c>
      <c r="F22" s="145">
        <v>0</v>
      </c>
      <c r="G22" s="146">
        <v>0</v>
      </c>
      <c r="H22" s="146">
        <v>3</v>
      </c>
      <c r="I22" s="134">
        <v>3</v>
      </c>
      <c r="J22" s="124">
        <v>0</v>
      </c>
      <c r="K22" s="102">
        <v>0</v>
      </c>
      <c r="L22" s="83">
        <v>3</v>
      </c>
      <c r="M22" s="89">
        <v>1</v>
      </c>
      <c r="N22" s="89">
        <v>3</v>
      </c>
      <c r="O22" s="89">
        <v>0</v>
      </c>
      <c r="P22" s="89">
        <v>3</v>
      </c>
      <c r="Q22" s="89">
        <v>1</v>
      </c>
      <c r="R22" s="89">
        <v>0</v>
      </c>
      <c r="S22" s="89">
        <v>3</v>
      </c>
      <c r="T22" s="89">
        <v>1</v>
      </c>
      <c r="U22" s="89">
        <v>3</v>
      </c>
      <c r="V22" s="89">
        <v>3</v>
      </c>
      <c r="W22" s="89">
        <v>3</v>
      </c>
      <c r="X22" s="89">
        <v>1</v>
      </c>
      <c r="Y22" s="89">
        <v>3</v>
      </c>
      <c r="Z22" s="89">
        <v>1</v>
      </c>
      <c r="AA22" s="89">
        <v>3</v>
      </c>
      <c r="AB22" s="89">
        <v>3</v>
      </c>
      <c r="AC22" s="89">
        <v>3</v>
      </c>
      <c r="AD22" s="89">
        <v>3</v>
      </c>
      <c r="AE22" s="89">
        <v>3</v>
      </c>
      <c r="AF22" s="89">
        <v>1</v>
      </c>
      <c r="AG22" s="96">
        <v>1</v>
      </c>
      <c r="AH22" s="83">
        <v>3</v>
      </c>
      <c r="AI22" s="89">
        <v>1</v>
      </c>
      <c r="AJ22" s="89">
        <v>3</v>
      </c>
      <c r="AK22" s="96">
        <v>1</v>
      </c>
    </row>
    <row r="23" spans="1:37" x14ac:dyDescent="0.25">
      <c r="A23" s="90">
        <f t="shared" si="0"/>
        <v>1.7647058823529411</v>
      </c>
      <c r="B23" s="131">
        <v>21</v>
      </c>
      <c r="C23" s="145" t="s">
        <v>189</v>
      </c>
      <c r="D23" s="145">
        <v>1</v>
      </c>
      <c r="E23" s="145">
        <v>3</v>
      </c>
      <c r="F23" s="145">
        <v>3</v>
      </c>
      <c r="G23" s="146">
        <v>1</v>
      </c>
      <c r="H23" s="146">
        <v>0</v>
      </c>
      <c r="I23" s="134">
        <v>1</v>
      </c>
      <c r="J23" s="124">
        <v>3</v>
      </c>
      <c r="K23" s="102">
        <v>3</v>
      </c>
      <c r="L23" s="83">
        <v>1</v>
      </c>
      <c r="M23" s="89">
        <v>3</v>
      </c>
      <c r="N23" s="89">
        <v>1</v>
      </c>
      <c r="O23" s="89">
        <v>3</v>
      </c>
      <c r="P23" s="89">
        <v>3</v>
      </c>
      <c r="Q23" s="89">
        <v>0</v>
      </c>
      <c r="R23" s="89">
        <v>0</v>
      </c>
      <c r="S23" s="89">
        <v>1</v>
      </c>
      <c r="T23" s="89">
        <v>3</v>
      </c>
      <c r="U23" s="89">
        <v>3</v>
      </c>
      <c r="V23" s="89">
        <v>3</v>
      </c>
      <c r="W23" s="89">
        <v>0</v>
      </c>
      <c r="X23" s="89">
        <v>3</v>
      </c>
      <c r="Y23" s="89">
        <v>3</v>
      </c>
      <c r="Z23" s="89">
        <v>3</v>
      </c>
      <c r="AA23" s="89">
        <v>1</v>
      </c>
      <c r="AB23" s="89">
        <v>1</v>
      </c>
      <c r="AC23" s="89">
        <v>1</v>
      </c>
      <c r="AD23" s="89">
        <v>1</v>
      </c>
      <c r="AE23" s="89">
        <v>1</v>
      </c>
      <c r="AF23" s="89">
        <v>3</v>
      </c>
      <c r="AG23" s="96">
        <v>3</v>
      </c>
      <c r="AH23" s="83">
        <v>0</v>
      </c>
      <c r="AI23" s="89">
        <v>3</v>
      </c>
      <c r="AJ23" s="89">
        <v>0</v>
      </c>
      <c r="AK23" s="96">
        <v>1</v>
      </c>
    </row>
    <row r="24" spans="1:37" x14ac:dyDescent="0.25">
      <c r="A24" s="90">
        <f t="shared" si="0"/>
        <v>1.4411764705882353</v>
      </c>
      <c r="B24" s="106">
        <v>22</v>
      </c>
      <c r="C24" s="145" t="s">
        <v>189</v>
      </c>
      <c r="D24" s="145">
        <v>1</v>
      </c>
      <c r="E24" s="145">
        <v>1</v>
      </c>
      <c r="F24" s="145">
        <v>3</v>
      </c>
      <c r="G24" s="146">
        <v>0</v>
      </c>
      <c r="H24" s="146">
        <v>0</v>
      </c>
      <c r="I24" s="134">
        <v>0</v>
      </c>
      <c r="J24" s="124">
        <v>1</v>
      </c>
      <c r="K24" s="102">
        <v>0</v>
      </c>
      <c r="L24" s="83">
        <v>1</v>
      </c>
      <c r="M24" s="89">
        <v>3</v>
      </c>
      <c r="N24" s="89">
        <v>1</v>
      </c>
      <c r="O24" s="89">
        <v>3</v>
      </c>
      <c r="P24" s="89">
        <v>3</v>
      </c>
      <c r="Q24" s="89">
        <v>0</v>
      </c>
      <c r="R24" s="89">
        <v>0</v>
      </c>
      <c r="S24" s="89">
        <v>3</v>
      </c>
      <c r="T24" s="89">
        <v>3</v>
      </c>
      <c r="U24" s="89">
        <v>3</v>
      </c>
      <c r="V24" s="89">
        <v>1</v>
      </c>
      <c r="W24" s="89">
        <v>3</v>
      </c>
      <c r="X24" s="89">
        <v>0</v>
      </c>
      <c r="Y24" s="89">
        <v>1</v>
      </c>
      <c r="Z24" s="89">
        <v>3</v>
      </c>
      <c r="AA24" s="89">
        <v>3</v>
      </c>
      <c r="AB24" s="89">
        <v>1</v>
      </c>
      <c r="AC24" s="89">
        <v>0</v>
      </c>
      <c r="AD24" s="89">
        <v>3</v>
      </c>
      <c r="AE24" s="89">
        <v>3</v>
      </c>
      <c r="AF24" s="89">
        <v>1</v>
      </c>
      <c r="AG24" s="96">
        <v>0</v>
      </c>
      <c r="AH24" s="83">
        <v>0</v>
      </c>
      <c r="AI24" s="89">
        <v>1</v>
      </c>
      <c r="AJ24" s="89">
        <v>3</v>
      </c>
      <c r="AK24" s="96">
        <v>0</v>
      </c>
    </row>
    <row r="25" spans="1:37" x14ac:dyDescent="0.25">
      <c r="A25" s="90">
        <f t="shared" si="0"/>
        <v>1.7941176470588236</v>
      </c>
      <c r="B25" s="131">
        <v>23</v>
      </c>
      <c r="C25" s="145" t="s">
        <v>189</v>
      </c>
      <c r="D25" s="145">
        <v>0</v>
      </c>
      <c r="E25" s="145">
        <v>3</v>
      </c>
      <c r="F25" s="145">
        <v>3</v>
      </c>
      <c r="G25" s="146">
        <v>3</v>
      </c>
      <c r="H25" s="146">
        <v>1</v>
      </c>
      <c r="I25" s="134">
        <v>0</v>
      </c>
      <c r="J25" s="124">
        <v>1</v>
      </c>
      <c r="K25" s="102">
        <v>3</v>
      </c>
      <c r="L25" s="83">
        <v>0</v>
      </c>
      <c r="M25" s="89">
        <v>0</v>
      </c>
      <c r="N25" s="89">
        <v>0</v>
      </c>
      <c r="O25" s="89">
        <v>3</v>
      </c>
      <c r="P25" s="89">
        <v>1</v>
      </c>
      <c r="Q25" s="89">
        <v>3</v>
      </c>
      <c r="R25" s="89">
        <v>1</v>
      </c>
      <c r="S25" s="89">
        <v>3</v>
      </c>
      <c r="T25" s="89">
        <v>1</v>
      </c>
      <c r="U25" s="89">
        <v>1</v>
      </c>
      <c r="V25" s="89">
        <v>3</v>
      </c>
      <c r="W25" s="89">
        <v>3</v>
      </c>
      <c r="X25" s="89">
        <v>0</v>
      </c>
      <c r="Y25" s="89">
        <v>0</v>
      </c>
      <c r="Z25" s="89">
        <v>3</v>
      </c>
      <c r="AA25" s="89">
        <v>3</v>
      </c>
      <c r="AB25" s="89">
        <v>3</v>
      </c>
      <c r="AC25" s="89">
        <v>1</v>
      </c>
      <c r="AD25" s="89">
        <v>1</v>
      </c>
      <c r="AE25" s="89">
        <v>3</v>
      </c>
      <c r="AF25" s="89">
        <v>3</v>
      </c>
      <c r="AG25" s="96">
        <v>3</v>
      </c>
      <c r="AH25" s="83">
        <v>3</v>
      </c>
      <c r="AI25" s="89">
        <v>1</v>
      </c>
      <c r="AJ25" s="89">
        <v>3</v>
      </c>
      <c r="AK25" s="96">
        <v>1</v>
      </c>
    </row>
    <row r="26" spans="1:37" x14ac:dyDescent="0.25">
      <c r="A26" s="90">
        <f t="shared" si="0"/>
        <v>2.2058823529411766</v>
      </c>
      <c r="B26" s="131">
        <v>24</v>
      </c>
      <c r="C26" s="145" t="s">
        <v>189</v>
      </c>
      <c r="D26" s="145">
        <v>3</v>
      </c>
      <c r="E26" s="145">
        <v>3</v>
      </c>
      <c r="F26" s="145">
        <v>3</v>
      </c>
      <c r="G26" s="146">
        <v>3</v>
      </c>
      <c r="H26" s="146">
        <v>3</v>
      </c>
      <c r="I26" s="134">
        <v>3</v>
      </c>
      <c r="J26" s="124">
        <v>1</v>
      </c>
      <c r="K26" s="102">
        <v>3</v>
      </c>
      <c r="L26" s="83">
        <v>3</v>
      </c>
      <c r="M26" s="89">
        <v>0</v>
      </c>
      <c r="N26" s="89">
        <v>1</v>
      </c>
      <c r="O26" s="89">
        <v>0</v>
      </c>
      <c r="P26" s="89">
        <v>3</v>
      </c>
      <c r="Q26" s="89">
        <v>1</v>
      </c>
      <c r="R26" s="89">
        <v>3</v>
      </c>
      <c r="S26" s="89">
        <v>3</v>
      </c>
      <c r="T26" s="89">
        <v>0</v>
      </c>
      <c r="U26" s="89">
        <v>1</v>
      </c>
      <c r="V26" s="89">
        <v>3</v>
      </c>
      <c r="W26" s="89">
        <v>3</v>
      </c>
      <c r="X26" s="89">
        <v>3</v>
      </c>
      <c r="Y26" s="89">
        <v>3</v>
      </c>
      <c r="Z26" s="89">
        <v>3</v>
      </c>
      <c r="AA26" s="89">
        <v>3</v>
      </c>
      <c r="AB26" s="89">
        <v>3</v>
      </c>
      <c r="AC26" s="89">
        <v>1</v>
      </c>
      <c r="AD26" s="89">
        <v>0</v>
      </c>
      <c r="AE26" s="89">
        <v>3</v>
      </c>
      <c r="AF26" s="89">
        <v>3</v>
      </c>
      <c r="AG26" s="96">
        <v>3</v>
      </c>
      <c r="AH26" s="83">
        <v>0</v>
      </c>
      <c r="AI26" s="89">
        <v>1</v>
      </c>
      <c r="AJ26" s="89">
        <v>3</v>
      </c>
      <c r="AK26" s="96">
        <v>3</v>
      </c>
    </row>
    <row r="27" spans="1:37" x14ac:dyDescent="0.25">
      <c r="A27" s="90">
        <f t="shared" si="0"/>
        <v>1.5588235294117647</v>
      </c>
      <c r="B27" s="131">
        <v>25</v>
      </c>
      <c r="C27" s="145" t="s">
        <v>189</v>
      </c>
      <c r="D27" s="145">
        <v>3</v>
      </c>
      <c r="E27" s="145">
        <v>3</v>
      </c>
      <c r="F27" s="145">
        <v>3</v>
      </c>
      <c r="G27" s="146">
        <v>3</v>
      </c>
      <c r="H27" s="146">
        <v>0</v>
      </c>
      <c r="I27" s="134">
        <v>0</v>
      </c>
      <c r="J27" s="124">
        <v>1</v>
      </c>
      <c r="K27" s="102">
        <v>0</v>
      </c>
      <c r="L27" s="83">
        <v>0</v>
      </c>
      <c r="M27" s="89">
        <v>3</v>
      </c>
      <c r="N27" s="89">
        <v>3</v>
      </c>
      <c r="O27" s="89">
        <v>3</v>
      </c>
      <c r="P27" s="89">
        <v>0</v>
      </c>
      <c r="Q27" s="89">
        <v>3</v>
      </c>
      <c r="R27" s="89">
        <v>3</v>
      </c>
      <c r="S27" s="89">
        <v>1</v>
      </c>
      <c r="T27" s="89">
        <v>0</v>
      </c>
      <c r="U27" s="89">
        <v>1</v>
      </c>
      <c r="V27" s="89">
        <v>3</v>
      </c>
      <c r="W27" s="89">
        <v>1</v>
      </c>
      <c r="X27" s="89">
        <v>1</v>
      </c>
      <c r="Y27" s="89">
        <v>0</v>
      </c>
      <c r="Z27" s="89">
        <v>3</v>
      </c>
      <c r="AA27" s="89">
        <v>1</v>
      </c>
      <c r="AB27" s="89">
        <v>1</v>
      </c>
      <c r="AC27" s="89">
        <v>3</v>
      </c>
      <c r="AD27" s="89">
        <v>0</v>
      </c>
      <c r="AE27" s="89">
        <v>1</v>
      </c>
      <c r="AF27" s="89">
        <v>3</v>
      </c>
      <c r="AG27" s="96">
        <v>1</v>
      </c>
      <c r="AH27" s="83">
        <v>1</v>
      </c>
      <c r="AI27" s="89">
        <v>3</v>
      </c>
      <c r="AJ27" s="89">
        <v>1</v>
      </c>
      <c r="AK27" s="96">
        <v>0</v>
      </c>
    </row>
    <row r="28" spans="1:37" x14ac:dyDescent="0.25">
      <c r="A28" s="90">
        <f t="shared" si="0"/>
        <v>2.1176470588235294</v>
      </c>
      <c r="B28" s="131">
        <v>26</v>
      </c>
      <c r="C28" s="145" t="s">
        <v>189</v>
      </c>
      <c r="D28" s="145">
        <v>1</v>
      </c>
      <c r="E28" s="145">
        <v>0</v>
      </c>
      <c r="F28" s="145">
        <v>3</v>
      </c>
      <c r="G28" s="146">
        <v>3</v>
      </c>
      <c r="H28" s="146">
        <v>0</v>
      </c>
      <c r="I28" s="134">
        <v>3</v>
      </c>
      <c r="J28" s="124">
        <v>3</v>
      </c>
      <c r="K28" s="102">
        <v>3</v>
      </c>
      <c r="L28" s="83">
        <v>3</v>
      </c>
      <c r="M28" s="89">
        <v>0</v>
      </c>
      <c r="N28" s="89">
        <v>3</v>
      </c>
      <c r="O28" s="89">
        <v>3</v>
      </c>
      <c r="P28" s="89">
        <v>0</v>
      </c>
      <c r="Q28" s="89">
        <v>3</v>
      </c>
      <c r="R28" s="89">
        <v>3</v>
      </c>
      <c r="S28" s="89">
        <v>3</v>
      </c>
      <c r="T28" s="89">
        <v>3</v>
      </c>
      <c r="U28" s="89">
        <v>1</v>
      </c>
      <c r="V28" s="89">
        <v>3</v>
      </c>
      <c r="W28" s="89">
        <v>3</v>
      </c>
      <c r="X28" s="89">
        <v>0</v>
      </c>
      <c r="Y28" s="89">
        <v>3</v>
      </c>
      <c r="Z28" s="89">
        <v>3</v>
      </c>
      <c r="AA28" s="89">
        <v>3</v>
      </c>
      <c r="AB28" s="89">
        <v>3</v>
      </c>
      <c r="AC28" s="89">
        <v>3</v>
      </c>
      <c r="AD28" s="89">
        <v>3</v>
      </c>
      <c r="AE28" s="89">
        <v>3</v>
      </c>
      <c r="AF28" s="89">
        <v>1</v>
      </c>
      <c r="AG28" s="96">
        <v>1</v>
      </c>
      <c r="AH28" s="83">
        <v>3</v>
      </c>
      <c r="AI28" s="89">
        <v>1</v>
      </c>
      <c r="AJ28" s="89">
        <v>1</v>
      </c>
      <c r="AK28" s="96">
        <v>0</v>
      </c>
    </row>
    <row r="29" spans="1:37" x14ac:dyDescent="0.25">
      <c r="A29" s="90">
        <f t="shared" si="0"/>
        <v>1.8823529411764706</v>
      </c>
      <c r="B29" s="131">
        <v>27</v>
      </c>
      <c r="C29" s="145" t="s">
        <v>189</v>
      </c>
      <c r="D29" s="145">
        <v>1</v>
      </c>
      <c r="E29" s="145">
        <v>1</v>
      </c>
      <c r="F29" s="145">
        <v>3</v>
      </c>
      <c r="G29" s="146">
        <v>3</v>
      </c>
      <c r="H29" s="146">
        <v>3</v>
      </c>
      <c r="I29" s="134">
        <v>1</v>
      </c>
      <c r="J29" s="124">
        <v>3</v>
      </c>
      <c r="K29" s="102">
        <v>3</v>
      </c>
      <c r="L29" s="83">
        <v>0</v>
      </c>
      <c r="M29" s="89">
        <v>0</v>
      </c>
      <c r="N29" s="89">
        <v>0</v>
      </c>
      <c r="O29" s="89">
        <v>3</v>
      </c>
      <c r="P29" s="89">
        <v>1</v>
      </c>
      <c r="Q29" s="89">
        <v>3</v>
      </c>
      <c r="R29" s="89">
        <v>3</v>
      </c>
      <c r="S29" s="89">
        <v>3</v>
      </c>
      <c r="T29" s="89">
        <v>3</v>
      </c>
      <c r="U29" s="89">
        <v>1</v>
      </c>
      <c r="V29" s="89">
        <v>1</v>
      </c>
      <c r="W29" s="89">
        <v>3</v>
      </c>
      <c r="X29" s="89">
        <v>0</v>
      </c>
      <c r="Y29" s="89">
        <v>3</v>
      </c>
      <c r="Z29" s="89">
        <v>3</v>
      </c>
      <c r="AA29" s="89">
        <v>1</v>
      </c>
      <c r="AB29" s="89">
        <v>3</v>
      </c>
      <c r="AC29" s="89">
        <v>3</v>
      </c>
      <c r="AD29" s="89">
        <v>1</v>
      </c>
      <c r="AE29" s="89">
        <v>1</v>
      </c>
      <c r="AF29" s="89">
        <v>3</v>
      </c>
      <c r="AG29" s="96">
        <v>0</v>
      </c>
      <c r="AH29" s="83">
        <v>3</v>
      </c>
      <c r="AI29" s="89">
        <v>0</v>
      </c>
      <c r="AJ29" s="89">
        <v>1</v>
      </c>
      <c r="AK29" s="96">
        <v>3</v>
      </c>
    </row>
    <row r="30" spans="1:37" x14ac:dyDescent="0.25">
      <c r="A30" s="90">
        <f t="shared" si="0"/>
        <v>1.8529411764705883</v>
      </c>
      <c r="B30" s="131">
        <v>28</v>
      </c>
      <c r="C30" s="145" t="s">
        <v>189</v>
      </c>
      <c r="D30" s="145">
        <v>3</v>
      </c>
      <c r="E30" s="145">
        <v>1</v>
      </c>
      <c r="F30" s="145">
        <v>3</v>
      </c>
      <c r="G30" s="146">
        <v>3</v>
      </c>
      <c r="H30" s="146">
        <v>3</v>
      </c>
      <c r="I30" s="134">
        <v>3</v>
      </c>
      <c r="J30" s="124">
        <v>0</v>
      </c>
      <c r="K30" s="102">
        <v>3</v>
      </c>
      <c r="L30" s="83">
        <v>0</v>
      </c>
      <c r="M30" s="89">
        <v>1</v>
      </c>
      <c r="N30" s="89">
        <v>0</v>
      </c>
      <c r="O30" s="89">
        <v>3</v>
      </c>
      <c r="P30" s="89">
        <v>3</v>
      </c>
      <c r="Q30" s="89">
        <v>0</v>
      </c>
      <c r="R30" s="89">
        <v>3</v>
      </c>
      <c r="S30" s="89">
        <v>1</v>
      </c>
      <c r="T30" s="89">
        <v>3</v>
      </c>
      <c r="U30" s="89">
        <v>3</v>
      </c>
      <c r="V30" s="89">
        <v>1</v>
      </c>
      <c r="W30" s="89">
        <v>3</v>
      </c>
      <c r="X30" s="89">
        <v>3</v>
      </c>
      <c r="Y30" s="89">
        <v>1</v>
      </c>
      <c r="Z30" s="89">
        <v>3</v>
      </c>
      <c r="AA30" s="89">
        <v>3</v>
      </c>
      <c r="AB30" s="89">
        <v>3</v>
      </c>
      <c r="AC30" s="89">
        <v>0</v>
      </c>
      <c r="AD30" s="89">
        <v>0</v>
      </c>
      <c r="AE30" s="89">
        <v>3</v>
      </c>
      <c r="AF30" s="89">
        <v>3</v>
      </c>
      <c r="AG30" s="96">
        <v>0</v>
      </c>
      <c r="AH30" s="83">
        <v>1</v>
      </c>
      <c r="AI30" s="89">
        <v>1</v>
      </c>
      <c r="AJ30" s="89">
        <v>1</v>
      </c>
      <c r="AK30" s="96">
        <v>1</v>
      </c>
    </row>
    <row r="31" spans="1:37" x14ac:dyDescent="0.25">
      <c r="A31" s="90">
        <f t="shared" si="0"/>
        <v>2.2941176470588234</v>
      </c>
      <c r="B31" s="131">
        <v>29</v>
      </c>
      <c r="C31" s="145" t="s">
        <v>189</v>
      </c>
      <c r="D31" s="145">
        <v>3</v>
      </c>
      <c r="E31" s="145">
        <v>3</v>
      </c>
      <c r="F31" s="145">
        <v>3</v>
      </c>
      <c r="G31" s="146">
        <v>3</v>
      </c>
      <c r="H31" s="146">
        <v>3</v>
      </c>
      <c r="I31" s="134">
        <v>1</v>
      </c>
      <c r="J31" s="124">
        <v>3</v>
      </c>
      <c r="K31" s="102">
        <v>1</v>
      </c>
      <c r="L31" s="83">
        <v>0</v>
      </c>
      <c r="M31" s="89">
        <v>3</v>
      </c>
      <c r="N31" s="89">
        <v>1</v>
      </c>
      <c r="O31" s="89">
        <v>3</v>
      </c>
      <c r="P31" s="89">
        <v>0</v>
      </c>
      <c r="Q31" s="89">
        <v>3</v>
      </c>
      <c r="R31" s="89">
        <v>3</v>
      </c>
      <c r="S31" s="89">
        <v>1</v>
      </c>
      <c r="T31" s="89">
        <v>3</v>
      </c>
      <c r="U31" s="89">
        <v>3</v>
      </c>
      <c r="V31" s="89">
        <v>1</v>
      </c>
      <c r="W31" s="89">
        <v>0</v>
      </c>
      <c r="X31" s="89">
        <v>3</v>
      </c>
      <c r="Y31" s="89">
        <v>3</v>
      </c>
      <c r="Z31" s="89">
        <v>3</v>
      </c>
      <c r="AA31" s="89">
        <v>3</v>
      </c>
      <c r="AB31" s="89">
        <v>3</v>
      </c>
      <c r="AC31" s="89">
        <v>3</v>
      </c>
      <c r="AD31" s="89">
        <v>3</v>
      </c>
      <c r="AE31" s="89">
        <v>3</v>
      </c>
      <c r="AF31" s="89">
        <v>3</v>
      </c>
      <c r="AG31" s="96">
        <v>3</v>
      </c>
      <c r="AH31" s="83">
        <v>3</v>
      </c>
      <c r="AI31" s="89">
        <v>3</v>
      </c>
      <c r="AJ31" s="89">
        <v>1</v>
      </c>
      <c r="AK31" s="96">
        <v>0</v>
      </c>
    </row>
    <row r="32" spans="1:37" x14ac:dyDescent="0.25">
      <c r="A32" s="90">
        <f t="shared" si="0"/>
        <v>2.1470588235294117</v>
      </c>
      <c r="B32" s="131">
        <v>30</v>
      </c>
      <c r="C32" s="145" t="s">
        <v>189</v>
      </c>
      <c r="D32" s="145">
        <v>3</v>
      </c>
      <c r="E32" s="145">
        <v>3</v>
      </c>
      <c r="F32" s="145">
        <v>1</v>
      </c>
      <c r="G32" s="146">
        <v>1</v>
      </c>
      <c r="H32" s="146">
        <v>3</v>
      </c>
      <c r="I32" s="134">
        <v>0</v>
      </c>
      <c r="J32" s="124">
        <v>0</v>
      </c>
      <c r="K32" s="102">
        <v>3</v>
      </c>
      <c r="L32" s="83">
        <v>3</v>
      </c>
      <c r="M32" s="89">
        <v>0</v>
      </c>
      <c r="N32" s="89">
        <v>3</v>
      </c>
      <c r="O32" s="89">
        <v>3</v>
      </c>
      <c r="P32" s="89">
        <v>3</v>
      </c>
      <c r="Q32" s="89">
        <v>3</v>
      </c>
      <c r="R32" s="89">
        <v>3</v>
      </c>
      <c r="S32" s="89">
        <v>1</v>
      </c>
      <c r="T32" s="89">
        <v>3</v>
      </c>
      <c r="U32" s="89">
        <v>3</v>
      </c>
      <c r="V32" s="89">
        <v>1</v>
      </c>
      <c r="W32" s="89">
        <v>0</v>
      </c>
      <c r="X32" s="89">
        <v>3</v>
      </c>
      <c r="Y32" s="89">
        <v>3</v>
      </c>
      <c r="Z32" s="89">
        <v>1</v>
      </c>
      <c r="AA32" s="89">
        <v>0</v>
      </c>
      <c r="AB32" s="89">
        <v>3</v>
      </c>
      <c r="AC32" s="89">
        <v>1</v>
      </c>
      <c r="AD32" s="89">
        <v>3</v>
      </c>
      <c r="AE32" s="89">
        <v>3</v>
      </c>
      <c r="AF32" s="89">
        <v>3</v>
      </c>
      <c r="AG32" s="96">
        <v>3</v>
      </c>
      <c r="AH32" s="83">
        <v>3</v>
      </c>
      <c r="AI32" s="89">
        <v>3</v>
      </c>
      <c r="AJ32" s="89">
        <v>3</v>
      </c>
      <c r="AK32" s="96">
        <v>1</v>
      </c>
    </row>
    <row r="33" spans="1:37" x14ac:dyDescent="0.25">
      <c r="A33" s="90">
        <f t="shared" si="0"/>
        <v>2.2058823529411766</v>
      </c>
      <c r="B33" s="131">
        <v>31</v>
      </c>
      <c r="C33" s="145" t="s">
        <v>189</v>
      </c>
      <c r="D33" s="145">
        <v>3</v>
      </c>
      <c r="E33" s="145">
        <v>1</v>
      </c>
      <c r="F33" s="145">
        <v>3</v>
      </c>
      <c r="G33" s="146">
        <v>1</v>
      </c>
      <c r="H33" s="146">
        <v>0</v>
      </c>
      <c r="I33" s="134">
        <v>3</v>
      </c>
      <c r="J33" s="124">
        <v>3</v>
      </c>
      <c r="K33" s="102">
        <v>3</v>
      </c>
      <c r="L33" s="83">
        <v>3</v>
      </c>
      <c r="M33" s="89">
        <v>3</v>
      </c>
      <c r="N33" s="89">
        <v>3</v>
      </c>
      <c r="O33" s="89">
        <v>3</v>
      </c>
      <c r="P33" s="89">
        <v>0</v>
      </c>
      <c r="Q33" s="89">
        <v>3</v>
      </c>
      <c r="R33" s="89">
        <v>0</v>
      </c>
      <c r="S33" s="89">
        <v>3</v>
      </c>
      <c r="T33" s="89">
        <v>3</v>
      </c>
      <c r="U33" s="89">
        <v>3</v>
      </c>
      <c r="V33" s="89">
        <v>0</v>
      </c>
      <c r="W33" s="89">
        <v>0</v>
      </c>
      <c r="X33" s="89">
        <v>3</v>
      </c>
      <c r="Y33" s="89">
        <v>3</v>
      </c>
      <c r="Z33" s="89">
        <v>3</v>
      </c>
      <c r="AA33" s="89">
        <v>3</v>
      </c>
      <c r="AB33" s="89">
        <v>3</v>
      </c>
      <c r="AC33" s="89">
        <v>3</v>
      </c>
      <c r="AD33" s="89">
        <v>3</v>
      </c>
      <c r="AE33" s="89">
        <v>1</v>
      </c>
      <c r="AF33" s="89">
        <v>3</v>
      </c>
      <c r="AG33" s="96">
        <v>3</v>
      </c>
      <c r="AH33" s="83">
        <v>0</v>
      </c>
      <c r="AI33" s="89">
        <v>0</v>
      </c>
      <c r="AJ33" s="89">
        <v>3</v>
      </c>
      <c r="AK33" s="96">
        <v>3</v>
      </c>
    </row>
    <row r="34" spans="1:37" x14ac:dyDescent="0.25">
      <c r="A34" s="90">
        <f t="shared" si="0"/>
        <v>1.9705882352941178</v>
      </c>
      <c r="B34" s="131">
        <v>32</v>
      </c>
      <c r="C34" s="145" t="s">
        <v>189</v>
      </c>
      <c r="D34" s="145">
        <v>0</v>
      </c>
      <c r="E34" s="145">
        <v>1</v>
      </c>
      <c r="F34" s="145">
        <v>3</v>
      </c>
      <c r="G34" s="146">
        <v>1</v>
      </c>
      <c r="H34" s="146">
        <v>3</v>
      </c>
      <c r="I34" s="134">
        <v>1</v>
      </c>
      <c r="J34" s="124">
        <v>3</v>
      </c>
      <c r="K34" s="102">
        <v>0</v>
      </c>
      <c r="L34" s="83">
        <v>3</v>
      </c>
      <c r="M34" s="89">
        <v>3</v>
      </c>
      <c r="N34" s="89">
        <v>1</v>
      </c>
      <c r="O34" s="89">
        <v>3</v>
      </c>
      <c r="P34" s="89">
        <v>1</v>
      </c>
      <c r="Q34" s="89">
        <v>3</v>
      </c>
      <c r="R34" s="89">
        <v>3</v>
      </c>
      <c r="S34" s="89">
        <v>1</v>
      </c>
      <c r="T34" s="89">
        <v>1</v>
      </c>
      <c r="U34" s="89">
        <v>3</v>
      </c>
      <c r="V34" s="89">
        <v>3</v>
      </c>
      <c r="W34" s="89">
        <v>1</v>
      </c>
      <c r="X34" s="89">
        <v>0</v>
      </c>
      <c r="Y34" s="89">
        <v>3</v>
      </c>
      <c r="Z34" s="89">
        <v>1</v>
      </c>
      <c r="AA34" s="89">
        <v>1</v>
      </c>
      <c r="AB34" s="89">
        <v>3</v>
      </c>
      <c r="AC34" s="89">
        <v>3</v>
      </c>
      <c r="AD34" s="89">
        <v>3</v>
      </c>
      <c r="AE34" s="89">
        <v>3</v>
      </c>
      <c r="AF34" s="89">
        <v>3</v>
      </c>
      <c r="AG34" s="96">
        <v>0</v>
      </c>
      <c r="AH34" s="83">
        <v>3</v>
      </c>
      <c r="AI34" s="89">
        <v>0</v>
      </c>
      <c r="AJ34" s="89">
        <v>3</v>
      </c>
      <c r="AK34" s="96">
        <v>3</v>
      </c>
    </row>
    <row r="35" spans="1:37" x14ac:dyDescent="0.25">
      <c r="A35" s="90">
        <f t="shared" si="0"/>
        <v>1.588235294117647</v>
      </c>
      <c r="B35" s="131">
        <v>33</v>
      </c>
      <c r="C35" s="145" t="s">
        <v>189</v>
      </c>
      <c r="D35" s="145">
        <v>0</v>
      </c>
      <c r="E35" s="145">
        <v>3</v>
      </c>
      <c r="F35" s="145">
        <v>0</v>
      </c>
      <c r="G35" s="146">
        <v>0</v>
      </c>
      <c r="H35" s="146">
        <v>3</v>
      </c>
      <c r="I35" s="134">
        <v>0</v>
      </c>
      <c r="J35" s="124">
        <v>3</v>
      </c>
      <c r="K35" s="102">
        <v>3</v>
      </c>
      <c r="L35" s="83">
        <v>0</v>
      </c>
      <c r="M35" s="89">
        <v>0</v>
      </c>
      <c r="N35" s="89">
        <v>1</v>
      </c>
      <c r="O35" s="89">
        <v>1</v>
      </c>
      <c r="P35" s="89">
        <v>1</v>
      </c>
      <c r="Q35" s="89">
        <v>1</v>
      </c>
      <c r="R35" s="89">
        <v>3</v>
      </c>
      <c r="S35" s="89">
        <v>1</v>
      </c>
      <c r="T35" s="89">
        <v>3</v>
      </c>
      <c r="U35" s="89">
        <v>1</v>
      </c>
      <c r="V35" s="89">
        <v>1</v>
      </c>
      <c r="W35" s="89">
        <v>3</v>
      </c>
      <c r="X35" s="89">
        <v>1</v>
      </c>
      <c r="Y35" s="89">
        <v>1</v>
      </c>
      <c r="Z35" s="89">
        <v>3</v>
      </c>
      <c r="AA35" s="89">
        <v>1</v>
      </c>
      <c r="AB35" s="89">
        <v>3</v>
      </c>
      <c r="AC35" s="89">
        <v>0</v>
      </c>
      <c r="AD35" s="89">
        <v>3</v>
      </c>
      <c r="AE35" s="89">
        <v>3</v>
      </c>
      <c r="AF35" s="89">
        <v>3</v>
      </c>
      <c r="AG35" s="96">
        <v>3</v>
      </c>
      <c r="AH35" s="83">
        <v>3</v>
      </c>
      <c r="AI35" s="89">
        <v>0</v>
      </c>
      <c r="AJ35" s="89">
        <v>1</v>
      </c>
      <c r="AK35" s="96">
        <v>1</v>
      </c>
    </row>
    <row r="36" spans="1:37" x14ac:dyDescent="0.25">
      <c r="A36" s="90">
        <f t="shared" si="0"/>
        <v>2.1176470588235294</v>
      </c>
      <c r="B36" s="131">
        <v>34</v>
      </c>
      <c r="C36" s="145" t="s">
        <v>189</v>
      </c>
      <c r="D36" s="145">
        <v>3</v>
      </c>
      <c r="E36" s="145">
        <v>1</v>
      </c>
      <c r="F36" s="145">
        <v>3</v>
      </c>
      <c r="G36" s="146">
        <v>3</v>
      </c>
      <c r="H36" s="146">
        <v>3</v>
      </c>
      <c r="I36" s="134">
        <v>3</v>
      </c>
      <c r="J36" s="124">
        <v>1</v>
      </c>
      <c r="K36" s="102">
        <v>0</v>
      </c>
      <c r="L36" s="83">
        <v>3</v>
      </c>
      <c r="M36" s="89">
        <v>3</v>
      </c>
      <c r="N36" s="89">
        <v>3</v>
      </c>
      <c r="O36" s="89">
        <v>3</v>
      </c>
      <c r="P36" s="89">
        <v>3</v>
      </c>
      <c r="Q36" s="89">
        <v>3</v>
      </c>
      <c r="R36" s="89">
        <v>0</v>
      </c>
      <c r="S36" s="89">
        <v>0</v>
      </c>
      <c r="T36" s="89">
        <v>0</v>
      </c>
      <c r="U36" s="89">
        <v>3</v>
      </c>
      <c r="V36" s="89">
        <v>0</v>
      </c>
      <c r="W36" s="89">
        <v>3</v>
      </c>
      <c r="X36" s="89">
        <v>3</v>
      </c>
      <c r="Y36" s="89">
        <v>3</v>
      </c>
      <c r="Z36" s="89">
        <v>1</v>
      </c>
      <c r="AA36" s="89">
        <v>3</v>
      </c>
      <c r="AB36" s="89">
        <v>3</v>
      </c>
      <c r="AC36" s="89">
        <v>3</v>
      </c>
      <c r="AD36" s="89">
        <v>3</v>
      </c>
      <c r="AE36" s="89">
        <v>3</v>
      </c>
      <c r="AF36" s="89">
        <v>3</v>
      </c>
      <c r="AG36" s="96">
        <v>3</v>
      </c>
      <c r="AH36" s="83">
        <v>0</v>
      </c>
      <c r="AI36" s="89">
        <v>0</v>
      </c>
      <c r="AJ36" s="89">
        <v>3</v>
      </c>
      <c r="AK36" s="96">
        <v>0</v>
      </c>
    </row>
    <row r="37" spans="1:37" x14ac:dyDescent="0.25">
      <c r="A37" s="90">
        <f t="shared" si="0"/>
        <v>1.8823529411764706</v>
      </c>
      <c r="B37" s="131">
        <v>35</v>
      </c>
      <c r="C37" s="145" t="s">
        <v>189</v>
      </c>
      <c r="D37" s="145">
        <v>3</v>
      </c>
      <c r="E37" s="145">
        <v>0</v>
      </c>
      <c r="F37" s="145">
        <v>3</v>
      </c>
      <c r="G37" s="146">
        <v>3</v>
      </c>
      <c r="H37" s="146">
        <v>3</v>
      </c>
      <c r="I37" s="134">
        <v>3</v>
      </c>
      <c r="J37" s="124">
        <v>0</v>
      </c>
      <c r="K37" s="102">
        <v>0</v>
      </c>
      <c r="L37" s="83">
        <v>0</v>
      </c>
      <c r="M37" s="89">
        <v>3</v>
      </c>
      <c r="N37" s="89">
        <v>1</v>
      </c>
      <c r="O37" s="89">
        <v>0</v>
      </c>
      <c r="P37" s="89">
        <v>3</v>
      </c>
      <c r="Q37" s="89">
        <v>1</v>
      </c>
      <c r="R37" s="89">
        <v>1</v>
      </c>
      <c r="S37" s="89">
        <v>3</v>
      </c>
      <c r="T37" s="89">
        <v>0</v>
      </c>
      <c r="U37" s="89">
        <v>3</v>
      </c>
      <c r="V37" s="89">
        <v>3</v>
      </c>
      <c r="W37" s="89">
        <v>1</v>
      </c>
      <c r="X37" s="89">
        <v>1</v>
      </c>
      <c r="Y37" s="89">
        <v>3</v>
      </c>
      <c r="Z37" s="89">
        <v>1</v>
      </c>
      <c r="AA37" s="89">
        <v>1</v>
      </c>
      <c r="AB37" s="89">
        <v>3</v>
      </c>
      <c r="AC37" s="89">
        <v>3</v>
      </c>
      <c r="AD37" s="89">
        <v>3</v>
      </c>
      <c r="AE37" s="89">
        <v>3</v>
      </c>
      <c r="AF37" s="89">
        <v>3</v>
      </c>
      <c r="AG37" s="96">
        <v>1</v>
      </c>
      <c r="AH37" s="83">
        <v>1</v>
      </c>
      <c r="AI37" s="89">
        <v>3</v>
      </c>
      <c r="AJ37" s="89">
        <v>1</v>
      </c>
      <c r="AK37" s="96">
        <v>3</v>
      </c>
    </row>
    <row r="38" spans="1:37" x14ac:dyDescent="0.25">
      <c r="A38" s="90">
        <f t="shared" si="0"/>
        <v>1.8235294117647058</v>
      </c>
      <c r="B38" s="131">
        <v>36</v>
      </c>
      <c r="C38" s="145" t="s">
        <v>189</v>
      </c>
      <c r="D38" s="145">
        <v>3</v>
      </c>
      <c r="E38" s="145">
        <v>1</v>
      </c>
      <c r="F38" s="145">
        <v>3</v>
      </c>
      <c r="G38" s="146">
        <v>0</v>
      </c>
      <c r="H38" s="146">
        <v>0</v>
      </c>
      <c r="I38" s="134">
        <v>3</v>
      </c>
      <c r="J38" s="124">
        <v>3</v>
      </c>
      <c r="K38" s="102">
        <v>0</v>
      </c>
      <c r="L38" s="83">
        <v>3</v>
      </c>
      <c r="M38" s="89">
        <v>3</v>
      </c>
      <c r="N38" s="89">
        <v>3</v>
      </c>
      <c r="O38" s="89">
        <v>1</v>
      </c>
      <c r="P38" s="89">
        <v>3</v>
      </c>
      <c r="Q38" s="89">
        <v>3</v>
      </c>
      <c r="R38" s="89">
        <v>1</v>
      </c>
      <c r="S38" s="89">
        <v>0</v>
      </c>
      <c r="T38" s="89">
        <v>1</v>
      </c>
      <c r="U38" s="89">
        <v>0</v>
      </c>
      <c r="V38" s="89">
        <v>3</v>
      </c>
      <c r="W38" s="89">
        <v>3</v>
      </c>
      <c r="X38" s="89">
        <v>3</v>
      </c>
      <c r="Y38" s="89">
        <v>3</v>
      </c>
      <c r="Z38" s="89">
        <v>1</v>
      </c>
      <c r="AA38" s="89">
        <v>0</v>
      </c>
      <c r="AB38" s="89">
        <v>3</v>
      </c>
      <c r="AC38" s="89">
        <v>3</v>
      </c>
      <c r="AD38" s="89">
        <v>3</v>
      </c>
      <c r="AE38" s="89">
        <v>3</v>
      </c>
      <c r="AF38" s="89">
        <v>3</v>
      </c>
      <c r="AG38" s="96">
        <v>1</v>
      </c>
      <c r="AH38" s="83">
        <v>1</v>
      </c>
      <c r="AI38" s="89">
        <v>0</v>
      </c>
      <c r="AJ38" s="89">
        <v>1</v>
      </c>
      <c r="AK38" s="96">
        <v>0</v>
      </c>
    </row>
    <row r="39" spans="1:37" x14ac:dyDescent="0.25">
      <c r="A39" s="90">
        <f t="shared" si="0"/>
        <v>1.5294117647058822</v>
      </c>
      <c r="B39" s="131">
        <v>37</v>
      </c>
      <c r="C39" s="145" t="s">
        <v>189</v>
      </c>
      <c r="D39" s="145">
        <v>3</v>
      </c>
      <c r="E39" s="145">
        <v>3</v>
      </c>
      <c r="F39" s="145">
        <v>3</v>
      </c>
      <c r="G39" s="146">
        <v>0</v>
      </c>
      <c r="H39" s="146">
        <v>0</v>
      </c>
      <c r="I39" s="134">
        <v>3</v>
      </c>
      <c r="J39" s="124">
        <v>0</v>
      </c>
      <c r="K39" s="102">
        <v>1</v>
      </c>
      <c r="L39" s="83">
        <v>0</v>
      </c>
      <c r="M39" s="89">
        <v>3</v>
      </c>
      <c r="N39" s="89">
        <v>1</v>
      </c>
      <c r="O39" s="89">
        <v>1</v>
      </c>
      <c r="P39" s="89">
        <v>3</v>
      </c>
      <c r="Q39" s="89">
        <v>3</v>
      </c>
      <c r="R39" s="89">
        <v>1</v>
      </c>
      <c r="S39" s="89">
        <v>0</v>
      </c>
      <c r="T39" s="89">
        <v>0</v>
      </c>
      <c r="U39" s="89">
        <v>1</v>
      </c>
      <c r="V39" s="89">
        <v>3</v>
      </c>
      <c r="W39" s="89">
        <v>1</v>
      </c>
      <c r="X39" s="89">
        <v>3</v>
      </c>
      <c r="Y39" s="89">
        <v>3</v>
      </c>
      <c r="Z39" s="89">
        <v>3</v>
      </c>
      <c r="AA39" s="89">
        <v>3</v>
      </c>
      <c r="AB39" s="89">
        <v>3</v>
      </c>
      <c r="AC39" s="89">
        <v>1</v>
      </c>
      <c r="AD39" s="89">
        <v>1</v>
      </c>
      <c r="AE39" s="89">
        <v>0</v>
      </c>
      <c r="AF39" s="89">
        <v>0</v>
      </c>
      <c r="AG39" s="96">
        <v>0</v>
      </c>
      <c r="AH39" s="83">
        <v>1</v>
      </c>
      <c r="AI39" s="89">
        <v>0</v>
      </c>
      <c r="AJ39" s="89">
        <v>3</v>
      </c>
      <c r="AK39" s="96">
        <v>1</v>
      </c>
    </row>
    <row r="40" spans="1:37" ht="15.75" thickBot="1" x14ac:dyDescent="0.3">
      <c r="A40" s="90">
        <f t="shared" si="0"/>
        <v>2.4117647058823528</v>
      </c>
      <c r="B40" s="105">
        <v>38</v>
      </c>
      <c r="C40" s="145" t="s">
        <v>189</v>
      </c>
      <c r="D40" s="145">
        <v>3</v>
      </c>
      <c r="E40" s="145">
        <v>3</v>
      </c>
      <c r="F40" s="145">
        <v>3</v>
      </c>
      <c r="G40" s="146">
        <v>3</v>
      </c>
      <c r="H40" s="146">
        <v>3</v>
      </c>
      <c r="I40" s="134">
        <v>3</v>
      </c>
      <c r="J40" s="125">
        <v>3</v>
      </c>
      <c r="K40" s="102">
        <v>3</v>
      </c>
      <c r="L40" s="83">
        <v>3</v>
      </c>
      <c r="M40" s="89">
        <v>3</v>
      </c>
      <c r="N40" s="89">
        <v>3</v>
      </c>
      <c r="O40" s="89">
        <v>3</v>
      </c>
      <c r="P40" s="89">
        <v>3</v>
      </c>
      <c r="Q40" s="89">
        <v>3</v>
      </c>
      <c r="R40" s="89">
        <v>3</v>
      </c>
      <c r="S40" s="89">
        <v>1</v>
      </c>
      <c r="T40" s="89">
        <v>3</v>
      </c>
      <c r="U40" s="89">
        <v>3</v>
      </c>
      <c r="V40" s="89">
        <v>3</v>
      </c>
      <c r="W40" s="89">
        <v>1</v>
      </c>
      <c r="X40" s="89">
        <v>3</v>
      </c>
      <c r="Y40" s="89">
        <v>0</v>
      </c>
      <c r="Z40" s="89">
        <v>3</v>
      </c>
      <c r="AA40" s="89">
        <v>3</v>
      </c>
      <c r="AB40" s="89">
        <v>3</v>
      </c>
      <c r="AC40" s="89">
        <v>0</v>
      </c>
      <c r="AD40" s="89">
        <v>0</v>
      </c>
      <c r="AE40" s="89">
        <v>3</v>
      </c>
      <c r="AF40" s="89">
        <v>0</v>
      </c>
      <c r="AG40" s="96">
        <v>3</v>
      </c>
      <c r="AH40" s="83">
        <v>3</v>
      </c>
      <c r="AI40" s="89">
        <v>3</v>
      </c>
      <c r="AJ40" s="89">
        <v>1</v>
      </c>
      <c r="AK40" s="96">
        <v>1</v>
      </c>
    </row>
    <row r="41" spans="1:37" hidden="1" x14ac:dyDescent="0.25">
      <c r="A41" s="90"/>
      <c r="B41" s="131">
        <v>39</v>
      </c>
      <c r="C41" s="145"/>
      <c r="D41" s="145" t="s">
        <v>189</v>
      </c>
      <c r="E41" s="145" t="s">
        <v>189</v>
      </c>
      <c r="F41" s="126" t="s">
        <v>189</v>
      </c>
      <c r="G41" s="126" t="s">
        <v>189</v>
      </c>
      <c r="H41" s="126" t="s">
        <v>189</v>
      </c>
      <c r="I41" s="166" t="s">
        <v>189</v>
      </c>
      <c r="J41" s="126" t="s">
        <v>189</v>
      </c>
      <c r="K41" s="103" t="s">
        <v>189</v>
      </c>
      <c r="L41" s="97" t="s">
        <v>189</v>
      </c>
      <c r="M41" s="91" t="s">
        <v>189</v>
      </c>
      <c r="N41" s="91" t="s">
        <v>189</v>
      </c>
      <c r="O41" s="91" t="s">
        <v>189</v>
      </c>
      <c r="P41" s="91" t="s">
        <v>189</v>
      </c>
      <c r="Q41" s="91" t="s">
        <v>189</v>
      </c>
      <c r="R41" s="91" t="s">
        <v>189</v>
      </c>
      <c r="S41" s="91" t="s">
        <v>189</v>
      </c>
      <c r="T41" s="91" t="s">
        <v>189</v>
      </c>
      <c r="U41" s="91" t="s">
        <v>189</v>
      </c>
      <c r="V41" s="91" t="s">
        <v>189</v>
      </c>
      <c r="W41" s="91" t="s">
        <v>189</v>
      </c>
      <c r="X41" s="91" t="s">
        <v>189</v>
      </c>
      <c r="Y41" s="91" t="s">
        <v>189</v>
      </c>
      <c r="Z41" s="91" t="s">
        <v>189</v>
      </c>
      <c r="AA41" s="91" t="s">
        <v>189</v>
      </c>
      <c r="AB41" s="91" t="s">
        <v>189</v>
      </c>
      <c r="AC41" s="91" t="s">
        <v>189</v>
      </c>
      <c r="AD41" s="91" t="s">
        <v>189</v>
      </c>
      <c r="AE41" s="91" t="s">
        <v>189</v>
      </c>
      <c r="AF41" s="91" t="s">
        <v>189</v>
      </c>
      <c r="AG41" s="98" t="s">
        <v>189</v>
      </c>
      <c r="AH41" s="97" t="s">
        <v>189</v>
      </c>
      <c r="AI41" s="89">
        <v>3</v>
      </c>
      <c r="AJ41" s="89">
        <v>3</v>
      </c>
      <c r="AK41" s="96">
        <v>1</v>
      </c>
    </row>
    <row r="42" spans="1:37" hidden="1" x14ac:dyDescent="0.25">
      <c r="A42" s="90"/>
      <c r="B42" s="131">
        <v>40</v>
      </c>
      <c r="C42" s="145"/>
      <c r="D42" s="145" t="s">
        <v>189</v>
      </c>
      <c r="E42" s="145" t="s">
        <v>189</v>
      </c>
      <c r="F42" s="126" t="s">
        <v>189</v>
      </c>
      <c r="G42" s="126" t="s">
        <v>189</v>
      </c>
      <c r="H42" s="126" t="s">
        <v>189</v>
      </c>
      <c r="I42" s="166" t="s">
        <v>189</v>
      </c>
      <c r="J42" s="127" t="s">
        <v>189</v>
      </c>
      <c r="K42" s="103" t="s">
        <v>189</v>
      </c>
      <c r="L42" s="97" t="s">
        <v>189</v>
      </c>
      <c r="M42" s="91" t="s">
        <v>189</v>
      </c>
      <c r="N42" s="91" t="s">
        <v>189</v>
      </c>
      <c r="O42" s="91" t="s">
        <v>189</v>
      </c>
      <c r="P42" s="91" t="s">
        <v>189</v>
      </c>
      <c r="Q42" s="91" t="s">
        <v>189</v>
      </c>
      <c r="R42" s="91" t="s">
        <v>189</v>
      </c>
      <c r="S42" s="91" t="s">
        <v>189</v>
      </c>
      <c r="T42" s="91" t="s">
        <v>189</v>
      </c>
      <c r="U42" s="91" t="s">
        <v>189</v>
      </c>
      <c r="V42" s="91" t="s">
        <v>189</v>
      </c>
      <c r="W42" s="91" t="s">
        <v>189</v>
      </c>
      <c r="X42" s="91" t="s">
        <v>189</v>
      </c>
      <c r="Y42" s="91" t="s">
        <v>189</v>
      </c>
      <c r="Z42" s="91" t="s">
        <v>189</v>
      </c>
      <c r="AA42" s="91" t="s">
        <v>189</v>
      </c>
      <c r="AB42" s="91" t="s">
        <v>189</v>
      </c>
      <c r="AC42" s="91" t="s">
        <v>189</v>
      </c>
      <c r="AD42" s="91" t="s">
        <v>189</v>
      </c>
      <c r="AE42" s="91" t="s">
        <v>189</v>
      </c>
      <c r="AF42" s="91" t="s">
        <v>189</v>
      </c>
      <c r="AG42" s="98" t="s">
        <v>189</v>
      </c>
      <c r="AH42" s="97" t="s">
        <v>189</v>
      </c>
      <c r="AI42" s="89">
        <v>1</v>
      </c>
      <c r="AJ42" s="89">
        <v>1</v>
      </c>
      <c r="AK42" s="96">
        <v>0</v>
      </c>
    </row>
    <row r="43" spans="1:37" hidden="1" x14ac:dyDescent="0.25">
      <c r="A43" s="90"/>
      <c r="B43" s="131">
        <v>41</v>
      </c>
      <c r="C43" s="145"/>
      <c r="D43" s="145" t="s">
        <v>189</v>
      </c>
      <c r="E43" s="145" t="s">
        <v>189</v>
      </c>
      <c r="F43" s="126" t="s">
        <v>189</v>
      </c>
      <c r="G43" s="126" t="s">
        <v>189</v>
      </c>
      <c r="H43" s="126" t="s">
        <v>189</v>
      </c>
      <c r="I43" s="166" t="s">
        <v>189</v>
      </c>
      <c r="J43" s="127" t="s">
        <v>189</v>
      </c>
      <c r="K43" s="103" t="s">
        <v>189</v>
      </c>
      <c r="L43" s="97" t="s">
        <v>189</v>
      </c>
      <c r="M43" s="91" t="s">
        <v>189</v>
      </c>
      <c r="N43" s="91" t="s">
        <v>189</v>
      </c>
      <c r="O43" s="91" t="s">
        <v>189</v>
      </c>
      <c r="P43" s="91" t="s">
        <v>189</v>
      </c>
      <c r="Q43" s="91" t="s">
        <v>189</v>
      </c>
      <c r="R43" s="91" t="s">
        <v>189</v>
      </c>
      <c r="S43" s="91" t="s">
        <v>189</v>
      </c>
      <c r="T43" s="91" t="s">
        <v>189</v>
      </c>
      <c r="U43" s="91" t="s">
        <v>189</v>
      </c>
      <c r="V43" s="91" t="s">
        <v>189</v>
      </c>
      <c r="W43" s="91" t="s">
        <v>189</v>
      </c>
      <c r="X43" s="91" t="s">
        <v>189</v>
      </c>
      <c r="Y43" s="91" t="s">
        <v>189</v>
      </c>
      <c r="Z43" s="91" t="s">
        <v>189</v>
      </c>
      <c r="AA43" s="91" t="s">
        <v>189</v>
      </c>
      <c r="AB43" s="91" t="s">
        <v>189</v>
      </c>
      <c r="AC43" s="91" t="s">
        <v>189</v>
      </c>
      <c r="AD43" s="91" t="s">
        <v>189</v>
      </c>
      <c r="AE43" s="91" t="s">
        <v>189</v>
      </c>
      <c r="AF43" s="91" t="s">
        <v>189</v>
      </c>
      <c r="AG43" s="98" t="s">
        <v>189</v>
      </c>
      <c r="AH43" s="97" t="s">
        <v>189</v>
      </c>
      <c r="AI43" s="89">
        <v>1</v>
      </c>
      <c r="AJ43" s="89">
        <v>0</v>
      </c>
      <c r="AK43" s="96">
        <v>3</v>
      </c>
    </row>
    <row r="44" spans="1:37" hidden="1" x14ac:dyDescent="0.25">
      <c r="A44" s="90"/>
      <c r="B44" s="131">
        <v>42</v>
      </c>
      <c r="C44" s="145"/>
      <c r="D44" s="145" t="s">
        <v>189</v>
      </c>
      <c r="E44" s="145" t="s">
        <v>189</v>
      </c>
      <c r="F44" s="126" t="s">
        <v>189</v>
      </c>
      <c r="G44" s="126" t="s">
        <v>189</v>
      </c>
      <c r="H44" s="126" t="s">
        <v>189</v>
      </c>
      <c r="I44" s="166" t="s">
        <v>189</v>
      </c>
      <c r="J44" s="127" t="s">
        <v>189</v>
      </c>
      <c r="K44" s="103" t="s">
        <v>189</v>
      </c>
      <c r="L44" s="97" t="s">
        <v>189</v>
      </c>
      <c r="M44" s="91" t="s">
        <v>189</v>
      </c>
      <c r="N44" s="91" t="s">
        <v>189</v>
      </c>
      <c r="O44" s="91" t="s">
        <v>189</v>
      </c>
      <c r="P44" s="91" t="s">
        <v>189</v>
      </c>
      <c r="Q44" s="91" t="s">
        <v>189</v>
      </c>
      <c r="R44" s="91" t="s">
        <v>189</v>
      </c>
      <c r="S44" s="91" t="s">
        <v>189</v>
      </c>
      <c r="T44" s="91" t="s">
        <v>189</v>
      </c>
      <c r="U44" s="91" t="s">
        <v>189</v>
      </c>
      <c r="V44" s="91" t="s">
        <v>189</v>
      </c>
      <c r="W44" s="91" t="s">
        <v>189</v>
      </c>
      <c r="X44" s="91" t="s">
        <v>189</v>
      </c>
      <c r="Y44" s="91" t="s">
        <v>189</v>
      </c>
      <c r="Z44" s="91" t="s">
        <v>189</v>
      </c>
      <c r="AA44" s="91" t="s">
        <v>189</v>
      </c>
      <c r="AB44" s="91" t="s">
        <v>189</v>
      </c>
      <c r="AC44" s="91" t="s">
        <v>189</v>
      </c>
      <c r="AD44" s="91" t="s">
        <v>189</v>
      </c>
      <c r="AE44" s="91" t="s">
        <v>189</v>
      </c>
      <c r="AF44" s="91" t="s">
        <v>189</v>
      </c>
      <c r="AG44" s="98" t="s">
        <v>189</v>
      </c>
      <c r="AH44" s="97" t="s">
        <v>189</v>
      </c>
      <c r="AI44" s="89">
        <v>0</v>
      </c>
      <c r="AJ44" s="89">
        <v>0</v>
      </c>
      <c r="AK44" s="96">
        <v>0</v>
      </c>
    </row>
    <row r="45" spans="1:37" x14ac:dyDescent="0.25">
      <c r="B45" s="131" t="s">
        <v>190</v>
      </c>
      <c r="C45" s="89"/>
      <c r="D45" s="89">
        <f>SUM(D3:D40)</f>
        <v>85</v>
      </c>
      <c r="E45" s="89">
        <f>SUM(E3:E40)</f>
        <v>74</v>
      </c>
      <c r="F45" s="89">
        <f>SUM(F3:F40)</f>
        <v>89</v>
      </c>
      <c r="G45" s="89">
        <f>SUM(G3:G40)</f>
        <v>84</v>
      </c>
      <c r="H45" s="89">
        <f>SUM(H3:H40)</f>
        <v>69</v>
      </c>
      <c r="I45" s="96">
        <f t="shared" ref="I45:AH45" si="1">SUM(I3:I40)</f>
        <v>61</v>
      </c>
      <c r="J45" s="128">
        <f t="shared" si="1"/>
        <v>56</v>
      </c>
      <c r="K45" s="102">
        <f t="shared" si="1"/>
        <v>70</v>
      </c>
      <c r="L45" s="83">
        <f t="shared" si="1"/>
        <v>63</v>
      </c>
      <c r="M45" s="89">
        <f t="shared" si="1"/>
        <v>75</v>
      </c>
      <c r="N45" s="89">
        <f t="shared" si="1"/>
        <v>71</v>
      </c>
      <c r="O45" s="89">
        <f t="shared" si="1"/>
        <v>75</v>
      </c>
      <c r="P45" s="89">
        <f t="shared" si="1"/>
        <v>79</v>
      </c>
      <c r="Q45" s="89">
        <f t="shared" si="1"/>
        <v>73</v>
      </c>
      <c r="R45" s="89">
        <f t="shared" si="1"/>
        <v>70</v>
      </c>
      <c r="S45" s="89">
        <f t="shared" si="1"/>
        <v>68</v>
      </c>
      <c r="T45" s="89">
        <f t="shared" si="1"/>
        <v>75</v>
      </c>
      <c r="U45" s="89">
        <f t="shared" si="1"/>
        <v>72</v>
      </c>
      <c r="V45" s="89">
        <f t="shared" si="1"/>
        <v>83</v>
      </c>
      <c r="W45" s="89">
        <f t="shared" si="1"/>
        <v>68</v>
      </c>
      <c r="X45" s="89">
        <f t="shared" si="1"/>
        <v>67</v>
      </c>
      <c r="Y45" s="89">
        <f t="shared" si="1"/>
        <v>83</v>
      </c>
      <c r="Z45" s="89">
        <f t="shared" si="1"/>
        <v>90</v>
      </c>
      <c r="AA45" s="89">
        <f t="shared" si="1"/>
        <v>78</v>
      </c>
      <c r="AB45" s="89">
        <f t="shared" si="1"/>
        <v>87</v>
      </c>
      <c r="AC45" s="89">
        <f t="shared" si="1"/>
        <v>70</v>
      </c>
      <c r="AD45" s="89">
        <f t="shared" si="1"/>
        <v>73</v>
      </c>
      <c r="AE45" s="89">
        <f t="shared" si="1"/>
        <v>78</v>
      </c>
      <c r="AF45" s="89">
        <f t="shared" si="1"/>
        <v>78</v>
      </c>
      <c r="AG45" s="96">
        <f t="shared" si="1"/>
        <v>68</v>
      </c>
      <c r="AH45" s="83">
        <f t="shared" si="1"/>
        <v>63</v>
      </c>
      <c r="AI45" s="89">
        <f>SUM(AI3:AI44)</f>
        <v>51</v>
      </c>
      <c r="AJ45" s="89">
        <f>SUM(AJ3:AJ44)</f>
        <v>71</v>
      </c>
      <c r="AK45" s="96">
        <f>SUM(AK3:AK44)</f>
        <v>56</v>
      </c>
    </row>
    <row r="46" spans="1:37" ht="15.75" thickBot="1" x14ac:dyDescent="0.3">
      <c r="B46" s="95" t="s">
        <v>191</v>
      </c>
      <c r="C46" s="99"/>
      <c r="D46" s="99">
        <v>1</v>
      </c>
      <c r="E46" s="99">
        <v>2</v>
      </c>
      <c r="F46" s="100">
        <v>2</v>
      </c>
      <c r="G46" s="100">
        <v>2</v>
      </c>
      <c r="H46" s="100">
        <v>5</v>
      </c>
      <c r="I46" s="101">
        <v>8</v>
      </c>
      <c r="J46" s="142">
        <v>8</v>
      </c>
      <c r="K46" s="104">
        <v>5</v>
      </c>
      <c r="L46" s="99">
        <v>6</v>
      </c>
      <c r="M46" s="100">
        <v>5</v>
      </c>
      <c r="N46" s="100">
        <v>2</v>
      </c>
      <c r="O46" s="100">
        <v>3</v>
      </c>
      <c r="P46" s="100">
        <v>4</v>
      </c>
      <c r="Q46" s="100">
        <v>4</v>
      </c>
      <c r="R46" s="100">
        <v>3</v>
      </c>
      <c r="S46" s="100">
        <v>4</v>
      </c>
      <c r="T46" s="100">
        <v>3</v>
      </c>
      <c r="U46" s="100">
        <v>4</v>
      </c>
      <c r="V46" s="100">
        <v>3</v>
      </c>
      <c r="W46" s="100">
        <v>4</v>
      </c>
      <c r="X46" s="100">
        <v>4</v>
      </c>
      <c r="Y46" s="100">
        <v>2</v>
      </c>
      <c r="Z46" s="100">
        <v>1</v>
      </c>
      <c r="AA46" s="100">
        <v>2</v>
      </c>
      <c r="AB46" s="100">
        <v>1</v>
      </c>
      <c r="AC46" s="100">
        <v>2</v>
      </c>
      <c r="AD46" s="100">
        <v>2</v>
      </c>
      <c r="AE46" s="100">
        <v>2</v>
      </c>
      <c r="AF46" s="100">
        <v>1</v>
      </c>
      <c r="AG46" s="101">
        <v>3</v>
      </c>
      <c r="AH46" s="99">
        <v>5</v>
      </c>
      <c r="AI46" s="100">
        <v>12</v>
      </c>
      <c r="AJ46" s="100">
        <v>4</v>
      </c>
      <c r="AK46" s="101">
        <v>10</v>
      </c>
    </row>
    <row r="79" spans="1:31" ht="16.5" thickBot="1" x14ac:dyDescent="0.3">
      <c r="A79" s="107" t="s">
        <v>139</v>
      </c>
      <c r="B79" s="107" t="s">
        <v>140</v>
      </c>
      <c r="C79" s="107"/>
      <c r="D79" s="107" t="s">
        <v>141</v>
      </c>
      <c r="E79" s="107" t="s">
        <v>142</v>
      </c>
      <c r="F79" s="107" t="s">
        <v>143</v>
      </c>
      <c r="G79" s="107" t="s">
        <v>184</v>
      </c>
      <c r="H79" s="107" t="s">
        <v>144</v>
      </c>
      <c r="I79" s="107" t="s">
        <v>145</v>
      </c>
      <c r="J79" s="107" t="s">
        <v>146</v>
      </c>
    </row>
    <row r="80" spans="1:31" ht="15.75" customHeight="1" x14ac:dyDescent="0.25">
      <c r="A80" s="108" t="s">
        <v>147</v>
      </c>
      <c r="B80" s="109">
        <v>10</v>
      </c>
      <c r="C80" s="109"/>
      <c r="D80" s="110">
        <v>56</v>
      </c>
      <c r="E80" s="110">
        <v>15</v>
      </c>
      <c r="F80" s="110">
        <v>11</v>
      </c>
      <c r="G80" s="110">
        <v>16</v>
      </c>
      <c r="H80" s="109">
        <v>40</v>
      </c>
      <c r="I80" s="110">
        <v>38</v>
      </c>
      <c r="J80" s="158">
        <f t="shared" ref="J80:J111" si="2">H80-I80</f>
        <v>2</v>
      </c>
      <c r="K80" s="322" t="s">
        <v>183</v>
      </c>
      <c r="L80" s="323"/>
      <c r="M80" s="324"/>
      <c r="O80" s="157"/>
      <c r="P80" s="157"/>
      <c r="W80" s="295"/>
      <c r="X80" s="295"/>
      <c r="Y80" s="89" t="s">
        <v>220</v>
      </c>
      <c r="Z80" s="89" t="s">
        <v>221</v>
      </c>
      <c r="AA80" s="89" t="s">
        <v>222</v>
      </c>
      <c r="AC80" s="89" t="s">
        <v>223</v>
      </c>
      <c r="AD80" s="89" t="s">
        <v>224</v>
      </c>
      <c r="AE80" s="89" t="s">
        <v>225</v>
      </c>
    </row>
    <row r="81" spans="1:31" ht="15.75" customHeight="1" x14ac:dyDescent="0.25">
      <c r="A81" s="111" t="s">
        <v>148</v>
      </c>
      <c r="B81" s="112">
        <v>4</v>
      </c>
      <c r="C81" s="112"/>
      <c r="D81" s="112">
        <v>71</v>
      </c>
      <c r="E81" s="112">
        <v>18</v>
      </c>
      <c r="F81" s="113">
        <v>17</v>
      </c>
      <c r="G81" s="112">
        <v>7</v>
      </c>
      <c r="H81" s="112">
        <v>53</v>
      </c>
      <c r="I81" s="112">
        <v>28</v>
      </c>
      <c r="J81" s="151">
        <f t="shared" si="2"/>
        <v>25</v>
      </c>
      <c r="K81" s="325"/>
      <c r="L81" s="326"/>
      <c r="M81" s="327"/>
      <c r="O81" s="157"/>
      <c r="P81" s="157"/>
      <c r="W81" s="295" t="s">
        <v>217</v>
      </c>
      <c r="X81" s="295"/>
      <c r="Y81" s="89">
        <f>COUNTIF(L3:AG40,3)</f>
        <v>481</v>
      </c>
      <c r="Z81" s="89">
        <f>COUNTIF(L3:AG40,1)</f>
        <v>201</v>
      </c>
      <c r="AA81" s="89">
        <f>COUNTIF(L3:AG40,0)</f>
        <v>154</v>
      </c>
      <c r="AC81" s="130">
        <f>Y81/SUM($Y$81:$AA$81)</f>
        <v>0.57535885167464118</v>
      </c>
      <c r="AD81" s="130">
        <f t="shared" ref="AD81:AE81" si="3">Z81/SUM($Y$81:$AA$81)</f>
        <v>0.24043062200956938</v>
      </c>
      <c r="AE81" s="130">
        <f t="shared" si="3"/>
        <v>0.18421052631578946</v>
      </c>
    </row>
    <row r="82" spans="1:31" ht="15.75" customHeight="1" x14ac:dyDescent="0.25">
      <c r="A82" s="114" t="s">
        <v>149</v>
      </c>
      <c r="B82" s="115">
        <v>12</v>
      </c>
      <c r="C82" s="115"/>
      <c r="D82" s="115">
        <v>51</v>
      </c>
      <c r="E82" s="115">
        <v>13</v>
      </c>
      <c r="F82" s="116">
        <v>12</v>
      </c>
      <c r="G82" s="115">
        <v>17</v>
      </c>
      <c r="H82" s="116">
        <v>52</v>
      </c>
      <c r="I82" s="115">
        <v>49</v>
      </c>
      <c r="J82" s="159">
        <f t="shared" si="2"/>
        <v>3</v>
      </c>
      <c r="K82" s="325"/>
      <c r="L82" s="326"/>
      <c r="M82" s="327"/>
      <c r="O82" s="157"/>
      <c r="P82" s="157"/>
      <c r="W82" s="295" t="s">
        <v>218</v>
      </c>
      <c r="X82" s="295"/>
      <c r="Y82" s="89">
        <f>COUNTIF(K3:K40,3)+COUNTIF(J3:J15,3)</f>
        <v>25</v>
      </c>
      <c r="Z82" s="89">
        <f>COUNTIF(K3:K40,1)+COUNTIF(J3:J15,1)</f>
        <v>13</v>
      </c>
      <c r="AA82" s="89">
        <f>COUNTIF(K3:K40,0)+COUNTIF(J3:J15,0)</f>
        <v>13</v>
      </c>
      <c r="AC82" s="130">
        <f>Y82/SUM($Y$82:$AA$82)</f>
        <v>0.49019607843137253</v>
      </c>
      <c r="AD82" s="130">
        <f t="shared" ref="AD82:AE82" si="4">Z82/SUM($Y$82:$AA$82)</f>
        <v>0.25490196078431371</v>
      </c>
      <c r="AE82" s="130">
        <f t="shared" si="4"/>
        <v>0.25490196078431371</v>
      </c>
    </row>
    <row r="83" spans="1:31" ht="16.5" customHeight="1" thickBot="1" x14ac:dyDescent="0.3">
      <c r="A83" s="117" t="s">
        <v>150</v>
      </c>
      <c r="B83" s="118">
        <v>5</v>
      </c>
      <c r="C83" s="118"/>
      <c r="D83" s="118">
        <v>63</v>
      </c>
      <c r="E83" s="118">
        <v>17</v>
      </c>
      <c r="F83" s="118">
        <v>12</v>
      </c>
      <c r="G83" s="118">
        <v>9</v>
      </c>
      <c r="H83" s="118">
        <v>49</v>
      </c>
      <c r="I83" s="118">
        <v>32</v>
      </c>
      <c r="J83" s="160">
        <f t="shared" si="2"/>
        <v>17</v>
      </c>
      <c r="K83" s="328"/>
      <c r="L83" s="329"/>
      <c r="M83" s="330"/>
      <c r="O83" s="157"/>
      <c r="P83" s="157"/>
      <c r="W83" s="295" t="s">
        <v>219</v>
      </c>
      <c r="X83" s="295"/>
      <c r="Y83" s="89">
        <f>COUNTIF(J16:J20,3)</f>
        <v>1</v>
      </c>
      <c r="Z83" s="89">
        <f>COUNTIF(J16:J20,1)</f>
        <v>2</v>
      </c>
      <c r="AA83" s="89">
        <f>COUNTIF(J16:J20,0)</f>
        <v>2</v>
      </c>
      <c r="AC83" s="130">
        <f>Y83/SUM($Y$83:$AA$83)</f>
        <v>0.2</v>
      </c>
      <c r="AD83" s="130">
        <f t="shared" ref="AD83:AE83" si="5">Z83/SUM($Y$83:$AA$83)</f>
        <v>0.4</v>
      </c>
      <c r="AE83" s="130">
        <f t="shared" si="5"/>
        <v>0.4</v>
      </c>
    </row>
    <row r="84" spans="1:31" ht="15.75" customHeight="1" x14ac:dyDescent="0.25">
      <c r="A84" s="108" t="s">
        <v>151</v>
      </c>
      <c r="B84" s="110">
        <v>3</v>
      </c>
      <c r="C84" s="110"/>
      <c r="D84" s="110">
        <v>68</v>
      </c>
      <c r="E84" s="109">
        <v>19</v>
      </c>
      <c r="F84" s="110">
        <v>11</v>
      </c>
      <c r="G84" s="110">
        <v>8</v>
      </c>
      <c r="H84" s="110">
        <v>62</v>
      </c>
      <c r="I84" s="110">
        <v>32</v>
      </c>
      <c r="J84" s="161">
        <f t="shared" si="2"/>
        <v>30</v>
      </c>
      <c r="K84" s="313" t="s">
        <v>294</v>
      </c>
      <c r="L84" s="314"/>
      <c r="M84" s="315"/>
      <c r="O84" s="165"/>
      <c r="P84" s="165"/>
      <c r="W84" s="295" t="s">
        <v>103</v>
      </c>
      <c r="X84" s="295"/>
      <c r="Y84" s="89">
        <f>COUNTIF(J21:J40,3)+COUNTIF(I3:I40,3)+COUNTIF(H3:H40,3)+COUNTIF(G3:G40,3)+COUNTIF(F3:F40,3)+COUNTIF(E3:E40,3)</f>
        <v>123</v>
      </c>
      <c r="Z84" s="89">
        <f>COUNTIF(J21:J40,1)+COUNTIF(I3:I40,1)+COUNTIF(H3:H40,1)+COUNTIF(G3:G40,1)+COUNTIF(F3:F40,1)+COUNTIF(E3:E40,1)</f>
        <v>41</v>
      </c>
      <c r="AA84" s="89">
        <f>COUNTIF(J21:J40,0)+COUNTIF(I3:I40,0)+COUNTIF(H3:H40,0)+COUNTIF(G3:G40,0)+COUNTIF(F3:F40,0)+COUNTIF(E3:E40,0)</f>
        <v>46</v>
      </c>
      <c r="AC84" s="130">
        <f>Y84/SUM($Y$84:$AA$84)</f>
        <v>0.58571428571428574</v>
      </c>
      <c r="AD84" s="130">
        <f t="shared" ref="AD84:AE84" si="6">Z84/SUM($Y$84:$AA$84)</f>
        <v>0.19523809523809524</v>
      </c>
      <c r="AE84" s="130">
        <f t="shared" si="6"/>
        <v>0.21904761904761905</v>
      </c>
    </row>
    <row r="85" spans="1:31" ht="15.75" x14ac:dyDescent="0.25">
      <c r="A85" s="111" t="s">
        <v>152</v>
      </c>
      <c r="B85" s="119">
        <v>1</v>
      </c>
      <c r="C85" s="119"/>
      <c r="D85" s="112">
        <v>78</v>
      </c>
      <c r="E85" s="112">
        <v>23</v>
      </c>
      <c r="F85" s="112">
        <v>9</v>
      </c>
      <c r="G85" s="112">
        <v>6</v>
      </c>
      <c r="H85" s="112">
        <v>68</v>
      </c>
      <c r="I85" s="112">
        <v>33</v>
      </c>
      <c r="J85" s="151">
        <f t="shared" si="2"/>
        <v>35</v>
      </c>
      <c r="K85" s="316"/>
      <c r="L85" s="317"/>
      <c r="M85" s="318"/>
      <c r="O85" s="165"/>
      <c r="P85" s="165"/>
    </row>
    <row r="86" spans="1:31" ht="15.75" x14ac:dyDescent="0.25">
      <c r="A86" s="114" t="s">
        <v>153</v>
      </c>
      <c r="B86" s="116">
        <v>2</v>
      </c>
      <c r="C86" s="116"/>
      <c r="D86" s="116">
        <v>78</v>
      </c>
      <c r="E86" s="116">
        <v>22</v>
      </c>
      <c r="F86" s="115">
        <v>12</v>
      </c>
      <c r="G86" s="116">
        <v>4</v>
      </c>
      <c r="H86" s="115">
        <v>59</v>
      </c>
      <c r="I86" s="120">
        <v>17</v>
      </c>
      <c r="J86" s="159">
        <f t="shared" si="2"/>
        <v>42</v>
      </c>
      <c r="K86" s="316"/>
      <c r="L86" s="317"/>
      <c r="M86" s="318"/>
      <c r="O86" s="165"/>
      <c r="P86" s="165"/>
    </row>
    <row r="87" spans="1:31" ht="15.75" x14ac:dyDescent="0.25">
      <c r="A87" s="111" t="s">
        <v>154</v>
      </c>
      <c r="B87" s="112">
        <v>2</v>
      </c>
      <c r="C87" s="112"/>
      <c r="D87" s="112">
        <v>73</v>
      </c>
      <c r="E87" s="112">
        <v>22</v>
      </c>
      <c r="F87" s="112">
        <v>7</v>
      </c>
      <c r="G87" s="112">
        <v>9</v>
      </c>
      <c r="H87" s="112">
        <v>73</v>
      </c>
      <c r="I87" s="112">
        <v>43</v>
      </c>
      <c r="J87" s="151">
        <f t="shared" si="2"/>
        <v>30</v>
      </c>
      <c r="K87" s="316"/>
      <c r="L87" s="317"/>
      <c r="M87" s="318"/>
      <c r="O87" s="165"/>
      <c r="P87" s="165"/>
    </row>
    <row r="88" spans="1:31" ht="15.75" x14ac:dyDescent="0.25">
      <c r="A88" s="114" t="s">
        <v>155</v>
      </c>
      <c r="B88" s="116">
        <v>2</v>
      </c>
      <c r="C88" s="116"/>
      <c r="D88" s="116">
        <v>70</v>
      </c>
      <c r="E88" s="116">
        <v>20</v>
      </c>
      <c r="F88" s="116">
        <v>10</v>
      </c>
      <c r="G88" s="116">
        <v>8</v>
      </c>
      <c r="H88" s="116">
        <v>63</v>
      </c>
      <c r="I88" s="116">
        <v>38</v>
      </c>
      <c r="J88" s="162">
        <f t="shared" si="2"/>
        <v>25</v>
      </c>
      <c r="K88" s="316"/>
      <c r="L88" s="317"/>
      <c r="M88" s="318"/>
      <c r="O88" s="165"/>
      <c r="P88" s="165"/>
    </row>
    <row r="89" spans="1:31" ht="15.75" x14ac:dyDescent="0.25">
      <c r="A89" s="111" t="s">
        <v>156</v>
      </c>
      <c r="B89" s="119">
        <v>1</v>
      </c>
      <c r="C89" s="119"/>
      <c r="D89" s="112">
        <v>87</v>
      </c>
      <c r="E89" s="119">
        <v>26</v>
      </c>
      <c r="F89" s="112">
        <v>9</v>
      </c>
      <c r="G89" s="112">
        <v>3</v>
      </c>
      <c r="H89" s="112">
        <v>79</v>
      </c>
      <c r="I89" s="112">
        <v>36</v>
      </c>
      <c r="J89" s="151">
        <f t="shared" si="2"/>
        <v>43</v>
      </c>
      <c r="K89" s="316"/>
      <c r="L89" s="317"/>
      <c r="M89" s="318"/>
      <c r="O89" s="165"/>
      <c r="P89" s="165"/>
    </row>
    <row r="90" spans="1:31" ht="15.75" x14ac:dyDescent="0.25">
      <c r="A90" s="114" t="s">
        <v>157</v>
      </c>
      <c r="B90" s="116">
        <v>2</v>
      </c>
      <c r="C90" s="116"/>
      <c r="D90" s="116">
        <v>78</v>
      </c>
      <c r="E90" s="116">
        <v>23</v>
      </c>
      <c r="F90" s="116">
        <v>9</v>
      </c>
      <c r="G90" s="116">
        <v>6</v>
      </c>
      <c r="H90" s="116">
        <v>85</v>
      </c>
      <c r="I90" s="116">
        <v>42</v>
      </c>
      <c r="J90" s="159">
        <f t="shared" si="2"/>
        <v>43</v>
      </c>
      <c r="K90" s="316"/>
      <c r="L90" s="317"/>
      <c r="M90" s="318"/>
      <c r="O90" s="165"/>
      <c r="P90" s="165"/>
    </row>
    <row r="91" spans="1:31" ht="15.75" x14ac:dyDescent="0.25">
      <c r="A91" s="111" t="s">
        <v>158</v>
      </c>
      <c r="B91" s="119">
        <v>1</v>
      </c>
      <c r="C91" s="119"/>
      <c r="D91" s="119">
        <v>90</v>
      </c>
      <c r="E91" s="119">
        <v>26</v>
      </c>
      <c r="F91" s="113">
        <v>12</v>
      </c>
      <c r="G91" s="119">
        <v>0</v>
      </c>
      <c r="H91" s="112">
        <v>73</v>
      </c>
      <c r="I91" s="112">
        <v>26</v>
      </c>
      <c r="J91" s="151">
        <f t="shared" si="2"/>
        <v>47</v>
      </c>
      <c r="K91" s="316"/>
      <c r="L91" s="317"/>
      <c r="M91" s="318"/>
      <c r="O91" s="165"/>
      <c r="P91" s="165"/>
    </row>
    <row r="92" spans="1:31" ht="15.75" x14ac:dyDescent="0.25">
      <c r="A92" s="114" t="s">
        <v>159</v>
      </c>
      <c r="B92" s="116">
        <v>2</v>
      </c>
      <c r="C92" s="116"/>
      <c r="D92" s="116">
        <v>83</v>
      </c>
      <c r="E92" s="116">
        <v>25</v>
      </c>
      <c r="F92" s="116">
        <v>8</v>
      </c>
      <c r="G92" s="116">
        <v>5</v>
      </c>
      <c r="H92" s="120">
        <v>87</v>
      </c>
      <c r="I92" s="116">
        <v>36</v>
      </c>
      <c r="J92" s="163">
        <f t="shared" si="2"/>
        <v>51</v>
      </c>
      <c r="K92" s="316"/>
      <c r="L92" s="317"/>
      <c r="M92" s="318"/>
      <c r="O92" s="165"/>
      <c r="P92" s="165"/>
    </row>
    <row r="93" spans="1:31" ht="15.75" x14ac:dyDescent="0.25">
      <c r="A93" s="111" t="s">
        <v>160</v>
      </c>
      <c r="B93" s="112">
        <v>4</v>
      </c>
      <c r="C93" s="112"/>
      <c r="D93" s="113">
        <v>67</v>
      </c>
      <c r="E93" s="112">
        <v>20</v>
      </c>
      <c r="F93" s="112">
        <v>7</v>
      </c>
      <c r="G93" s="113">
        <v>11</v>
      </c>
      <c r="H93" s="112">
        <v>68</v>
      </c>
      <c r="I93" s="112">
        <v>31</v>
      </c>
      <c r="J93" s="151">
        <f t="shared" si="2"/>
        <v>37</v>
      </c>
      <c r="K93" s="316"/>
      <c r="L93" s="317"/>
      <c r="M93" s="318"/>
      <c r="O93" s="165"/>
      <c r="P93" s="165"/>
    </row>
    <row r="94" spans="1:31" ht="15.75" x14ac:dyDescent="0.25">
      <c r="A94" s="114" t="s">
        <v>161</v>
      </c>
      <c r="B94" s="116">
        <v>4</v>
      </c>
      <c r="C94" s="116"/>
      <c r="D94" s="116">
        <v>68</v>
      </c>
      <c r="E94" s="115">
        <v>19</v>
      </c>
      <c r="F94" s="116">
        <v>11</v>
      </c>
      <c r="G94" s="116">
        <v>8</v>
      </c>
      <c r="H94" s="116">
        <v>63</v>
      </c>
      <c r="I94" s="116">
        <v>35</v>
      </c>
      <c r="J94" s="159">
        <f t="shared" si="2"/>
        <v>28</v>
      </c>
      <c r="K94" s="316"/>
      <c r="L94" s="317"/>
      <c r="M94" s="318"/>
      <c r="O94" s="165"/>
      <c r="P94" s="165"/>
    </row>
    <row r="95" spans="1:31" ht="15.75" x14ac:dyDescent="0.25">
      <c r="A95" s="111" t="s">
        <v>162</v>
      </c>
      <c r="B95" s="112">
        <v>3</v>
      </c>
      <c r="C95" s="112"/>
      <c r="D95" s="112">
        <v>83</v>
      </c>
      <c r="E95" s="112">
        <v>24</v>
      </c>
      <c r="F95" s="112">
        <v>11</v>
      </c>
      <c r="G95" s="112">
        <v>3</v>
      </c>
      <c r="H95" s="112">
        <v>74</v>
      </c>
      <c r="I95" s="112">
        <v>31</v>
      </c>
      <c r="J95" s="151">
        <f t="shared" si="2"/>
        <v>43</v>
      </c>
      <c r="K95" s="316"/>
      <c r="L95" s="317"/>
      <c r="M95" s="318"/>
      <c r="O95" s="165"/>
      <c r="P95" s="165"/>
    </row>
    <row r="96" spans="1:31" ht="15.75" x14ac:dyDescent="0.25">
      <c r="A96" s="114" t="s">
        <v>163</v>
      </c>
      <c r="B96" s="116">
        <v>4</v>
      </c>
      <c r="C96" s="116"/>
      <c r="D96" s="116">
        <v>72</v>
      </c>
      <c r="E96" s="116">
        <v>20</v>
      </c>
      <c r="F96" s="116">
        <v>12</v>
      </c>
      <c r="G96" s="116">
        <v>6</v>
      </c>
      <c r="H96" s="116">
        <v>68</v>
      </c>
      <c r="I96" s="116">
        <v>37</v>
      </c>
      <c r="J96" s="159">
        <f t="shared" si="2"/>
        <v>31</v>
      </c>
      <c r="K96" s="316"/>
      <c r="L96" s="317"/>
      <c r="M96" s="318"/>
      <c r="O96" s="165"/>
      <c r="P96" s="165"/>
    </row>
    <row r="97" spans="1:16" ht="15.75" x14ac:dyDescent="0.25">
      <c r="A97" s="111" t="s">
        <v>164</v>
      </c>
      <c r="B97" s="112">
        <v>3</v>
      </c>
      <c r="C97" s="112"/>
      <c r="D97" s="112">
        <v>75</v>
      </c>
      <c r="E97" s="112">
        <v>23</v>
      </c>
      <c r="F97" s="119">
        <v>6</v>
      </c>
      <c r="G97" s="112">
        <v>9</v>
      </c>
      <c r="H97" s="112">
        <v>83</v>
      </c>
      <c r="I97" s="112">
        <v>41</v>
      </c>
      <c r="J97" s="151">
        <f t="shared" si="2"/>
        <v>42</v>
      </c>
      <c r="K97" s="316"/>
      <c r="L97" s="317"/>
      <c r="M97" s="318"/>
      <c r="O97" s="165"/>
      <c r="P97" s="165"/>
    </row>
    <row r="98" spans="1:16" ht="15.75" x14ac:dyDescent="0.25">
      <c r="A98" s="114" t="s">
        <v>165</v>
      </c>
      <c r="B98" s="116">
        <v>4</v>
      </c>
      <c r="C98" s="116"/>
      <c r="D98" s="116">
        <v>68</v>
      </c>
      <c r="E98" s="115">
        <v>19</v>
      </c>
      <c r="F98" s="116">
        <v>11</v>
      </c>
      <c r="G98" s="116">
        <v>8</v>
      </c>
      <c r="H98" s="116">
        <v>72</v>
      </c>
      <c r="I98" s="116">
        <v>43</v>
      </c>
      <c r="J98" s="159">
        <f t="shared" si="2"/>
        <v>29</v>
      </c>
      <c r="K98" s="316"/>
      <c r="L98" s="317"/>
      <c r="M98" s="318"/>
      <c r="O98" s="165"/>
      <c r="P98" s="165"/>
    </row>
    <row r="99" spans="1:16" ht="15.75" x14ac:dyDescent="0.25">
      <c r="A99" s="111" t="s">
        <v>166</v>
      </c>
      <c r="B99" s="112">
        <v>3</v>
      </c>
      <c r="C99" s="112"/>
      <c r="D99" s="112">
        <v>70</v>
      </c>
      <c r="E99" s="112">
        <v>20</v>
      </c>
      <c r="F99" s="112">
        <v>9</v>
      </c>
      <c r="G99" s="112">
        <v>9</v>
      </c>
      <c r="H99" s="112">
        <v>66</v>
      </c>
      <c r="I99" s="112">
        <v>41</v>
      </c>
      <c r="J99" s="151">
        <f t="shared" si="2"/>
        <v>25</v>
      </c>
      <c r="K99" s="316"/>
      <c r="L99" s="317"/>
      <c r="M99" s="318"/>
      <c r="O99" s="165"/>
      <c r="P99" s="165"/>
    </row>
    <row r="100" spans="1:16" ht="15.75" x14ac:dyDescent="0.25">
      <c r="A100" s="114" t="s">
        <v>167</v>
      </c>
      <c r="B100" s="116">
        <v>4</v>
      </c>
      <c r="C100" s="116"/>
      <c r="D100" s="116">
        <v>73</v>
      </c>
      <c r="E100" s="116">
        <v>21</v>
      </c>
      <c r="F100" s="116">
        <v>10</v>
      </c>
      <c r="G100" s="116">
        <v>7</v>
      </c>
      <c r="H100" s="116">
        <v>72</v>
      </c>
      <c r="I100" s="116">
        <v>37</v>
      </c>
      <c r="J100" s="159">
        <f t="shared" si="2"/>
        <v>35</v>
      </c>
      <c r="K100" s="316"/>
      <c r="L100" s="317"/>
      <c r="M100" s="318"/>
      <c r="O100" s="165"/>
      <c r="P100" s="165"/>
    </row>
    <row r="101" spans="1:16" ht="15.75" x14ac:dyDescent="0.25">
      <c r="A101" s="111" t="s">
        <v>168</v>
      </c>
      <c r="B101" s="112">
        <v>4</v>
      </c>
      <c r="C101" s="112"/>
      <c r="D101" s="112">
        <v>79</v>
      </c>
      <c r="E101" s="112">
        <v>24</v>
      </c>
      <c r="F101" s="112">
        <v>7</v>
      </c>
      <c r="G101" s="112">
        <v>7</v>
      </c>
      <c r="H101" s="112">
        <v>68</v>
      </c>
      <c r="I101" s="112">
        <v>41</v>
      </c>
      <c r="J101" s="151">
        <f t="shared" si="2"/>
        <v>27</v>
      </c>
      <c r="K101" s="316"/>
      <c r="L101" s="317"/>
      <c r="M101" s="318"/>
      <c r="O101" s="165"/>
      <c r="P101" s="165"/>
    </row>
    <row r="102" spans="1:16" ht="15.75" x14ac:dyDescent="0.25">
      <c r="A102" s="114" t="s">
        <v>169</v>
      </c>
      <c r="B102" s="116">
        <v>3</v>
      </c>
      <c r="C102" s="116"/>
      <c r="D102" s="116">
        <v>75</v>
      </c>
      <c r="E102" s="116">
        <v>22</v>
      </c>
      <c r="F102" s="116">
        <v>9</v>
      </c>
      <c r="G102" s="116">
        <v>7</v>
      </c>
      <c r="H102" s="116">
        <v>71</v>
      </c>
      <c r="I102" s="116">
        <v>36</v>
      </c>
      <c r="J102" s="159">
        <f t="shared" si="2"/>
        <v>35</v>
      </c>
      <c r="K102" s="316"/>
      <c r="L102" s="317"/>
      <c r="M102" s="318"/>
      <c r="O102" s="165"/>
      <c r="P102" s="165"/>
    </row>
    <row r="103" spans="1:16" ht="15.75" x14ac:dyDescent="0.25">
      <c r="A103" s="111" t="s">
        <v>170</v>
      </c>
      <c r="B103" s="112">
        <v>2</v>
      </c>
      <c r="C103" s="112"/>
      <c r="D103" s="112">
        <v>71</v>
      </c>
      <c r="E103" s="112">
        <v>20</v>
      </c>
      <c r="F103" s="112">
        <v>11</v>
      </c>
      <c r="G103" s="112">
        <v>7</v>
      </c>
      <c r="H103" s="112">
        <v>65</v>
      </c>
      <c r="I103" s="112">
        <v>36</v>
      </c>
      <c r="J103" s="151">
        <f t="shared" si="2"/>
        <v>29</v>
      </c>
      <c r="K103" s="316"/>
      <c r="L103" s="317"/>
      <c r="M103" s="318"/>
      <c r="O103" s="165"/>
      <c r="P103" s="165"/>
    </row>
    <row r="104" spans="1:16" ht="15.75" x14ac:dyDescent="0.25">
      <c r="A104" s="114" t="s">
        <v>171</v>
      </c>
      <c r="B104" s="116">
        <v>5</v>
      </c>
      <c r="C104" s="116"/>
      <c r="D104" s="116">
        <v>75</v>
      </c>
      <c r="E104" s="116">
        <v>23</v>
      </c>
      <c r="F104" s="120">
        <v>6</v>
      </c>
      <c r="G104" s="116">
        <v>9</v>
      </c>
      <c r="H104" s="116">
        <v>77</v>
      </c>
      <c r="I104" s="115">
        <v>44</v>
      </c>
      <c r="J104" s="159">
        <f t="shared" si="2"/>
        <v>33</v>
      </c>
      <c r="K104" s="316"/>
      <c r="L104" s="317"/>
      <c r="M104" s="318"/>
      <c r="O104" s="165"/>
      <c r="P104" s="165"/>
    </row>
    <row r="105" spans="1:16" ht="16.5" thickBot="1" x14ac:dyDescent="0.3">
      <c r="A105" s="121" t="s">
        <v>172</v>
      </c>
      <c r="B105" s="122">
        <v>6</v>
      </c>
      <c r="C105" s="122"/>
      <c r="D105" s="122">
        <v>63</v>
      </c>
      <c r="E105" s="122">
        <v>19</v>
      </c>
      <c r="F105" s="122">
        <v>6</v>
      </c>
      <c r="G105" s="122">
        <v>13</v>
      </c>
      <c r="H105" s="122">
        <v>74</v>
      </c>
      <c r="I105" s="122">
        <v>51</v>
      </c>
      <c r="J105" s="164">
        <f t="shared" si="2"/>
        <v>23</v>
      </c>
      <c r="K105" s="319"/>
      <c r="L105" s="320"/>
      <c r="M105" s="321"/>
      <c r="O105" s="165"/>
      <c r="P105" s="165"/>
    </row>
    <row r="106" spans="1:16" ht="16.5" thickBot="1" x14ac:dyDescent="0.3">
      <c r="A106" s="152" t="s">
        <v>181</v>
      </c>
      <c r="B106" s="153">
        <v>5</v>
      </c>
      <c r="C106" s="153"/>
      <c r="D106" s="153">
        <v>70</v>
      </c>
      <c r="E106" s="153">
        <v>21</v>
      </c>
      <c r="F106" s="153">
        <v>7</v>
      </c>
      <c r="G106" s="153">
        <v>10</v>
      </c>
      <c r="H106" s="153">
        <v>72</v>
      </c>
      <c r="I106" s="153">
        <v>51</v>
      </c>
      <c r="J106" s="154">
        <f t="shared" si="2"/>
        <v>21</v>
      </c>
      <c r="K106" s="310" t="s">
        <v>296</v>
      </c>
      <c r="L106" s="311"/>
      <c r="M106" s="312"/>
      <c r="O106" s="150"/>
      <c r="P106" s="150"/>
    </row>
    <row r="107" spans="1:16" ht="16.5" thickBot="1" x14ac:dyDescent="0.3">
      <c r="A107" s="155" t="s">
        <v>194</v>
      </c>
      <c r="B107" s="156">
        <v>8</v>
      </c>
      <c r="C107" s="156"/>
      <c r="D107" s="156">
        <v>56</v>
      </c>
      <c r="E107" s="156">
        <v>14</v>
      </c>
      <c r="F107" s="156">
        <v>14</v>
      </c>
      <c r="G107" s="156">
        <v>10</v>
      </c>
      <c r="H107" s="156">
        <v>56</v>
      </c>
      <c r="I107" s="156">
        <v>48</v>
      </c>
      <c r="J107" s="182">
        <f t="shared" si="2"/>
        <v>8</v>
      </c>
      <c r="K107" s="310" t="s">
        <v>298</v>
      </c>
      <c r="L107" s="311"/>
      <c r="M107" s="312"/>
      <c r="O107" s="150"/>
      <c r="P107" s="150"/>
    </row>
    <row r="108" spans="1:16" ht="15.75" x14ac:dyDescent="0.25">
      <c r="A108" s="114" t="s">
        <v>209</v>
      </c>
      <c r="B108" s="143">
        <v>8</v>
      </c>
      <c r="C108" s="143"/>
      <c r="D108" s="143">
        <v>61</v>
      </c>
      <c r="E108" s="143">
        <v>18</v>
      </c>
      <c r="F108" s="143">
        <v>7</v>
      </c>
      <c r="G108" s="143">
        <v>13</v>
      </c>
      <c r="H108" s="143">
        <v>55</v>
      </c>
      <c r="I108" s="143">
        <v>39</v>
      </c>
      <c r="J108" s="186">
        <f t="shared" si="2"/>
        <v>16</v>
      </c>
      <c r="K108" s="301" t="s">
        <v>299</v>
      </c>
      <c r="L108" s="302"/>
      <c r="M108" s="303"/>
      <c r="O108" s="150"/>
      <c r="P108" s="150"/>
    </row>
    <row r="109" spans="1:16" ht="15.75" x14ac:dyDescent="0.25">
      <c r="A109" s="111" t="s">
        <v>228</v>
      </c>
      <c r="B109" s="112">
        <v>5</v>
      </c>
      <c r="C109" s="112"/>
      <c r="D109" s="112">
        <v>69</v>
      </c>
      <c r="E109" s="112">
        <v>22</v>
      </c>
      <c r="F109" s="112">
        <v>3</v>
      </c>
      <c r="G109" s="112">
        <v>13</v>
      </c>
      <c r="H109" s="112">
        <v>61</v>
      </c>
      <c r="I109" s="112">
        <v>48</v>
      </c>
      <c r="J109" s="151">
        <f t="shared" si="2"/>
        <v>13</v>
      </c>
      <c r="K109" s="304"/>
      <c r="L109" s="305"/>
      <c r="M109" s="306"/>
      <c r="O109" s="150"/>
      <c r="P109" s="150"/>
    </row>
    <row r="110" spans="1:16" ht="15.75" x14ac:dyDescent="0.25">
      <c r="A110" s="114" t="s">
        <v>283</v>
      </c>
      <c r="B110" s="143">
        <v>2</v>
      </c>
      <c r="C110" s="143"/>
      <c r="D110" s="143">
        <v>84</v>
      </c>
      <c r="E110" s="143">
        <v>26</v>
      </c>
      <c r="F110" s="143">
        <v>6</v>
      </c>
      <c r="G110" s="143">
        <v>6</v>
      </c>
      <c r="H110" s="143">
        <v>88</v>
      </c>
      <c r="I110" s="143">
        <v>43</v>
      </c>
      <c r="J110" s="186">
        <f t="shared" si="2"/>
        <v>45</v>
      </c>
      <c r="K110" s="304"/>
      <c r="L110" s="305"/>
      <c r="M110" s="306"/>
      <c r="O110" s="150"/>
      <c r="P110" s="150"/>
    </row>
    <row r="111" spans="1:16" ht="15.75" x14ac:dyDescent="0.25">
      <c r="A111" s="111" t="s">
        <v>295</v>
      </c>
      <c r="B111" s="112">
        <v>2</v>
      </c>
      <c r="C111" s="112"/>
      <c r="D111" s="112">
        <v>89</v>
      </c>
      <c r="E111" s="112">
        <v>28</v>
      </c>
      <c r="F111" s="112">
        <v>5</v>
      </c>
      <c r="G111" s="112">
        <v>5</v>
      </c>
      <c r="H111" s="112">
        <v>91</v>
      </c>
      <c r="I111" s="112">
        <v>29</v>
      </c>
      <c r="J111" s="151">
        <f t="shared" si="2"/>
        <v>62</v>
      </c>
      <c r="K111" s="304"/>
      <c r="L111" s="305"/>
      <c r="M111" s="306"/>
      <c r="O111" s="150"/>
      <c r="P111" s="150"/>
    </row>
    <row r="112" spans="1:16" ht="15.75" x14ac:dyDescent="0.25">
      <c r="A112" s="114" t="s">
        <v>320</v>
      </c>
      <c r="B112" s="143">
        <v>2</v>
      </c>
      <c r="C112" s="143"/>
      <c r="D112" s="143">
        <f>SUM(E112*3+F112)</f>
        <v>74</v>
      </c>
      <c r="E112" s="143">
        <f>COUNTIF(E3:E40,3)</f>
        <v>20</v>
      </c>
      <c r="F112" s="143">
        <f>COUNTIF(E3:E40,1)</f>
        <v>14</v>
      </c>
      <c r="G112" s="143">
        <f>COUNTIF(E3:E40,0)</f>
        <v>4</v>
      </c>
      <c r="H112" s="143">
        <v>67</v>
      </c>
      <c r="I112" s="143">
        <v>33</v>
      </c>
      <c r="J112" s="186">
        <f t="shared" ref="J112:J113" si="7">H112-I112</f>
        <v>34</v>
      </c>
      <c r="K112" s="304"/>
      <c r="L112" s="305"/>
      <c r="M112" s="306"/>
    </row>
    <row r="113" spans="1:13" ht="16.5" thickBot="1" x14ac:dyDescent="0.3">
      <c r="A113" s="199" t="s">
        <v>321</v>
      </c>
      <c r="B113" s="199">
        <v>1</v>
      </c>
      <c r="C113" s="199"/>
      <c r="D113" s="199">
        <f>SUM(E113*3+F113)</f>
        <v>85</v>
      </c>
      <c r="E113" s="199">
        <f>COUNTIF(D3:D41,3)</f>
        <v>26</v>
      </c>
      <c r="F113" s="199">
        <f>COUNTIF(D3:D41,1)</f>
        <v>7</v>
      </c>
      <c r="G113" s="199">
        <f>COUNTIF(D3:D41,0)</f>
        <v>5</v>
      </c>
      <c r="H113" s="199">
        <v>69</v>
      </c>
      <c r="I113" s="199">
        <v>26</v>
      </c>
      <c r="J113" s="200">
        <f t="shared" si="7"/>
        <v>43</v>
      </c>
      <c r="K113" s="307"/>
      <c r="L113" s="308"/>
      <c r="M113" s="309"/>
    </row>
  </sheetData>
  <autoFilter ref="A79:J112" xr:uid="{9C81160F-C24B-449F-8F5A-CB622AB71070}"/>
  <mergeCells count="13">
    <mergeCell ref="W84:X84"/>
    <mergeCell ref="C1:I1"/>
    <mergeCell ref="K108:M113"/>
    <mergeCell ref="K106:M106"/>
    <mergeCell ref="K107:M107"/>
    <mergeCell ref="K84:M105"/>
    <mergeCell ref="K80:M83"/>
    <mergeCell ref="AH1:AK1"/>
    <mergeCell ref="W80:X80"/>
    <mergeCell ref="W81:X81"/>
    <mergeCell ref="W82:X82"/>
    <mergeCell ref="W83:X83"/>
    <mergeCell ref="L1:AG1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47</v>
      </c>
      <c r="B1" s="331"/>
      <c r="C1" s="332" t="s">
        <v>45</v>
      </c>
      <c r="D1" s="202"/>
      <c r="E1" s="333"/>
      <c r="H1" s="208" t="s">
        <v>48</v>
      </c>
      <c r="I1" s="331"/>
      <c r="J1" s="332" t="s">
        <v>45</v>
      </c>
      <c r="K1" s="202"/>
      <c r="L1" s="333"/>
    </row>
    <row r="2" spans="1:12" x14ac:dyDescent="0.25">
      <c r="A2" s="3" t="s">
        <v>49</v>
      </c>
      <c r="B2" s="5" t="s">
        <v>1</v>
      </c>
      <c r="C2" s="10" t="s">
        <v>2</v>
      </c>
      <c r="D2" s="12" t="s">
        <v>3</v>
      </c>
      <c r="E2" s="13" t="s">
        <v>46</v>
      </c>
      <c r="H2" s="3" t="s">
        <v>49</v>
      </c>
      <c r="I2" s="5" t="s">
        <v>1</v>
      </c>
      <c r="J2" s="10" t="s">
        <v>3</v>
      </c>
      <c r="K2" s="12" t="s">
        <v>2</v>
      </c>
      <c r="L2" s="13" t="s">
        <v>46</v>
      </c>
    </row>
    <row r="3" spans="1:12" x14ac:dyDescent="0.25">
      <c r="A3" s="3">
        <v>1</v>
      </c>
      <c r="B3" s="5" t="s">
        <v>50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59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51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60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52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61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53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58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54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62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55</v>
      </c>
      <c r="C8" s="11">
        <v>564</v>
      </c>
      <c r="D8" s="9">
        <v>0</v>
      </c>
      <c r="E8" s="14">
        <v>0</v>
      </c>
      <c r="H8" s="3">
        <v>6</v>
      </c>
      <c r="I8" s="5" t="s">
        <v>63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56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64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57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65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58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66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104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67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75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68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76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69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77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70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78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71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79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72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80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105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73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81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82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74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83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81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132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61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137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131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133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59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134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66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135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273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276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274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188</v>
      </c>
      <c r="J30" s="11">
        <f>'Apps &amp; Goals'!P10</f>
        <v>81</v>
      </c>
      <c r="K30" s="9">
        <f>'Apps &amp; Goals'!O10</f>
        <v>313</v>
      </c>
      <c r="L30" s="14">
        <f>J30/K30</f>
        <v>0.25878594249201275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277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275</v>
      </c>
      <c r="C32" s="11">
        <v>352</v>
      </c>
      <c r="D32" s="9">
        <v>0</v>
      </c>
      <c r="E32" s="14">
        <v>0</v>
      </c>
      <c r="H32" s="3">
        <v>30</v>
      </c>
      <c r="I32" s="5" t="s">
        <v>278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2026-08-17T09:46:56Z</dcterms:modified>
</cp:coreProperties>
</file>