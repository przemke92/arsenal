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8661" documentId="13_ncr:1_{662DAA9A-C5C7-8346-85AE-B86E329139C8}" xr6:coauthVersionLast="47" xr6:coauthVersionMax="47" xr10:uidLastSave="{0DAF3CF0-C3FB-4FDC-AA35-4AF0BAFBADDE}"/>
  <bookViews>
    <workbookView xWindow="-120" yWindow="-120" windowWidth="29040" windowHeight="15720" tabRatio="799" firstSheet="1" activeTab="2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Ratings" sheetId="32" r:id="rId24"/>
    <sheet name="All-time records" sheetId="4" r:id="rId25"/>
  </sheets>
  <definedNames>
    <definedName name="_xlnm._FilterDatabase" localSheetId="1" hidden="1">'#'!$A$5:$BG$5</definedName>
    <definedName name="_xlnm._FilterDatabase" localSheetId="24" hidden="1">'All-time records'!$H$2:$L$2</definedName>
    <definedName name="_xlnm._FilterDatabase" localSheetId="2" hidden="1">'Apps &amp; Goals'!$A$3:$U$38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26-27'!$A$3:$S$18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(CS)'!$A$2:$D$17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F31" i="1"/>
  <c r="U31" i="1" s="1"/>
  <c r="G31" i="1"/>
  <c r="H31" i="1"/>
  <c r="I31" i="1"/>
  <c r="J31" i="1"/>
  <c r="V31" i="1" s="1"/>
  <c r="K31" i="1"/>
  <c r="L31" i="1"/>
  <c r="M31" i="1"/>
  <c r="O31" i="1"/>
  <c r="P31" i="1"/>
  <c r="Q31" i="1"/>
  <c r="R31" i="1"/>
  <c r="S31" i="1"/>
  <c r="E32" i="1"/>
  <c r="F32" i="1"/>
  <c r="U32" i="1" s="1"/>
  <c r="G32" i="1"/>
  <c r="H32" i="1"/>
  <c r="T32" i="1" s="1"/>
  <c r="I32" i="1"/>
  <c r="J32" i="1"/>
  <c r="K32" i="1"/>
  <c r="L32" i="1"/>
  <c r="M32" i="1"/>
  <c r="N32" i="1"/>
  <c r="O32" i="1"/>
  <c r="P32" i="1"/>
  <c r="Q32" i="1"/>
  <c r="R32" i="1"/>
  <c r="S32" i="1"/>
  <c r="V32" i="1"/>
  <c r="F33" i="1"/>
  <c r="U33" i="1" s="1"/>
  <c r="G33" i="1"/>
  <c r="H33" i="1"/>
  <c r="I33" i="1"/>
  <c r="J33" i="1"/>
  <c r="K33" i="1"/>
  <c r="L33" i="1"/>
  <c r="M33" i="1"/>
  <c r="V33" i="1" s="1"/>
  <c r="N33" i="1"/>
  <c r="O33" i="1"/>
  <c r="P33" i="1"/>
  <c r="Q33" i="1"/>
  <c r="R33" i="1"/>
  <c r="S33" i="1"/>
  <c r="E34" i="1"/>
  <c r="F34" i="1"/>
  <c r="G34" i="1"/>
  <c r="V34" i="1" s="1"/>
  <c r="H34" i="1"/>
  <c r="I34" i="1"/>
  <c r="U34" i="1" s="1"/>
  <c r="J34" i="1"/>
  <c r="K34" i="1"/>
  <c r="T34" i="1" s="1"/>
  <c r="L34" i="1"/>
  <c r="M34" i="1"/>
  <c r="N34" i="1"/>
  <c r="O34" i="1"/>
  <c r="P34" i="1"/>
  <c r="Q34" i="1"/>
  <c r="R34" i="1"/>
  <c r="S34" i="1"/>
  <c r="E35" i="1"/>
  <c r="T35" i="1" s="1"/>
  <c r="F35" i="1"/>
  <c r="G35" i="1"/>
  <c r="H35" i="1"/>
  <c r="I35" i="1"/>
  <c r="U35" i="1" s="1"/>
  <c r="J35" i="1"/>
  <c r="K35" i="1"/>
  <c r="L35" i="1"/>
  <c r="M35" i="1"/>
  <c r="N35" i="1"/>
  <c r="O35" i="1"/>
  <c r="P35" i="1"/>
  <c r="Q35" i="1"/>
  <c r="R35" i="1"/>
  <c r="S35" i="1"/>
  <c r="V35" i="1"/>
  <c r="F36" i="1"/>
  <c r="U36" i="1" s="1"/>
  <c r="G36" i="1"/>
  <c r="V36" i="1" s="1"/>
  <c r="H36" i="1"/>
  <c r="I36" i="1"/>
  <c r="J36" i="1"/>
  <c r="K36" i="1"/>
  <c r="L36" i="1"/>
  <c r="M36" i="1"/>
  <c r="N36" i="1"/>
  <c r="O36" i="1"/>
  <c r="P36" i="1"/>
  <c r="Q36" i="1"/>
  <c r="R36" i="1"/>
  <c r="S36" i="1"/>
  <c r="E37" i="1"/>
  <c r="T37" i="1" s="1"/>
  <c r="F37" i="1"/>
  <c r="G37" i="1"/>
  <c r="V37" i="1" s="1"/>
  <c r="H37" i="1"/>
  <c r="I37" i="1"/>
  <c r="J37" i="1"/>
  <c r="K37" i="1"/>
  <c r="L37" i="1"/>
  <c r="M37" i="1"/>
  <c r="N37" i="1"/>
  <c r="O37" i="1"/>
  <c r="P37" i="1"/>
  <c r="Q37" i="1"/>
  <c r="R37" i="1"/>
  <c r="S37" i="1"/>
  <c r="U37" i="1"/>
  <c r="E38" i="1"/>
  <c r="T38" i="1" s="1"/>
  <c r="F38" i="1"/>
  <c r="U38" i="1" s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V38" i="1"/>
  <c r="BC7" i="10"/>
  <c r="BD7" i="10"/>
  <c r="BG7" i="10" s="1"/>
  <c r="BE7" i="10"/>
  <c r="BH7" i="10" s="1"/>
  <c r="BF7" i="10"/>
  <c r="BC8" i="10"/>
  <c r="BF8" i="10" s="1"/>
  <c r="BD8" i="10"/>
  <c r="BE8" i="10"/>
  <c r="BG8" i="10"/>
  <c r="BH8" i="10"/>
  <c r="BC9" i="10"/>
  <c r="BD9" i="10"/>
  <c r="BG9" i="10" s="1"/>
  <c r="BE9" i="10"/>
  <c r="BH9" i="10" s="1"/>
  <c r="BF9" i="10"/>
  <c r="BC10" i="10"/>
  <c r="BF10" i="10" s="1"/>
  <c r="BD10" i="10"/>
  <c r="BG10" i="10" s="1"/>
  <c r="BE10" i="10"/>
  <c r="BH10" i="10"/>
  <c r="BC11" i="10"/>
  <c r="BD11" i="10"/>
  <c r="BG11" i="10" s="1"/>
  <c r="BE11" i="10"/>
  <c r="BH11" i="10" s="1"/>
  <c r="BF11" i="10"/>
  <c r="BC12" i="10"/>
  <c r="BF12" i="10" s="1"/>
  <c r="BD12" i="10"/>
  <c r="BG12" i="10" s="1"/>
  <c r="BE12" i="10"/>
  <c r="BH12" i="10"/>
  <c r="BC13" i="10"/>
  <c r="BD13" i="10"/>
  <c r="BE13" i="10"/>
  <c r="BH13" i="10" s="1"/>
  <c r="BF13" i="10"/>
  <c r="BG13" i="10"/>
  <c r="BC14" i="10"/>
  <c r="BF14" i="10" s="1"/>
  <c r="BD14" i="10"/>
  <c r="BE14" i="10"/>
  <c r="BG14" i="10"/>
  <c r="BH14" i="10"/>
  <c r="BC15" i="10"/>
  <c r="BD15" i="10"/>
  <c r="BG15" i="10" s="1"/>
  <c r="BE15" i="10"/>
  <c r="BH15" i="10" s="1"/>
  <c r="BF15" i="10"/>
  <c r="BC16" i="10"/>
  <c r="BF16" i="10" s="1"/>
  <c r="BD16" i="10"/>
  <c r="BE16" i="10"/>
  <c r="BG16" i="10"/>
  <c r="BH16" i="10"/>
  <c r="BC17" i="10"/>
  <c r="BD17" i="10"/>
  <c r="BG17" i="10" s="1"/>
  <c r="BE17" i="10"/>
  <c r="BH17" i="10" s="1"/>
  <c r="BF17" i="10"/>
  <c r="BC18" i="10"/>
  <c r="BF18" i="10" s="1"/>
  <c r="BD18" i="10"/>
  <c r="BG18" i="10" s="1"/>
  <c r="BE18" i="10"/>
  <c r="BH18" i="10"/>
  <c r="BC19" i="10"/>
  <c r="BD19" i="10"/>
  <c r="BG19" i="10" s="1"/>
  <c r="BE19" i="10"/>
  <c r="BH19" i="10" s="1"/>
  <c r="BF19" i="10"/>
  <c r="BC20" i="10"/>
  <c r="BF20" i="10" s="1"/>
  <c r="BD20" i="10"/>
  <c r="BG20" i="10" s="1"/>
  <c r="BE20" i="10"/>
  <c r="BH20" i="10"/>
  <c r="BC21" i="10"/>
  <c r="BD21" i="10"/>
  <c r="BE21" i="10"/>
  <c r="BH21" i="10" s="1"/>
  <c r="BF21" i="10"/>
  <c r="BG21" i="10"/>
  <c r="BC22" i="10"/>
  <c r="BF22" i="10" s="1"/>
  <c r="BD22" i="10"/>
  <c r="BE22" i="10"/>
  <c r="BG22" i="10"/>
  <c r="BH22" i="10"/>
  <c r="BC23" i="10"/>
  <c r="BD23" i="10"/>
  <c r="BG23" i="10" s="1"/>
  <c r="BE23" i="10"/>
  <c r="BH23" i="10" s="1"/>
  <c r="BF23" i="10"/>
  <c r="BC24" i="10"/>
  <c r="BF24" i="10" s="1"/>
  <c r="BD24" i="10"/>
  <c r="BE24" i="10"/>
  <c r="BG24" i="10"/>
  <c r="BH24" i="10"/>
  <c r="BC25" i="10"/>
  <c r="BD25" i="10"/>
  <c r="BG25" i="10" s="1"/>
  <c r="BE25" i="10"/>
  <c r="BH25" i="10" s="1"/>
  <c r="BF25" i="10"/>
  <c r="BC26" i="10"/>
  <c r="BF26" i="10" s="1"/>
  <c r="BD26" i="10"/>
  <c r="BG26" i="10" s="1"/>
  <c r="BE26" i="10"/>
  <c r="BH26" i="10"/>
  <c r="BC27" i="10"/>
  <c r="BD27" i="10"/>
  <c r="BG27" i="10" s="1"/>
  <c r="BE27" i="10"/>
  <c r="BH27" i="10" s="1"/>
  <c r="BF27" i="10"/>
  <c r="BC28" i="10"/>
  <c r="BF28" i="10" s="1"/>
  <c r="BD28" i="10"/>
  <c r="BG28" i="10" s="1"/>
  <c r="BE28" i="10"/>
  <c r="BH28" i="10"/>
  <c r="BC29" i="10"/>
  <c r="BD29" i="10"/>
  <c r="BE29" i="10"/>
  <c r="BH29" i="10" s="1"/>
  <c r="BF29" i="10"/>
  <c r="BG29" i="10"/>
  <c r="BC30" i="10"/>
  <c r="BF30" i="10" s="1"/>
  <c r="BD30" i="10"/>
  <c r="BE30" i="10"/>
  <c r="BG30" i="10"/>
  <c r="BH30" i="10"/>
  <c r="BC31" i="10"/>
  <c r="BD31" i="10"/>
  <c r="BG31" i="10" s="1"/>
  <c r="BE31" i="10"/>
  <c r="BH31" i="10" s="1"/>
  <c r="BF31" i="10"/>
  <c r="BC32" i="10"/>
  <c r="BF32" i="10" s="1"/>
  <c r="BD32" i="10"/>
  <c r="BE32" i="10"/>
  <c r="BG32" i="10"/>
  <c r="BH32" i="10"/>
  <c r="BC33" i="10"/>
  <c r="BD33" i="10"/>
  <c r="BG33" i="10" s="1"/>
  <c r="BE33" i="10"/>
  <c r="BH33" i="10" s="1"/>
  <c r="BF33" i="10"/>
  <c r="BC34" i="10"/>
  <c r="BF34" i="10" s="1"/>
  <c r="BD34" i="10"/>
  <c r="BG34" i="10" s="1"/>
  <c r="BE34" i="10"/>
  <c r="BH34" i="10"/>
  <c r="BC35" i="10"/>
  <c r="BD35" i="10"/>
  <c r="BG35" i="10" s="1"/>
  <c r="BE35" i="10"/>
  <c r="BH35" i="10" s="1"/>
  <c r="BF35" i="10"/>
  <c r="BC36" i="10"/>
  <c r="BF36" i="10" s="1"/>
  <c r="BD36" i="10"/>
  <c r="BG36" i="10" s="1"/>
  <c r="BE36" i="10"/>
  <c r="BH36" i="10"/>
  <c r="BC37" i="10"/>
  <c r="BD37" i="10"/>
  <c r="BE37" i="10"/>
  <c r="BH37" i="10" s="1"/>
  <c r="BF37" i="10"/>
  <c r="BG37" i="10"/>
  <c r="BC38" i="10"/>
  <c r="BF38" i="10" s="1"/>
  <c r="BD38" i="10"/>
  <c r="BE38" i="10"/>
  <c r="BG38" i="10"/>
  <c r="BH38" i="10"/>
  <c r="BC39" i="10"/>
  <c r="BD39" i="10"/>
  <c r="BG39" i="10" s="1"/>
  <c r="BE39" i="10"/>
  <c r="BH39" i="10" s="1"/>
  <c r="BF39" i="10"/>
  <c r="BC40" i="10"/>
  <c r="BF40" i="10" s="1"/>
  <c r="BD40" i="10"/>
  <c r="BE40" i="10"/>
  <c r="BG40" i="10"/>
  <c r="BH40" i="10"/>
  <c r="AQ7" i="10"/>
  <c r="AR7" i="10"/>
  <c r="AU7" i="10" s="1"/>
  <c r="AS7" i="10"/>
  <c r="AT7" i="10"/>
  <c r="AV7" i="10"/>
  <c r="AQ8" i="10"/>
  <c r="AT8" i="10" s="1"/>
  <c r="AR8" i="10"/>
  <c r="AU8" i="10" s="1"/>
  <c r="AS8" i="10"/>
  <c r="AV8" i="10"/>
  <c r="AQ9" i="10"/>
  <c r="AR9" i="10"/>
  <c r="AU9" i="10" s="1"/>
  <c r="AS9" i="10"/>
  <c r="AV9" i="10" s="1"/>
  <c r="AT9" i="10"/>
  <c r="AQ10" i="10"/>
  <c r="AR10" i="10"/>
  <c r="AS10" i="10"/>
  <c r="AV10" i="10" s="1"/>
  <c r="AT10" i="10"/>
  <c r="AU10" i="10"/>
  <c r="AQ11" i="10"/>
  <c r="AR11" i="10"/>
  <c r="AS11" i="10"/>
  <c r="AT11" i="10"/>
  <c r="AU11" i="10"/>
  <c r="AV11" i="10"/>
  <c r="AQ12" i="10"/>
  <c r="AT12" i="10" s="1"/>
  <c r="AR12" i="10"/>
  <c r="AU12" i="10" s="1"/>
  <c r="AS12" i="10"/>
  <c r="AV12" i="10"/>
  <c r="AQ13" i="10"/>
  <c r="AT13" i="10" s="1"/>
  <c r="AR13" i="10"/>
  <c r="AU13" i="10" s="1"/>
  <c r="AS13" i="10"/>
  <c r="AV13" i="10" s="1"/>
  <c r="AQ14" i="10"/>
  <c r="AR14" i="10"/>
  <c r="AS14" i="10"/>
  <c r="AV14" i="10" s="1"/>
  <c r="AT14" i="10"/>
  <c r="AU14" i="10"/>
  <c r="AQ15" i="10"/>
  <c r="AR15" i="10"/>
  <c r="AS15" i="10"/>
  <c r="AT15" i="10"/>
  <c r="AU15" i="10"/>
  <c r="AV15" i="10"/>
  <c r="AQ16" i="10"/>
  <c r="AT16" i="10" s="1"/>
  <c r="AR16" i="10"/>
  <c r="AU16" i="10" s="1"/>
  <c r="AS16" i="10"/>
  <c r="AV16" i="10"/>
  <c r="AQ17" i="10"/>
  <c r="AR17" i="10"/>
  <c r="AU17" i="10" s="1"/>
  <c r="AS17" i="10"/>
  <c r="AV17" i="10" s="1"/>
  <c r="AT17" i="10"/>
  <c r="AQ18" i="10"/>
  <c r="AR18" i="10"/>
  <c r="AS18" i="10"/>
  <c r="AV18" i="10" s="1"/>
  <c r="AT18" i="10"/>
  <c r="AU18" i="10"/>
  <c r="AQ19" i="10"/>
  <c r="AR19" i="10"/>
  <c r="AS19" i="10"/>
  <c r="AT19" i="10"/>
  <c r="AU19" i="10"/>
  <c r="AV19" i="10"/>
  <c r="AQ20" i="10"/>
  <c r="AT20" i="10" s="1"/>
  <c r="AR20" i="10"/>
  <c r="AU20" i="10" s="1"/>
  <c r="AS20" i="10"/>
  <c r="AV20" i="10"/>
  <c r="AQ21" i="10"/>
  <c r="AT21" i="10" s="1"/>
  <c r="AR21" i="10"/>
  <c r="AU21" i="10" s="1"/>
  <c r="AS21" i="10"/>
  <c r="AV21" i="10" s="1"/>
  <c r="AQ22" i="10"/>
  <c r="AR22" i="10"/>
  <c r="AS22" i="10"/>
  <c r="AT22" i="10"/>
  <c r="AU22" i="10"/>
  <c r="AV22" i="10"/>
  <c r="AQ23" i="10"/>
  <c r="AR23" i="10"/>
  <c r="AS23" i="10"/>
  <c r="AT23" i="10"/>
  <c r="AU23" i="10"/>
  <c r="AV23" i="10"/>
  <c r="AQ24" i="10"/>
  <c r="AT24" i="10" s="1"/>
  <c r="AR24" i="10"/>
  <c r="AU24" i="10" s="1"/>
  <c r="AS24" i="10"/>
  <c r="AV24" i="10"/>
  <c r="AQ25" i="10"/>
  <c r="AR25" i="10"/>
  <c r="AU25" i="10" s="1"/>
  <c r="AS25" i="10"/>
  <c r="AV25" i="10" s="1"/>
  <c r="AT25" i="10"/>
  <c r="AQ26" i="10"/>
  <c r="AR26" i="10"/>
  <c r="AS26" i="10"/>
  <c r="AV26" i="10" s="1"/>
  <c r="AT26" i="10"/>
  <c r="AU26" i="10"/>
  <c r="AQ27" i="10"/>
  <c r="AR27" i="10"/>
  <c r="AS27" i="10"/>
  <c r="AT27" i="10"/>
  <c r="AU27" i="10"/>
  <c r="AV27" i="10"/>
  <c r="AQ28" i="10"/>
  <c r="AT28" i="10" s="1"/>
  <c r="AR28" i="10"/>
  <c r="AU28" i="10" s="1"/>
  <c r="AS28" i="10"/>
  <c r="AV28" i="10"/>
  <c r="AQ29" i="10"/>
  <c r="AT29" i="10" s="1"/>
  <c r="AR29" i="10"/>
  <c r="AU29" i="10" s="1"/>
  <c r="AS29" i="10"/>
  <c r="AV29" i="10" s="1"/>
  <c r="AQ30" i="10"/>
  <c r="AR30" i="10"/>
  <c r="AS30" i="10"/>
  <c r="AT30" i="10"/>
  <c r="AU30" i="10"/>
  <c r="AV30" i="10"/>
  <c r="AQ31" i="10"/>
  <c r="AR31" i="10"/>
  <c r="AS31" i="10"/>
  <c r="AT31" i="10"/>
  <c r="AU31" i="10"/>
  <c r="AV31" i="10"/>
  <c r="AQ32" i="10"/>
  <c r="AT32" i="10" s="1"/>
  <c r="AR32" i="10"/>
  <c r="AU32" i="10" s="1"/>
  <c r="AS32" i="10"/>
  <c r="AV32" i="10"/>
  <c r="AR33" i="10"/>
  <c r="AU33" i="10" s="1"/>
  <c r="AS33" i="10"/>
  <c r="AV33" i="10" s="1"/>
  <c r="AQ34" i="10"/>
  <c r="AR34" i="10"/>
  <c r="AS34" i="10"/>
  <c r="AV34" i="10" s="1"/>
  <c r="AT34" i="10"/>
  <c r="AU34" i="10"/>
  <c r="AQ35" i="10"/>
  <c r="AR35" i="10"/>
  <c r="AS35" i="10"/>
  <c r="AT35" i="10"/>
  <c r="AU35" i="10"/>
  <c r="AV35" i="10"/>
  <c r="AQ36" i="10"/>
  <c r="AT36" i="10" s="1"/>
  <c r="AR36" i="10"/>
  <c r="AU36" i="10" s="1"/>
  <c r="AS36" i="10"/>
  <c r="AV36" i="10"/>
  <c r="AQ37" i="10"/>
  <c r="AT37" i="10" s="1"/>
  <c r="AR37" i="10"/>
  <c r="AU37" i="10" s="1"/>
  <c r="AS37" i="10"/>
  <c r="AV37" i="10" s="1"/>
  <c r="AQ38" i="10"/>
  <c r="AR38" i="10"/>
  <c r="AS38" i="10"/>
  <c r="AT38" i="10"/>
  <c r="AU38" i="10"/>
  <c r="AV38" i="10"/>
  <c r="AQ39" i="10"/>
  <c r="AR39" i="10"/>
  <c r="AS39" i="10"/>
  <c r="AT39" i="10"/>
  <c r="AU39" i="10"/>
  <c r="AV39" i="10"/>
  <c r="AQ40" i="10"/>
  <c r="AT40" i="10" s="1"/>
  <c r="AR40" i="10"/>
  <c r="AU40" i="10" s="1"/>
  <c r="AS40" i="10"/>
  <c r="AV40" i="10"/>
  <c r="AE7" i="10"/>
  <c r="AF7" i="10"/>
  <c r="AG7" i="10"/>
  <c r="AH7" i="10"/>
  <c r="AI7" i="10"/>
  <c r="AJ7" i="10"/>
  <c r="AE8" i="10"/>
  <c r="AF8" i="10"/>
  <c r="AG8" i="10"/>
  <c r="AJ8" i="10" s="1"/>
  <c r="AH8" i="10"/>
  <c r="AI8" i="10"/>
  <c r="AE9" i="10"/>
  <c r="AF9" i="10"/>
  <c r="AG9" i="10"/>
  <c r="AH9" i="10"/>
  <c r="AI9" i="10"/>
  <c r="AJ9" i="10"/>
  <c r="AE10" i="10"/>
  <c r="AF10" i="10"/>
  <c r="AI10" i="10" s="1"/>
  <c r="AG10" i="10"/>
  <c r="AJ10" i="10" s="1"/>
  <c r="AH10" i="10"/>
  <c r="AE11" i="10"/>
  <c r="AH11" i="10" s="1"/>
  <c r="AF11" i="10"/>
  <c r="AI11" i="10" s="1"/>
  <c r="AG11" i="10"/>
  <c r="AJ11" i="10" s="1"/>
  <c r="AE12" i="10"/>
  <c r="AF12" i="10"/>
  <c r="AI12" i="10" s="1"/>
  <c r="AG12" i="10"/>
  <c r="AH12" i="10"/>
  <c r="AJ12" i="10"/>
  <c r="AE13" i="10"/>
  <c r="AH13" i="10" s="1"/>
  <c r="AF13" i="10"/>
  <c r="AI13" i="10" s="1"/>
  <c r="AG13" i="10"/>
  <c r="AJ13" i="10"/>
  <c r="AE14" i="10"/>
  <c r="AH14" i="10" s="1"/>
  <c r="AF14" i="10"/>
  <c r="AG14" i="10"/>
  <c r="AI14" i="10"/>
  <c r="AJ14" i="10"/>
  <c r="AE15" i="10"/>
  <c r="AF15" i="10"/>
  <c r="AG15" i="10"/>
  <c r="AH15" i="10"/>
  <c r="AI15" i="10"/>
  <c r="AJ15" i="10"/>
  <c r="AE16" i="10"/>
  <c r="AF16" i="10"/>
  <c r="AG16" i="10"/>
  <c r="AJ16" i="10" s="1"/>
  <c r="AH16" i="10"/>
  <c r="AI16" i="10"/>
  <c r="AE17" i="10"/>
  <c r="AF17" i="10"/>
  <c r="AG17" i="10"/>
  <c r="AH17" i="10"/>
  <c r="AI17" i="10"/>
  <c r="AJ17" i="10"/>
  <c r="AE18" i="10"/>
  <c r="AF18" i="10"/>
  <c r="AI18" i="10" s="1"/>
  <c r="AG18" i="10"/>
  <c r="AJ18" i="10" s="1"/>
  <c r="AH18" i="10"/>
  <c r="AE19" i="10"/>
  <c r="AH19" i="10" s="1"/>
  <c r="AF19" i="10"/>
  <c r="AI19" i="10" s="1"/>
  <c r="AG19" i="10"/>
  <c r="AJ19" i="10" s="1"/>
  <c r="AE20" i="10"/>
  <c r="AF20" i="10"/>
  <c r="AI20" i="10" s="1"/>
  <c r="AG20" i="10"/>
  <c r="AH20" i="10"/>
  <c r="AJ20" i="10"/>
  <c r="AE21" i="10"/>
  <c r="AH21" i="10" s="1"/>
  <c r="AF21" i="10"/>
  <c r="AI21" i="10" s="1"/>
  <c r="AG21" i="10"/>
  <c r="AJ21" i="10"/>
  <c r="AE22" i="10"/>
  <c r="AH22" i="10" s="1"/>
  <c r="AF22" i="10"/>
  <c r="AG22" i="10"/>
  <c r="AI22" i="10"/>
  <c r="AJ22" i="10"/>
  <c r="AE23" i="10"/>
  <c r="AF23" i="10"/>
  <c r="AG23" i="10"/>
  <c r="AH23" i="10"/>
  <c r="AI23" i="10"/>
  <c r="AJ23" i="10"/>
  <c r="AE24" i="10"/>
  <c r="AF24" i="10"/>
  <c r="AG24" i="10"/>
  <c r="AJ24" i="10" s="1"/>
  <c r="AH24" i="10"/>
  <c r="AI24" i="10"/>
  <c r="AE25" i="10"/>
  <c r="AF25" i="10"/>
  <c r="AG25" i="10"/>
  <c r="AH25" i="10"/>
  <c r="AI25" i="10"/>
  <c r="AJ25" i="10"/>
  <c r="AE26" i="10"/>
  <c r="AF26" i="10"/>
  <c r="AI26" i="10" s="1"/>
  <c r="AG26" i="10"/>
  <c r="AJ26" i="10" s="1"/>
  <c r="AH26" i="10"/>
  <c r="AE27" i="10"/>
  <c r="AH27" i="10" s="1"/>
  <c r="AF27" i="10"/>
  <c r="AI27" i="10" s="1"/>
  <c r="AG27" i="10"/>
  <c r="AJ27" i="10" s="1"/>
  <c r="AE28" i="10"/>
  <c r="AF28" i="10"/>
  <c r="AI28" i="10" s="1"/>
  <c r="AG28" i="10"/>
  <c r="AH28" i="10"/>
  <c r="AJ28" i="10"/>
  <c r="AE29" i="10"/>
  <c r="AH29" i="10" s="1"/>
  <c r="AF29" i="10"/>
  <c r="AI29" i="10" s="1"/>
  <c r="AG29" i="10"/>
  <c r="AJ29" i="10"/>
  <c r="AE30" i="10"/>
  <c r="AH30" i="10" s="1"/>
  <c r="AF30" i="10"/>
  <c r="AG30" i="10"/>
  <c r="AI30" i="10"/>
  <c r="AJ30" i="10"/>
  <c r="AE31" i="10"/>
  <c r="AF31" i="10"/>
  <c r="AG31" i="10"/>
  <c r="AH31" i="10"/>
  <c r="AI31" i="10"/>
  <c r="AJ31" i="10"/>
  <c r="AE32" i="10"/>
  <c r="AF32" i="10"/>
  <c r="AG32" i="10"/>
  <c r="AJ32" i="10" s="1"/>
  <c r="AH32" i="10"/>
  <c r="AI32" i="10"/>
  <c r="AE33" i="10"/>
  <c r="AF33" i="10"/>
  <c r="AG33" i="10"/>
  <c r="AH33" i="10"/>
  <c r="AI33" i="10"/>
  <c r="AJ33" i="10"/>
  <c r="AE34" i="10"/>
  <c r="AF34" i="10"/>
  <c r="AI34" i="10" s="1"/>
  <c r="AG34" i="10"/>
  <c r="AJ34" i="10" s="1"/>
  <c r="AH34" i="10"/>
  <c r="AE35" i="10"/>
  <c r="AH35" i="10" s="1"/>
  <c r="AF35" i="10"/>
  <c r="AI35" i="10" s="1"/>
  <c r="AG35" i="10"/>
  <c r="AJ35" i="10" s="1"/>
  <c r="AE36" i="10"/>
  <c r="AF36" i="10"/>
  <c r="AI36" i="10" s="1"/>
  <c r="AG36" i="10"/>
  <c r="AH36" i="10"/>
  <c r="AJ36" i="10"/>
  <c r="AE37" i="10"/>
  <c r="AH37" i="10" s="1"/>
  <c r="AF37" i="10"/>
  <c r="AI37" i="10" s="1"/>
  <c r="AG37" i="10"/>
  <c r="AJ37" i="10"/>
  <c r="AE38" i="10"/>
  <c r="AH38" i="10" s="1"/>
  <c r="AF38" i="10"/>
  <c r="AG38" i="10"/>
  <c r="AI38" i="10"/>
  <c r="AJ38" i="10"/>
  <c r="AE39" i="10"/>
  <c r="AF39" i="10"/>
  <c r="AG39" i="10"/>
  <c r="AH39" i="10"/>
  <c r="AI39" i="10"/>
  <c r="AJ39" i="10"/>
  <c r="AE40" i="10"/>
  <c r="AF40" i="10"/>
  <c r="AG40" i="10"/>
  <c r="AJ40" i="10" s="1"/>
  <c r="AH40" i="10"/>
  <c r="AI40" i="10"/>
  <c r="S7" i="10"/>
  <c r="T7" i="10"/>
  <c r="U7" i="10"/>
  <c r="X7" i="10" s="1"/>
  <c r="V7" i="10"/>
  <c r="W7" i="10"/>
  <c r="S8" i="10"/>
  <c r="V8" i="10" s="1"/>
  <c r="T8" i="10"/>
  <c r="U8" i="10"/>
  <c r="W8" i="10"/>
  <c r="X8" i="10"/>
  <c r="S9" i="10"/>
  <c r="T9" i="10"/>
  <c r="W9" i="10" s="1"/>
  <c r="U9" i="10"/>
  <c r="X9" i="10" s="1"/>
  <c r="V9" i="10"/>
  <c r="S10" i="10"/>
  <c r="V10" i="10" s="1"/>
  <c r="T10" i="10"/>
  <c r="U10" i="10"/>
  <c r="X10" i="10" s="1"/>
  <c r="W10" i="10"/>
  <c r="S11" i="10"/>
  <c r="T11" i="10"/>
  <c r="U11" i="10"/>
  <c r="V11" i="10"/>
  <c r="W11" i="10"/>
  <c r="X11" i="10"/>
  <c r="S12" i="10"/>
  <c r="V12" i="10" s="1"/>
  <c r="T12" i="10"/>
  <c r="W12" i="10" s="1"/>
  <c r="U12" i="10"/>
  <c r="X12" i="10"/>
  <c r="S13" i="10"/>
  <c r="V13" i="10" s="1"/>
  <c r="T13" i="10"/>
  <c r="W13" i="10" s="1"/>
  <c r="U13" i="10"/>
  <c r="X13" i="10" s="1"/>
  <c r="S14" i="10"/>
  <c r="T14" i="10"/>
  <c r="U14" i="10"/>
  <c r="V14" i="10"/>
  <c r="W14" i="10"/>
  <c r="X14" i="10"/>
  <c r="S15" i="10"/>
  <c r="T15" i="10"/>
  <c r="U15" i="10"/>
  <c r="V15" i="10"/>
  <c r="W15" i="10"/>
  <c r="X15" i="10"/>
  <c r="S16" i="10"/>
  <c r="V16" i="10" s="1"/>
  <c r="T16" i="10"/>
  <c r="U16" i="10"/>
  <c r="W16" i="10"/>
  <c r="X16" i="10"/>
  <c r="S17" i="10"/>
  <c r="T17" i="10"/>
  <c r="W17" i="10" s="1"/>
  <c r="U17" i="10"/>
  <c r="X17" i="10" s="1"/>
  <c r="V17" i="10"/>
  <c r="S18" i="10"/>
  <c r="T18" i="10"/>
  <c r="U18" i="10"/>
  <c r="X18" i="10" s="1"/>
  <c r="V18" i="10"/>
  <c r="W18" i="10"/>
  <c r="S19" i="10"/>
  <c r="T19" i="10"/>
  <c r="U19" i="10"/>
  <c r="V19" i="10"/>
  <c r="W19" i="10"/>
  <c r="X19" i="10"/>
  <c r="S20" i="10"/>
  <c r="V20" i="10" s="1"/>
  <c r="T20" i="10"/>
  <c r="W20" i="10" s="1"/>
  <c r="U20" i="10"/>
  <c r="X20" i="10"/>
  <c r="S21" i="10"/>
  <c r="V21" i="10" s="1"/>
  <c r="T21" i="10"/>
  <c r="W21" i="10" s="1"/>
  <c r="U21" i="10"/>
  <c r="X21" i="10" s="1"/>
  <c r="S22" i="10"/>
  <c r="T22" i="10"/>
  <c r="U22" i="10"/>
  <c r="V22" i="10"/>
  <c r="W22" i="10"/>
  <c r="X22" i="10"/>
  <c r="S23" i="10"/>
  <c r="T23" i="10"/>
  <c r="U23" i="10"/>
  <c r="V23" i="10"/>
  <c r="W23" i="10"/>
  <c r="X23" i="10"/>
  <c r="S24" i="10"/>
  <c r="V24" i="10" s="1"/>
  <c r="T24" i="10"/>
  <c r="U24" i="10"/>
  <c r="W24" i="10"/>
  <c r="X24" i="10"/>
  <c r="S25" i="10"/>
  <c r="T25" i="10"/>
  <c r="W25" i="10" s="1"/>
  <c r="U25" i="10"/>
  <c r="X25" i="10" s="1"/>
  <c r="V25" i="10"/>
  <c r="S26" i="10"/>
  <c r="T26" i="10"/>
  <c r="U26" i="10"/>
  <c r="X26" i="10" s="1"/>
  <c r="V26" i="10"/>
  <c r="W26" i="10"/>
  <c r="S27" i="10"/>
  <c r="T27" i="10"/>
  <c r="U27" i="10"/>
  <c r="V27" i="10"/>
  <c r="W27" i="10"/>
  <c r="X27" i="10"/>
  <c r="S28" i="10"/>
  <c r="V28" i="10" s="1"/>
  <c r="T28" i="10"/>
  <c r="W28" i="10" s="1"/>
  <c r="U28" i="10"/>
  <c r="X28" i="10"/>
  <c r="S29" i="10"/>
  <c r="V29" i="10" s="1"/>
  <c r="T29" i="10"/>
  <c r="W29" i="10" s="1"/>
  <c r="U29" i="10"/>
  <c r="X29" i="10" s="1"/>
  <c r="S30" i="10"/>
  <c r="T30" i="10"/>
  <c r="U30" i="10"/>
  <c r="V30" i="10"/>
  <c r="W30" i="10"/>
  <c r="X30" i="10"/>
  <c r="S31" i="10"/>
  <c r="T31" i="10"/>
  <c r="U31" i="10"/>
  <c r="V31" i="10"/>
  <c r="W31" i="10"/>
  <c r="X31" i="10"/>
  <c r="S32" i="10"/>
  <c r="V32" i="10" s="1"/>
  <c r="T32" i="10"/>
  <c r="U32" i="10"/>
  <c r="W32" i="10"/>
  <c r="X32" i="10"/>
  <c r="S33" i="10"/>
  <c r="T33" i="10"/>
  <c r="W33" i="10" s="1"/>
  <c r="U33" i="10"/>
  <c r="X33" i="10" s="1"/>
  <c r="V33" i="10"/>
  <c r="S34" i="10"/>
  <c r="T34" i="10"/>
  <c r="U34" i="10"/>
  <c r="X34" i="10" s="1"/>
  <c r="V34" i="10"/>
  <c r="W34" i="10"/>
  <c r="S35" i="10"/>
  <c r="T35" i="10"/>
  <c r="U35" i="10"/>
  <c r="V35" i="10"/>
  <c r="W35" i="10"/>
  <c r="X35" i="10"/>
  <c r="S36" i="10"/>
  <c r="V36" i="10" s="1"/>
  <c r="T36" i="10"/>
  <c r="W36" i="10" s="1"/>
  <c r="U36" i="10"/>
  <c r="X36" i="10"/>
  <c r="S37" i="10"/>
  <c r="V37" i="10" s="1"/>
  <c r="T37" i="10"/>
  <c r="W37" i="10" s="1"/>
  <c r="U37" i="10"/>
  <c r="X37" i="10" s="1"/>
  <c r="S38" i="10"/>
  <c r="T38" i="10"/>
  <c r="U38" i="10"/>
  <c r="V38" i="10"/>
  <c r="W38" i="10"/>
  <c r="X38" i="10"/>
  <c r="S39" i="10"/>
  <c r="T39" i="10"/>
  <c r="U39" i="10"/>
  <c r="V39" i="10"/>
  <c r="W39" i="10"/>
  <c r="X39" i="10"/>
  <c r="S40" i="10"/>
  <c r="V40" i="10" s="1"/>
  <c r="T40" i="10"/>
  <c r="U40" i="10"/>
  <c r="W40" i="10"/>
  <c r="X40" i="10"/>
  <c r="G7" i="10"/>
  <c r="J7" i="10" s="1"/>
  <c r="H7" i="10"/>
  <c r="K7" i="10" s="1"/>
  <c r="I7" i="10"/>
  <c r="L7" i="10" s="1"/>
  <c r="G8" i="10"/>
  <c r="J8" i="10" s="1"/>
  <c r="H8" i="10"/>
  <c r="K8" i="10" s="1"/>
  <c r="I8" i="10"/>
  <c r="L8" i="10" s="1"/>
  <c r="G9" i="10"/>
  <c r="H9" i="10"/>
  <c r="J9" i="10"/>
  <c r="K9" i="10"/>
  <c r="H10" i="10"/>
  <c r="I10" i="10"/>
  <c r="L10" i="10" s="1"/>
  <c r="K10" i="10"/>
  <c r="H11" i="10"/>
  <c r="I11" i="10"/>
  <c r="K11" i="10"/>
  <c r="L11" i="10"/>
  <c r="G12" i="10"/>
  <c r="H12" i="10"/>
  <c r="I12" i="10"/>
  <c r="L12" i="10" s="1"/>
  <c r="J12" i="10"/>
  <c r="K12" i="10"/>
  <c r="H13" i="10"/>
  <c r="K13" i="10" s="1"/>
  <c r="I13" i="10"/>
  <c r="L13" i="10" s="1"/>
  <c r="G14" i="10"/>
  <c r="H14" i="10"/>
  <c r="I14" i="10"/>
  <c r="J14" i="10"/>
  <c r="K14" i="10"/>
  <c r="L14" i="10"/>
  <c r="H15" i="10"/>
  <c r="K15" i="10" s="1"/>
  <c r="I15" i="10"/>
  <c r="L15" i="10" s="1"/>
  <c r="G16" i="10"/>
  <c r="J16" i="10" s="1"/>
  <c r="H16" i="10"/>
  <c r="K16" i="10" s="1"/>
  <c r="I16" i="10"/>
  <c r="L16" i="10" s="1"/>
  <c r="H17" i="10"/>
  <c r="I17" i="10"/>
  <c r="K17" i="10"/>
  <c r="L17" i="10"/>
  <c r="H18" i="10"/>
  <c r="I18" i="10"/>
  <c r="L18" i="10" s="1"/>
  <c r="K18" i="10"/>
  <c r="H19" i="10"/>
  <c r="I19" i="10"/>
  <c r="K19" i="10"/>
  <c r="L19" i="10"/>
  <c r="G20" i="10"/>
  <c r="H20" i="10"/>
  <c r="I20" i="10"/>
  <c r="L20" i="10" s="1"/>
  <c r="J20" i="10"/>
  <c r="K20" i="10"/>
  <c r="G21" i="10"/>
  <c r="J21" i="10" s="1"/>
  <c r="H21" i="10"/>
  <c r="K21" i="10" s="1"/>
  <c r="I21" i="10"/>
  <c r="L21" i="10" s="1"/>
  <c r="H22" i="10"/>
  <c r="I22" i="10"/>
  <c r="K22" i="10"/>
  <c r="L22" i="10"/>
  <c r="H23" i="10"/>
  <c r="K23" i="10" s="1"/>
  <c r="I23" i="10"/>
  <c r="L23" i="10" s="1"/>
  <c r="G24" i="10"/>
  <c r="J24" i="10" s="1"/>
  <c r="H24" i="10"/>
  <c r="K24" i="10" s="1"/>
  <c r="I24" i="10"/>
  <c r="L24" i="10" s="1"/>
  <c r="G25" i="10"/>
  <c r="J25" i="10" s="1"/>
  <c r="H25" i="10"/>
  <c r="K25" i="10" s="1"/>
  <c r="I25" i="10"/>
  <c r="L25" i="10"/>
  <c r="G26" i="10"/>
  <c r="J26" i="10" s="1"/>
  <c r="H26" i="10"/>
  <c r="I26" i="10"/>
  <c r="L26" i="10" s="1"/>
  <c r="K26" i="10"/>
  <c r="H27" i="10"/>
  <c r="I27" i="10"/>
  <c r="K27" i="10"/>
  <c r="L27" i="10"/>
  <c r="I28" i="10"/>
  <c r="L28" i="10" s="1"/>
  <c r="G29" i="10"/>
  <c r="J29" i="10" s="1"/>
  <c r="H29" i="10"/>
  <c r="K29" i="10" s="1"/>
  <c r="I29" i="10"/>
  <c r="L29" i="10" s="1"/>
  <c r="G30" i="10"/>
  <c r="J30" i="10" s="1"/>
  <c r="H30" i="10"/>
  <c r="I30" i="10"/>
  <c r="L30" i="10" s="1"/>
  <c r="K30" i="10"/>
  <c r="G31" i="10"/>
  <c r="J31" i="10" s="1"/>
  <c r="H31" i="10"/>
  <c r="K31" i="10" s="1"/>
  <c r="I31" i="10"/>
  <c r="L31" i="10" s="1"/>
  <c r="G32" i="10"/>
  <c r="J32" i="10" s="1"/>
  <c r="H32" i="10"/>
  <c r="K32" i="10" s="1"/>
  <c r="I32" i="10"/>
  <c r="L32" i="10" s="1"/>
  <c r="G33" i="10"/>
  <c r="H33" i="10"/>
  <c r="I33" i="10"/>
  <c r="J33" i="10"/>
  <c r="K33" i="10"/>
  <c r="L33" i="10"/>
  <c r="G34" i="10"/>
  <c r="J34" i="10" s="1"/>
  <c r="H34" i="10"/>
  <c r="I34" i="10"/>
  <c r="L34" i="10" s="1"/>
  <c r="K34" i="10"/>
  <c r="H35" i="10"/>
  <c r="I35" i="10"/>
  <c r="K35" i="10"/>
  <c r="L35" i="10"/>
  <c r="G36" i="10"/>
  <c r="H36" i="10"/>
  <c r="I36" i="10"/>
  <c r="L36" i="10" s="1"/>
  <c r="J36" i="10"/>
  <c r="K36" i="10"/>
  <c r="G37" i="10"/>
  <c r="J37" i="10" s="1"/>
  <c r="H37" i="10"/>
  <c r="K37" i="10" s="1"/>
  <c r="I37" i="10"/>
  <c r="L37" i="10" s="1"/>
  <c r="H38" i="10"/>
  <c r="I38" i="10"/>
  <c r="K38" i="10"/>
  <c r="L38" i="10"/>
  <c r="G39" i="10"/>
  <c r="J39" i="10" s="1"/>
  <c r="H39" i="10"/>
  <c r="K39" i="10" s="1"/>
  <c r="I39" i="10"/>
  <c r="L39" i="10" s="1"/>
  <c r="G40" i="10"/>
  <c r="J40" i="10" s="1"/>
  <c r="H40" i="10"/>
  <c r="K40" i="10" s="1"/>
  <c r="I40" i="10"/>
  <c r="L40" i="10" s="1"/>
  <c r="C31" i="30"/>
  <c r="D31" i="30"/>
  <c r="E31" i="30"/>
  <c r="T31" i="30" s="1"/>
  <c r="F31" i="30"/>
  <c r="G31" i="30"/>
  <c r="S31" i="30" s="1"/>
  <c r="H31" i="30"/>
  <c r="I31" i="30"/>
  <c r="J31" i="30"/>
  <c r="K31" i="30"/>
  <c r="L31" i="30"/>
  <c r="R31" i="30" s="1"/>
  <c r="M31" i="30"/>
  <c r="N31" i="30"/>
  <c r="O31" i="30"/>
  <c r="P31" i="30"/>
  <c r="Q31" i="30"/>
  <c r="C32" i="30"/>
  <c r="R32" i="30" s="1"/>
  <c r="D32" i="30"/>
  <c r="E32" i="30"/>
  <c r="T32" i="30" s="1"/>
  <c r="F32" i="30"/>
  <c r="G32" i="30"/>
  <c r="H32" i="30"/>
  <c r="I32" i="30"/>
  <c r="J32" i="30"/>
  <c r="K32" i="30"/>
  <c r="L32" i="30"/>
  <c r="M32" i="30"/>
  <c r="S32" i="30" s="1"/>
  <c r="N32" i="30"/>
  <c r="O32" i="30"/>
  <c r="P32" i="30"/>
  <c r="Q32" i="30"/>
  <c r="D33" i="30"/>
  <c r="S33" i="30" s="1"/>
  <c r="E33" i="30"/>
  <c r="F33" i="30"/>
  <c r="G33" i="30"/>
  <c r="H33" i="30"/>
  <c r="I33" i="30"/>
  <c r="J33" i="30"/>
  <c r="K33" i="30"/>
  <c r="L33" i="30"/>
  <c r="M33" i="30"/>
  <c r="N33" i="30"/>
  <c r="O33" i="30"/>
  <c r="P33" i="30"/>
  <c r="Q33" i="30"/>
  <c r="T33" i="30"/>
  <c r="C34" i="30"/>
  <c r="D34" i="30"/>
  <c r="S34" i="30" s="1"/>
  <c r="E34" i="30"/>
  <c r="F34" i="30"/>
  <c r="G34" i="30"/>
  <c r="H34" i="30"/>
  <c r="I34" i="30"/>
  <c r="J34" i="30"/>
  <c r="K34" i="30"/>
  <c r="L34" i="30"/>
  <c r="M34" i="30"/>
  <c r="N34" i="30"/>
  <c r="O34" i="30"/>
  <c r="P34" i="30"/>
  <c r="Q34" i="30"/>
  <c r="T34" i="30" s="1"/>
  <c r="R34" i="30"/>
  <c r="C35" i="30"/>
  <c r="D35" i="30"/>
  <c r="E35" i="30"/>
  <c r="T35" i="30" s="1"/>
  <c r="F35" i="30"/>
  <c r="G35" i="30"/>
  <c r="S35" i="30" s="1"/>
  <c r="H35" i="30"/>
  <c r="I35" i="30"/>
  <c r="J35" i="30"/>
  <c r="K35" i="30"/>
  <c r="L35" i="30"/>
  <c r="M35" i="30"/>
  <c r="N35" i="30"/>
  <c r="O35" i="30"/>
  <c r="R35" i="30" s="1"/>
  <c r="P35" i="30"/>
  <c r="Q35" i="30"/>
  <c r="C36" i="30"/>
  <c r="R36" i="30" s="1"/>
  <c r="D36" i="30"/>
  <c r="S36" i="30" s="1"/>
  <c r="E36" i="30"/>
  <c r="T36" i="30" s="1"/>
  <c r="F36" i="30"/>
  <c r="G36" i="30"/>
  <c r="H36" i="30"/>
  <c r="I36" i="30"/>
  <c r="J36" i="30"/>
  <c r="K36" i="30"/>
  <c r="L36" i="30"/>
  <c r="M36" i="30"/>
  <c r="N36" i="30"/>
  <c r="O36" i="30"/>
  <c r="P36" i="30"/>
  <c r="Q36" i="30"/>
  <c r="C37" i="30"/>
  <c r="D37" i="30"/>
  <c r="E37" i="30"/>
  <c r="F37" i="30"/>
  <c r="G37" i="30"/>
  <c r="H37" i="30"/>
  <c r="I37" i="30"/>
  <c r="J37" i="30"/>
  <c r="K37" i="30"/>
  <c r="L37" i="30"/>
  <c r="M37" i="30"/>
  <c r="N37" i="30"/>
  <c r="O37" i="30"/>
  <c r="P37" i="30"/>
  <c r="Q37" i="30"/>
  <c r="T37" i="30"/>
  <c r="C38" i="30"/>
  <c r="D38" i="30"/>
  <c r="S38" i="30" s="1"/>
  <c r="E38" i="30"/>
  <c r="F38" i="30"/>
  <c r="G38" i="30"/>
  <c r="H38" i="30"/>
  <c r="I38" i="30"/>
  <c r="J38" i="30"/>
  <c r="K38" i="30"/>
  <c r="L38" i="30"/>
  <c r="M38" i="30"/>
  <c r="N38" i="30"/>
  <c r="O38" i="30"/>
  <c r="P38" i="30"/>
  <c r="Q38" i="30"/>
  <c r="R38" i="30"/>
  <c r="T38" i="30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1" i="8"/>
  <c r="D31" i="8"/>
  <c r="E31" i="8"/>
  <c r="C32" i="8"/>
  <c r="D32" i="8"/>
  <c r="E32" i="8"/>
  <c r="C33" i="8"/>
  <c r="D33" i="8"/>
  <c r="E33" i="8"/>
  <c r="C34" i="8"/>
  <c r="D34" i="8"/>
  <c r="E34" i="8"/>
  <c r="C35" i="8"/>
  <c r="D35" i="8"/>
  <c r="E35" i="8"/>
  <c r="C36" i="8"/>
  <c r="D36" i="8"/>
  <c r="E36" i="8"/>
  <c r="C37" i="8"/>
  <c r="D37" i="8"/>
  <c r="E37" i="8"/>
  <c r="C38" i="8"/>
  <c r="D38" i="8"/>
  <c r="E38" i="8"/>
  <c r="C31" i="9"/>
  <c r="D31" i="9"/>
  <c r="E31" i="9"/>
  <c r="C32" i="9"/>
  <c r="D32" i="9"/>
  <c r="E32" i="9"/>
  <c r="C33" i="9"/>
  <c r="D33" i="9"/>
  <c r="E33" i="9"/>
  <c r="C34" i="9"/>
  <c r="D34" i="9"/>
  <c r="E34" i="9"/>
  <c r="C35" i="9"/>
  <c r="D35" i="9"/>
  <c r="E35" i="9"/>
  <c r="C36" i="9"/>
  <c r="D36" i="9"/>
  <c r="E36" i="9"/>
  <c r="C37" i="9"/>
  <c r="D37" i="9"/>
  <c r="E37" i="9"/>
  <c r="C38" i="9"/>
  <c r="D38" i="9"/>
  <c r="E38" i="9"/>
  <c r="C31" i="5"/>
  <c r="D31" i="5"/>
  <c r="E31" i="5"/>
  <c r="C32" i="5"/>
  <c r="D32" i="5"/>
  <c r="E32" i="5"/>
  <c r="C33" i="5"/>
  <c r="C33" i="30" s="1"/>
  <c r="D33" i="5"/>
  <c r="E33" i="5"/>
  <c r="C34" i="5"/>
  <c r="D34" i="5"/>
  <c r="E34" i="5"/>
  <c r="C35" i="5"/>
  <c r="D35" i="5"/>
  <c r="E35" i="5"/>
  <c r="C36" i="5"/>
  <c r="D36" i="5"/>
  <c r="E36" i="5"/>
  <c r="C37" i="5"/>
  <c r="D37" i="5"/>
  <c r="E37" i="5"/>
  <c r="C38" i="5"/>
  <c r="D38" i="5"/>
  <c r="E38" i="5"/>
  <c r="AD83" i="21"/>
  <c r="AE83" i="21"/>
  <c r="AC83" i="21"/>
  <c r="I114" i="2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6" i="30"/>
  <c r="P16" i="30"/>
  <c r="Q16" i="30"/>
  <c r="S16" i="1" s="1"/>
  <c r="O17" i="30"/>
  <c r="Q17" i="1" s="1"/>
  <c r="P17" i="30"/>
  <c r="Q17" i="30"/>
  <c r="O18" i="30"/>
  <c r="P18" i="30"/>
  <c r="Q18" i="30"/>
  <c r="S18" i="1" s="1"/>
  <c r="O19" i="30"/>
  <c r="Q19" i="1" s="1"/>
  <c r="P19" i="30"/>
  <c r="Q19" i="30"/>
  <c r="O20" i="30"/>
  <c r="P20" i="30"/>
  <c r="Q20" i="30"/>
  <c r="O21" i="30"/>
  <c r="P21" i="30"/>
  <c r="Q21" i="30"/>
  <c r="O22" i="30"/>
  <c r="P22" i="30"/>
  <c r="R22" i="1" s="1"/>
  <c r="Q22" i="30"/>
  <c r="O23" i="30"/>
  <c r="P23" i="30"/>
  <c r="Q23" i="30"/>
  <c r="O24" i="30"/>
  <c r="P24" i="30"/>
  <c r="Q24" i="30"/>
  <c r="S24" i="1" s="1"/>
  <c r="O25" i="30"/>
  <c r="Q25" i="1" s="1"/>
  <c r="P25" i="30"/>
  <c r="Q25" i="30"/>
  <c r="O26" i="30"/>
  <c r="P26" i="30"/>
  <c r="Q26" i="30"/>
  <c r="O28" i="30"/>
  <c r="P28" i="30"/>
  <c r="Q28" i="30"/>
  <c r="O27" i="30"/>
  <c r="Q27" i="1" s="1"/>
  <c r="P27" i="30"/>
  <c r="R27" i="1" s="1"/>
  <c r="Q27" i="30"/>
  <c r="O29" i="30"/>
  <c r="P29" i="30"/>
  <c r="Q29" i="30"/>
  <c r="O30" i="30"/>
  <c r="P30" i="30"/>
  <c r="Q30" i="30"/>
  <c r="S30" i="1" s="1"/>
  <c r="C16" i="7"/>
  <c r="L16" i="30" s="1"/>
  <c r="D16" i="7"/>
  <c r="M16" i="30" s="1"/>
  <c r="E16" i="7"/>
  <c r="N16" i="30" s="1"/>
  <c r="C17" i="7"/>
  <c r="L17" i="30" s="1"/>
  <c r="N17" i="1" s="1"/>
  <c r="D17" i="7"/>
  <c r="M17" i="30" s="1"/>
  <c r="E17" i="7"/>
  <c r="N17" i="30" s="1"/>
  <c r="P17" i="1" s="1"/>
  <c r="C18" i="7"/>
  <c r="L18" i="30" s="1"/>
  <c r="D18" i="7"/>
  <c r="M18" i="30" s="1"/>
  <c r="E18" i="7"/>
  <c r="N18" i="30" s="1"/>
  <c r="P18" i="1" s="1"/>
  <c r="C19" i="7"/>
  <c r="L19" i="30" s="1"/>
  <c r="D19" i="7"/>
  <c r="M19" i="30" s="1"/>
  <c r="E19" i="7"/>
  <c r="N19" i="30" s="1"/>
  <c r="C20" i="7"/>
  <c r="L20" i="30" s="1"/>
  <c r="D20" i="7"/>
  <c r="M20" i="30" s="1"/>
  <c r="O20" i="1" s="1"/>
  <c r="E20" i="7"/>
  <c r="N20" i="30" s="1"/>
  <c r="C21" i="7"/>
  <c r="L21" i="30" s="1"/>
  <c r="N21" i="1" s="1"/>
  <c r="D21" i="7"/>
  <c r="M21" i="30" s="1"/>
  <c r="O21" i="1" s="1"/>
  <c r="E21" i="7"/>
  <c r="N21" i="30" s="1"/>
  <c r="P21" i="1" s="1"/>
  <c r="C22" i="7"/>
  <c r="L22" i="30" s="1"/>
  <c r="D22" i="7"/>
  <c r="M22" i="30" s="1"/>
  <c r="E22" i="7"/>
  <c r="N22" i="30" s="1"/>
  <c r="P22" i="1" s="1"/>
  <c r="C23" i="7"/>
  <c r="L23" i="30" s="1"/>
  <c r="D23" i="7"/>
  <c r="M23" i="30" s="1"/>
  <c r="E23" i="7"/>
  <c r="N23" i="30" s="1"/>
  <c r="C24" i="7"/>
  <c r="L24" i="30" s="1"/>
  <c r="D24" i="7"/>
  <c r="M24" i="30" s="1"/>
  <c r="E24" i="7"/>
  <c r="N24" i="30" s="1"/>
  <c r="C25" i="7"/>
  <c r="L25" i="30" s="1"/>
  <c r="N25" i="1" s="1"/>
  <c r="D25" i="7"/>
  <c r="M25" i="30" s="1"/>
  <c r="E25" i="7"/>
  <c r="N25" i="30" s="1"/>
  <c r="P25" i="1" s="1"/>
  <c r="C26" i="7"/>
  <c r="L26" i="30" s="1"/>
  <c r="D26" i="7"/>
  <c r="M26" i="30" s="1"/>
  <c r="E26" i="7"/>
  <c r="N26" i="30" s="1"/>
  <c r="P26" i="1" s="1"/>
  <c r="C28" i="7"/>
  <c r="L28" i="30" s="1"/>
  <c r="N28" i="1" s="1"/>
  <c r="D28" i="7"/>
  <c r="M28" i="30" s="1"/>
  <c r="O28" i="1" s="1"/>
  <c r="E28" i="7"/>
  <c r="N28" i="30" s="1"/>
  <c r="C27" i="7"/>
  <c r="L27" i="30" s="1"/>
  <c r="D27" i="7"/>
  <c r="M27" i="30" s="1"/>
  <c r="E27" i="7"/>
  <c r="N27" i="30" s="1"/>
  <c r="C29" i="7"/>
  <c r="L29" i="30" s="1"/>
  <c r="D29" i="7"/>
  <c r="M29" i="30" s="1"/>
  <c r="O29" i="1" s="1"/>
  <c r="E29" i="7"/>
  <c r="N29" i="30" s="1"/>
  <c r="C30" i="7"/>
  <c r="L30" i="30" s="1"/>
  <c r="D30" i="7"/>
  <c r="M30" i="30" s="1"/>
  <c r="E30" i="7"/>
  <c r="N30" i="30" s="1"/>
  <c r="P30" i="1" s="1"/>
  <c r="E4" i="7"/>
  <c r="N4" i="30" s="1"/>
  <c r="AS6" i="10" s="1"/>
  <c r="AV6" i="10" s="1"/>
  <c r="P4" i="1" s="1"/>
  <c r="E5" i="7"/>
  <c r="N5" i="30" s="1"/>
  <c r="E6" i="7"/>
  <c r="N6" i="30" s="1"/>
  <c r="P6" i="1" s="1"/>
  <c r="E7" i="7"/>
  <c r="N7" i="30" s="1"/>
  <c r="E8" i="7"/>
  <c r="N8" i="30" s="1"/>
  <c r="E9" i="7"/>
  <c r="N9" i="30" s="1"/>
  <c r="P9" i="1" s="1"/>
  <c r="E10" i="7"/>
  <c r="N10" i="30" s="1"/>
  <c r="E11" i="7"/>
  <c r="N11" i="30" s="1"/>
  <c r="E12" i="7"/>
  <c r="N12" i="30" s="1"/>
  <c r="E13" i="7"/>
  <c r="N13" i="30" s="1"/>
  <c r="E14" i="7"/>
  <c r="N14" i="30" s="1"/>
  <c r="P14" i="1" s="1"/>
  <c r="E15" i="7"/>
  <c r="N15" i="30" s="1"/>
  <c r="D5" i="7"/>
  <c r="M5" i="30" s="1"/>
  <c r="D4" i="7"/>
  <c r="C6" i="8"/>
  <c r="D6" i="8"/>
  <c r="J6" i="30" s="1"/>
  <c r="L6" i="1" s="1"/>
  <c r="E6" i="8"/>
  <c r="K6" i="30" s="1"/>
  <c r="C7" i="8"/>
  <c r="I7" i="30" s="1"/>
  <c r="D7" i="8"/>
  <c r="J7" i="30" s="1"/>
  <c r="L7" i="1" s="1"/>
  <c r="E7" i="8"/>
  <c r="K7" i="30" s="1"/>
  <c r="M7" i="1" s="1"/>
  <c r="C8" i="8"/>
  <c r="I8" i="30" s="1"/>
  <c r="D8" i="8"/>
  <c r="J8" i="30" s="1"/>
  <c r="E8" i="8"/>
  <c r="K8" i="30" s="1"/>
  <c r="C9" i="8"/>
  <c r="I9" i="30" s="1"/>
  <c r="D9" i="8"/>
  <c r="J9" i="30" s="1"/>
  <c r="E9" i="8"/>
  <c r="K9" i="30" s="1"/>
  <c r="C10" i="8"/>
  <c r="I10" i="30" s="1"/>
  <c r="K10" i="1" s="1"/>
  <c r="D10" i="8"/>
  <c r="J10" i="30" s="1"/>
  <c r="E10" i="8"/>
  <c r="C11" i="8"/>
  <c r="I11" i="30" s="1"/>
  <c r="D11" i="8"/>
  <c r="J11" i="30" s="1"/>
  <c r="E11" i="8"/>
  <c r="K11" i="30" s="1"/>
  <c r="M11" i="1" s="1"/>
  <c r="C12" i="8"/>
  <c r="I12" i="30" s="1"/>
  <c r="D12" i="8"/>
  <c r="E12" i="8"/>
  <c r="K12" i="30" s="1"/>
  <c r="C13" i="8"/>
  <c r="I13" i="30" s="1"/>
  <c r="K13" i="1" s="1"/>
  <c r="D13" i="8"/>
  <c r="J13" i="30" s="1"/>
  <c r="L13" i="1" s="1"/>
  <c r="E13" i="8"/>
  <c r="C14" i="8"/>
  <c r="D14" i="8"/>
  <c r="J14" i="30" s="1"/>
  <c r="L14" i="1" s="1"/>
  <c r="E14" i="8"/>
  <c r="K14" i="30" s="1"/>
  <c r="C15" i="8"/>
  <c r="I15" i="30" s="1"/>
  <c r="D15" i="8"/>
  <c r="E15" i="8"/>
  <c r="K15" i="30" s="1"/>
  <c r="C16" i="8"/>
  <c r="I16" i="30" s="1"/>
  <c r="D16" i="8"/>
  <c r="J16" i="30" s="1"/>
  <c r="E16" i="8"/>
  <c r="K16" i="30" s="1"/>
  <c r="C17" i="8"/>
  <c r="I17" i="30" s="1"/>
  <c r="D17" i="8"/>
  <c r="J17" i="30" s="1"/>
  <c r="E17" i="8"/>
  <c r="K17" i="30" s="1"/>
  <c r="C18" i="8"/>
  <c r="I18" i="30" s="1"/>
  <c r="D18" i="8"/>
  <c r="J18" i="30" s="1"/>
  <c r="E18" i="8"/>
  <c r="K18" i="30" s="1"/>
  <c r="M18" i="1" s="1"/>
  <c r="C19" i="8"/>
  <c r="I19" i="30" s="1"/>
  <c r="D19" i="8"/>
  <c r="J19" i="30" s="1"/>
  <c r="E19" i="8"/>
  <c r="K19" i="30" s="1"/>
  <c r="C20" i="8"/>
  <c r="I20" i="30" s="1"/>
  <c r="D20" i="8"/>
  <c r="J20" i="30" s="1"/>
  <c r="L20" i="1" s="1"/>
  <c r="E20" i="8"/>
  <c r="K20" i="30" s="1"/>
  <c r="M20" i="1" s="1"/>
  <c r="C21" i="8"/>
  <c r="I21" i="30" s="1"/>
  <c r="D21" i="8"/>
  <c r="J21" i="30" s="1"/>
  <c r="E21" i="8"/>
  <c r="K21" i="30" s="1"/>
  <c r="C22" i="8"/>
  <c r="I22" i="30" s="1"/>
  <c r="D22" i="8"/>
  <c r="J22" i="30" s="1"/>
  <c r="L22" i="1" s="1"/>
  <c r="E22" i="8"/>
  <c r="K22" i="30" s="1"/>
  <c r="C23" i="8"/>
  <c r="I23" i="30" s="1"/>
  <c r="D23" i="8"/>
  <c r="J23" i="30" s="1"/>
  <c r="L23" i="1" s="1"/>
  <c r="E23" i="8"/>
  <c r="K23" i="30" s="1"/>
  <c r="M23" i="1" s="1"/>
  <c r="C24" i="8"/>
  <c r="I24" i="30" s="1"/>
  <c r="D24" i="8"/>
  <c r="J24" i="30" s="1"/>
  <c r="E24" i="8"/>
  <c r="K24" i="30" s="1"/>
  <c r="C25" i="8"/>
  <c r="I25" i="30" s="1"/>
  <c r="D25" i="8"/>
  <c r="J25" i="30" s="1"/>
  <c r="E25" i="8"/>
  <c r="K25" i="30" s="1"/>
  <c r="C26" i="8"/>
  <c r="I26" i="30" s="1"/>
  <c r="K26" i="1" s="1"/>
  <c r="D26" i="8"/>
  <c r="J26" i="30" s="1"/>
  <c r="E26" i="8"/>
  <c r="K26" i="30" s="1"/>
  <c r="M26" i="1" s="1"/>
  <c r="C28" i="8"/>
  <c r="I28" i="30" s="1"/>
  <c r="D28" i="8"/>
  <c r="J28" i="30" s="1"/>
  <c r="L28" i="1" s="1"/>
  <c r="E28" i="8"/>
  <c r="K28" i="30" s="1"/>
  <c r="M28" i="1" s="1"/>
  <c r="C27" i="8"/>
  <c r="I27" i="30" s="1"/>
  <c r="D27" i="8"/>
  <c r="J27" i="30" s="1"/>
  <c r="E27" i="8"/>
  <c r="K27" i="30" s="1"/>
  <c r="C29" i="8"/>
  <c r="I29" i="30" s="1"/>
  <c r="K29" i="1" s="1"/>
  <c r="D29" i="8"/>
  <c r="J29" i="30" s="1"/>
  <c r="L29" i="1" s="1"/>
  <c r="E29" i="8"/>
  <c r="K29" i="30" s="1"/>
  <c r="C30" i="8"/>
  <c r="I30" i="30" s="1"/>
  <c r="D30" i="8"/>
  <c r="J30" i="30" s="1"/>
  <c r="L30" i="1" s="1"/>
  <c r="E30" i="8"/>
  <c r="K30" i="30" s="1"/>
  <c r="D5" i="8"/>
  <c r="J5" i="30" s="1"/>
  <c r="E5" i="8"/>
  <c r="K5" i="30" s="1"/>
  <c r="C5" i="8"/>
  <c r="I5" i="30" s="1"/>
  <c r="J12" i="30"/>
  <c r="L12" i="1" s="1"/>
  <c r="K10" i="30"/>
  <c r="D4" i="8"/>
  <c r="E4" i="8"/>
  <c r="K4" i="30" s="1"/>
  <c r="AG6" i="10" s="1"/>
  <c r="AJ6" i="10" s="1"/>
  <c r="M4" i="1" s="1"/>
  <c r="C16" i="9"/>
  <c r="F16" i="30" s="1"/>
  <c r="H16" i="1" s="1"/>
  <c r="D16" i="9"/>
  <c r="G16" i="30" s="1"/>
  <c r="E16" i="9"/>
  <c r="H16" i="30" s="1"/>
  <c r="C17" i="9"/>
  <c r="F17" i="30" s="1"/>
  <c r="H17" i="1" s="1"/>
  <c r="D17" i="9"/>
  <c r="G17" i="30" s="1"/>
  <c r="I17" i="1" s="1"/>
  <c r="E17" i="9"/>
  <c r="H17" i="30" s="1"/>
  <c r="C18" i="9"/>
  <c r="F18" i="30" s="1"/>
  <c r="D18" i="9"/>
  <c r="G18" i="30" s="1"/>
  <c r="E18" i="9"/>
  <c r="H18" i="30" s="1"/>
  <c r="C19" i="9"/>
  <c r="F19" i="30" s="1"/>
  <c r="D19" i="9"/>
  <c r="G19" i="30" s="1"/>
  <c r="E19" i="9"/>
  <c r="H19" i="30" s="1"/>
  <c r="C20" i="9"/>
  <c r="F20" i="30" s="1"/>
  <c r="H20" i="1" s="1"/>
  <c r="D20" i="9"/>
  <c r="G20" i="30" s="1"/>
  <c r="I20" i="1" s="1"/>
  <c r="E20" i="9"/>
  <c r="H20" i="30" s="1"/>
  <c r="C21" i="9"/>
  <c r="F21" i="30" s="1"/>
  <c r="D21" i="9"/>
  <c r="G21" i="30" s="1"/>
  <c r="E21" i="9"/>
  <c r="H21" i="30" s="1"/>
  <c r="J21" i="1" s="1"/>
  <c r="C22" i="9"/>
  <c r="F22" i="30" s="1"/>
  <c r="D22" i="9"/>
  <c r="G22" i="30" s="1"/>
  <c r="I22" i="1" s="1"/>
  <c r="E22" i="9"/>
  <c r="H22" i="30" s="1"/>
  <c r="J22" i="1" s="1"/>
  <c r="C23" i="9"/>
  <c r="F23" i="30" s="1"/>
  <c r="D23" i="9"/>
  <c r="G23" i="30" s="1"/>
  <c r="E23" i="9"/>
  <c r="H23" i="30" s="1"/>
  <c r="C24" i="9"/>
  <c r="F24" i="30" s="1"/>
  <c r="D24" i="9"/>
  <c r="G24" i="30" s="1"/>
  <c r="E24" i="9"/>
  <c r="H24" i="30" s="1"/>
  <c r="C25" i="9"/>
  <c r="F25" i="30" s="1"/>
  <c r="H25" i="1" s="1"/>
  <c r="D25" i="9"/>
  <c r="G25" i="30" s="1"/>
  <c r="I25" i="1" s="1"/>
  <c r="E25" i="9"/>
  <c r="H25" i="30" s="1"/>
  <c r="J25" i="1" s="1"/>
  <c r="C26" i="9"/>
  <c r="F26" i="30" s="1"/>
  <c r="D26" i="9"/>
  <c r="G26" i="30" s="1"/>
  <c r="E26" i="9"/>
  <c r="H26" i="30" s="1"/>
  <c r="J26" i="1" s="1"/>
  <c r="C28" i="9"/>
  <c r="F28" i="30" s="1"/>
  <c r="H28" i="1" s="1"/>
  <c r="D28" i="9"/>
  <c r="G28" i="30" s="1"/>
  <c r="I28" i="1" s="1"/>
  <c r="E28" i="9"/>
  <c r="H28" i="30" s="1"/>
  <c r="C27" i="9"/>
  <c r="F27" i="30" s="1"/>
  <c r="D27" i="9"/>
  <c r="G27" i="30" s="1"/>
  <c r="E27" i="9"/>
  <c r="H27" i="30" s="1"/>
  <c r="C29" i="9"/>
  <c r="F29" i="30" s="1"/>
  <c r="D29" i="9"/>
  <c r="G29" i="30" s="1"/>
  <c r="E29" i="9"/>
  <c r="H29" i="30" s="1"/>
  <c r="C30" i="9"/>
  <c r="F30" i="30" s="1"/>
  <c r="D30" i="9"/>
  <c r="G30" i="30" s="1"/>
  <c r="I30" i="1" s="1"/>
  <c r="E30" i="9"/>
  <c r="H30" i="30" s="1"/>
  <c r="J30" i="1" s="1"/>
  <c r="C16" i="5"/>
  <c r="C16" i="30" s="1"/>
  <c r="G18" i="10" s="1"/>
  <c r="J18" i="10" s="1"/>
  <c r="D16" i="5"/>
  <c r="D16" i="30" s="1"/>
  <c r="F16" i="1" s="1"/>
  <c r="E16" i="5"/>
  <c r="E16" i="30" s="1"/>
  <c r="C17" i="5"/>
  <c r="C17" i="30" s="1"/>
  <c r="G19" i="10" s="1"/>
  <c r="J19" i="10" s="1"/>
  <c r="D17" i="5"/>
  <c r="D17" i="30" s="1"/>
  <c r="F17" i="1" s="1"/>
  <c r="E17" i="5"/>
  <c r="E17" i="30" s="1"/>
  <c r="G17" i="1" s="1"/>
  <c r="C18" i="5"/>
  <c r="C18" i="30" s="1"/>
  <c r="D18" i="5"/>
  <c r="D18" i="30" s="1"/>
  <c r="E18" i="5"/>
  <c r="E18" i="30" s="1"/>
  <c r="C19" i="5"/>
  <c r="C19" i="30" s="1"/>
  <c r="D19" i="5"/>
  <c r="D19" i="30" s="1"/>
  <c r="E19" i="5"/>
  <c r="E19" i="30" s="1"/>
  <c r="C20" i="5"/>
  <c r="C20" i="30" s="1"/>
  <c r="G22" i="10" s="1"/>
  <c r="J22" i="10" s="1"/>
  <c r="D20" i="5"/>
  <c r="D20" i="30" s="1"/>
  <c r="E20" i="5"/>
  <c r="E20" i="30" s="1"/>
  <c r="C21" i="5"/>
  <c r="C21" i="30" s="1"/>
  <c r="G23" i="10" s="1"/>
  <c r="J23" i="10" s="1"/>
  <c r="D21" i="5"/>
  <c r="D21" i="30" s="1"/>
  <c r="E21" i="5"/>
  <c r="E21" i="30" s="1"/>
  <c r="C22" i="5"/>
  <c r="C22" i="30" s="1"/>
  <c r="D22" i="5"/>
  <c r="D22" i="30" s="1"/>
  <c r="E22" i="5"/>
  <c r="E22" i="30" s="1"/>
  <c r="C23" i="5"/>
  <c r="C23" i="30" s="1"/>
  <c r="D23" i="5"/>
  <c r="D23" i="30" s="1"/>
  <c r="E23" i="5"/>
  <c r="E23" i="30" s="1"/>
  <c r="C24" i="5"/>
  <c r="C24" i="30" s="1"/>
  <c r="D24" i="5"/>
  <c r="D24" i="30" s="1"/>
  <c r="E24" i="5"/>
  <c r="E24" i="30" s="1"/>
  <c r="C25" i="5"/>
  <c r="C25" i="30" s="1"/>
  <c r="G27" i="10" s="1"/>
  <c r="J27" i="10" s="1"/>
  <c r="D25" i="5"/>
  <c r="D25" i="30" s="1"/>
  <c r="F25" i="1" s="1"/>
  <c r="E25" i="5"/>
  <c r="E25" i="30" s="1"/>
  <c r="G25" i="1" s="1"/>
  <c r="C26" i="5"/>
  <c r="C26" i="30" s="1"/>
  <c r="G28" i="10" s="1"/>
  <c r="J28" i="10" s="1"/>
  <c r="D26" i="5"/>
  <c r="D26" i="30" s="1"/>
  <c r="H28" i="10" s="1"/>
  <c r="K28" i="10" s="1"/>
  <c r="E26" i="5"/>
  <c r="E26" i="30" s="1"/>
  <c r="C28" i="5"/>
  <c r="C28" i="30" s="1"/>
  <c r="D28" i="5"/>
  <c r="D28" i="30" s="1"/>
  <c r="F28" i="1" s="1"/>
  <c r="E28" i="5"/>
  <c r="E28" i="30" s="1"/>
  <c r="C27" i="5"/>
  <c r="C27" i="30" s="1"/>
  <c r="D27" i="5"/>
  <c r="D27" i="30" s="1"/>
  <c r="E27" i="5"/>
  <c r="E27" i="30" s="1"/>
  <c r="C29" i="5"/>
  <c r="C29" i="30" s="1"/>
  <c r="D29" i="5"/>
  <c r="D29" i="30" s="1"/>
  <c r="E29" i="5"/>
  <c r="E29" i="30" s="1"/>
  <c r="C30" i="5"/>
  <c r="C30" i="30" s="1"/>
  <c r="D30" i="5"/>
  <c r="D30" i="30" s="1"/>
  <c r="E30" i="5"/>
  <c r="E30" i="30" s="1"/>
  <c r="O5" i="30"/>
  <c r="P5" i="30"/>
  <c r="Q5" i="30"/>
  <c r="O6" i="30"/>
  <c r="P6" i="30"/>
  <c r="R6" i="1" s="1"/>
  <c r="Q6" i="30"/>
  <c r="S6" i="1" s="1"/>
  <c r="O7" i="30"/>
  <c r="P7" i="30"/>
  <c r="Q7" i="30"/>
  <c r="O8" i="30"/>
  <c r="P8" i="30"/>
  <c r="Q8" i="30"/>
  <c r="S8" i="1" s="1"/>
  <c r="O9" i="30"/>
  <c r="Q9" i="1" s="1"/>
  <c r="P9" i="30"/>
  <c r="Q9" i="30"/>
  <c r="O10" i="30"/>
  <c r="P10" i="30"/>
  <c r="Q10" i="30"/>
  <c r="O11" i="30"/>
  <c r="Q11" i="1" s="1"/>
  <c r="P11" i="30"/>
  <c r="R11" i="1" s="1"/>
  <c r="Q11" i="30"/>
  <c r="O12" i="30"/>
  <c r="P12" i="30"/>
  <c r="Q12" i="30"/>
  <c r="K13" i="30"/>
  <c r="O13" i="30"/>
  <c r="P13" i="30"/>
  <c r="Q13" i="30"/>
  <c r="O14" i="30"/>
  <c r="P14" i="30"/>
  <c r="Q14" i="30"/>
  <c r="S14" i="1" s="1"/>
  <c r="O15" i="30"/>
  <c r="P15" i="30"/>
  <c r="Q15" i="30"/>
  <c r="P4" i="30"/>
  <c r="BD6" i="10" s="1"/>
  <c r="Q4" i="30"/>
  <c r="BE6" i="10" s="1"/>
  <c r="BH6" i="10" s="1"/>
  <c r="S4" i="1" s="1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D15" i="7"/>
  <c r="M15" i="30" s="1"/>
  <c r="C15" i="7"/>
  <c r="L15" i="30" s="1"/>
  <c r="D14" i="7"/>
  <c r="M14" i="30" s="1"/>
  <c r="C14" i="7"/>
  <c r="L14" i="30" s="1"/>
  <c r="D13" i="7"/>
  <c r="M13" i="30" s="1"/>
  <c r="O13" i="1" s="1"/>
  <c r="C13" i="7"/>
  <c r="L13" i="30" s="1"/>
  <c r="N13" i="1" s="1"/>
  <c r="D12" i="7"/>
  <c r="M12" i="30" s="1"/>
  <c r="C12" i="7"/>
  <c r="L12" i="30" s="1"/>
  <c r="N12" i="1" s="1"/>
  <c r="D11" i="7"/>
  <c r="M11" i="30" s="1"/>
  <c r="C11" i="7"/>
  <c r="L11" i="30" s="1"/>
  <c r="D10" i="7"/>
  <c r="M10" i="30" s="1"/>
  <c r="C10" i="7"/>
  <c r="L10" i="30" s="1"/>
  <c r="D9" i="7"/>
  <c r="M9" i="30" s="1"/>
  <c r="C9" i="7"/>
  <c r="L9" i="30" s="1"/>
  <c r="N9" i="1" s="1"/>
  <c r="D8" i="7"/>
  <c r="M8" i="30" s="1"/>
  <c r="C8" i="7"/>
  <c r="L8" i="30" s="1"/>
  <c r="D7" i="7"/>
  <c r="M7" i="30" s="1"/>
  <c r="C7" i="7"/>
  <c r="L7" i="30" s="1"/>
  <c r="D6" i="7"/>
  <c r="M6" i="30" s="1"/>
  <c r="C6" i="7"/>
  <c r="L6" i="30" s="1"/>
  <c r="C5" i="7"/>
  <c r="L5" i="30" s="1"/>
  <c r="N5" i="1" s="1"/>
  <c r="C4" i="7"/>
  <c r="W39" i="8"/>
  <c r="T39" i="8"/>
  <c r="Q39" i="8"/>
  <c r="N39" i="8"/>
  <c r="K39" i="8"/>
  <c r="H39" i="8"/>
  <c r="G39" i="8"/>
  <c r="I39" i="8"/>
  <c r="J39" i="8"/>
  <c r="L39" i="8"/>
  <c r="M39" i="8"/>
  <c r="O39" i="8"/>
  <c r="P39" i="8"/>
  <c r="R39" i="8"/>
  <c r="S39" i="8"/>
  <c r="U39" i="8"/>
  <c r="V39" i="8"/>
  <c r="C5" i="9"/>
  <c r="F5" i="30" s="1"/>
  <c r="D5" i="9"/>
  <c r="G5" i="30" s="1"/>
  <c r="E5" i="9"/>
  <c r="H5" i="30" s="1"/>
  <c r="C6" i="9"/>
  <c r="F6" i="30" s="1"/>
  <c r="D6" i="9"/>
  <c r="G6" i="30" s="1"/>
  <c r="I6" i="1" s="1"/>
  <c r="E6" i="9"/>
  <c r="H6" i="30" s="1"/>
  <c r="J6" i="1" s="1"/>
  <c r="C7" i="9"/>
  <c r="F7" i="30" s="1"/>
  <c r="H7" i="1" s="1"/>
  <c r="D7" i="9"/>
  <c r="G7" i="30" s="1"/>
  <c r="E7" i="9"/>
  <c r="H7" i="30" s="1"/>
  <c r="C8" i="9"/>
  <c r="F8" i="30" s="1"/>
  <c r="D8" i="9"/>
  <c r="G8" i="30" s="1"/>
  <c r="E8" i="9"/>
  <c r="H8" i="30" s="1"/>
  <c r="C9" i="9"/>
  <c r="F9" i="30" s="1"/>
  <c r="H9" i="1" s="1"/>
  <c r="D9" i="9"/>
  <c r="G9" i="30" s="1"/>
  <c r="I9" i="1" s="1"/>
  <c r="E9" i="9"/>
  <c r="H9" i="30" s="1"/>
  <c r="C10" i="9"/>
  <c r="F10" i="30" s="1"/>
  <c r="D10" i="9"/>
  <c r="G10" i="30" s="1"/>
  <c r="E10" i="9"/>
  <c r="H10" i="30" s="1"/>
  <c r="C11" i="9"/>
  <c r="F11" i="30" s="1"/>
  <c r="D11" i="9"/>
  <c r="G11" i="30" s="1"/>
  <c r="E11" i="9"/>
  <c r="H11" i="30" s="1"/>
  <c r="C12" i="9"/>
  <c r="F12" i="30" s="1"/>
  <c r="H12" i="1" s="1"/>
  <c r="D12" i="9"/>
  <c r="G12" i="30" s="1"/>
  <c r="I12" i="1" s="1"/>
  <c r="E12" i="9"/>
  <c r="H12" i="30" s="1"/>
  <c r="C13" i="9"/>
  <c r="F13" i="30" s="1"/>
  <c r="D13" i="9"/>
  <c r="G13" i="30" s="1"/>
  <c r="E13" i="9"/>
  <c r="H13" i="30" s="1"/>
  <c r="J13" i="1" s="1"/>
  <c r="C14" i="9"/>
  <c r="F14" i="30" s="1"/>
  <c r="D14" i="9"/>
  <c r="G14" i="30" s="1"/>
  <c r="I14" i="1" s="1"/>
  <c r="E14" i="9"/>
  <c r="H14" i="30" s="1"/>
  <c r="J14" i="1" s="1"/>
  <c r="C15" i="9"/>
  <c r="F15" i="30" s="1"/>
  <c r="D15" i="9"/>
  <c r="G15" i="30" s="1"/>
  <c r="E15" i="9"/>
  <c r="H15" i="30" s="1"/>
  <c r="D4" i="9"/>
  <c r="G4" i="30" s="1"/>
  <c r="T6" i="10" s="1"/>
  <c r="E4" i="9"/>
  <c r="H4" i="30" s="1"/>
  <c r="U6" i="10" s="1"/>
  <c r="X6" i="10" s="1"/>
  <c r="J4" i="1" s="1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AR39" i="9"/>
  <c r="AS39" i="9"/>
  <c r="AT39" i="9"/>
  <c r="AU39" i="9"/>
  <c r="AV39" i="9"/>
  <c r="AW39" i="9"/>
  <c r="AX39" i="9"/>
  <c r="C5" i="5"/>
  <c r="C5" i="30" s="1"/>
  <c r="D5" i="5"/>
  <c r="D5" i="30" s="1"/>
  <c r="E5" i="5"/>
  <c r="E5" i="30" s="1"/>
  <c r="C6" i="5"/>
  <c r="C6" i="30" s="1"/>
  <c r="D6" i="5"/>
  <c r="D6" i="30" s="1"/>
  <c r="E6" i="5"/>
  <c r="E6" i="30" s="1"/>
  <c r="C7" i="5"/>
  <c r="C7" i="30" s="1"/>
  <c r="D7" i="5"/>
  <c r="D7" i="30" s="1"/>
  <c r="F7" i="1" s="1"/>
  <c r="E7" i="5"/>
  <c r="E7" i="30" s="1"/>
  <c r="I9" i="10" s="1"/>
  <c r="L9" i="10" s="1"/>
  <c r="C8" i="5"/>
  <c r="C8" i="30" s="1"/>
  <c r="G10" i="10" s="1"/>
  <c r="J10" i="10" s="1"/>
  <c r="D8" i="5"/>
  <c r="D8" i="30" s="1"/>
  <c r="E8" i="5"/>
  <c r="E8" i="30" s="1"/>
  <c r="C9" i="5"/>
  <c r="C9" i="30" s="1"/>
  <c r="G11" i="10" s="1"/>
  <c r="J11" i="10" s="1"/>
  <c r="D9" i="5"/>
  <c r="D9" i="30" s="1"/>
  <c r="F9" i="1" s="1"/>
  <c r="E9" i="5"/>
  <c r="E9" i="30" s="1"/>
  <c r="C10" i="5"/>
  <c r="C10" i="30" s="1"/>
  <c r="D10" i="5"/>
  <c r="D10" i="30" s="1"/>
  <c r="E10" i="5"/>
  <c r="E10" i="30" s="1"/>
  <c r="C11" i="5"/>
  <c r="C11" i="30" s="1"/>
  <c r="G13" i="10" s="1"/>
  <c r="J13" i="10" s="1"/>
  <c r="D11" i="5"/>
  <c r="D11" i="30" s="1"/>
  <c r="E11" i="5"/>
  <c r="E11" i="30" s="1"/>
  <c r="C12" i="5"/>
  <c r="C12" i="30" s="1"/>
  <c r="D12" i="5"/>
  <c r="D12" i="30" s="1"/>
  <c r="F12" i="1" s="1"/>
  <c r="E12" i="5"/>
  <c r="E12" i="30" s="1"/>
  <c r="C13" i="5"/>
  <c r="C13" i="30" s="1"/>
  <c r="G15" i="10" s="1"/>
  <c r="J15" i="10" s="1"/>
  <c r="D13" i="5"/>
  <c r="D13" i="30" s="1"/>
  <c r="E13" i="5"/>
  <c r="E13" i="30" s="1"/>
  <c r="C14" i="5"/>
  <c r="C14" i="30" s="1"/>
  <c r="D14" i="5"/>
  <c r="D14" i="30" s="1"/>
  <c r="E14" i="5"/>
  <c r="E14" i="30" s="1"/>
  <c r="C15" i="5"/>
  <c r="C15" i="30" s="1"/>
  <c r="G17" i="10" s="1"/>
  <c r="J17" i="10" s="1"/>
  <c r="D15" i="5"/>
  <c r="D15" i="30" s="1"/>
  <c r="E15" i="5"/>
  <c r="E15" i="30" s="1"/>
  <c r="D4" i="5"/>
  <c r="D4" i="30" s="1"/>
  <c r="E4" i="5"/>
  <c r="E4" i="30" s="1"/>
  <c r="C4" i="5"/>
  <c r="DO39" i="5"/>
  <c r="DN39" i="5"/>
  <c r="DM39" i="5"/>
  <c r="DL39" i="5"/>
  <c r="DK39" i="5"/>
  <c r="DJ39" i="5"/>
  <c r="DI39" i="5"/>
  <c r="DH39" i="5"/>
  <c r="DG39" i="5"/>
  <c r="DF39" i="5"/>
  <c r="DE39" i="5"/>
  <c r="DD39" i="5"/>
  <c r="DC39" i="5"/>
  <c r="DB39" i="5"/>
  <c r="DA39" i="5"/>
  <c r="CZ39" i="5"/>
  <c r="CY39" i="5"/>
  <c r="CX39" i="5"/>
  <c r="CW39" i="5"/>
  <c r="CV39" i="5"/>
  <c r="CU39" i="5"/>
  <c r="CT39" i="5"/>
  <c r="CS39" i="5"/>
  <c r="CR39" i="5"/>
  <c r="CQ39" i="5"/>
  <c r="CP39" i="5"/>
  <c r="CO39" i="5"/>
  <c r="CN39" i="5"/>
  <c r="CM39" i="5"/>
  <c r="CL39" i="5"/>
  <c r="CK39" i="5"/>
  <c r="CJ39" i="5"/>
  <c r="CI39" i="5"/>
  <c r="CH39" i="5"/>
  <c r="CG39" i="5"/>
  <c r="CF39" i="5"/>
  <c r="CE39" i="5"/>
  <c r="CD39" i="5"/>
  <c r="CC39" i="5"/>
  <c r="CB39" i="5"/>
  <c r="CA39" i="5"/>
  <c r="BZ39" i="5"/>
  <c r="BY39" i="5"/>
  <c r="BX39" i="5"/>
  <c r="BW39" i="5"/>
  <c r="BV39" i="5"/>
  <c r="BU39" i="5"/>
  <c r="BT39" i="5"/>
  <c r="BS39" i="5"/>
  <c r="BR39" i="5"/>
  <c r="BQ39" i="5"/>
  <c r="BP39" i="5"/>
  <c r="BO39" i="5"/>
  <c r="BN39" i="5"/>
  <c r="BM39" i="5"/>
  <c r="BL39" i="5"/>
  <c r="BK39" i="5"/>
  <c r="BJ39" i="5"/>
  <c r="BI39" i="5"/>
  <c r="BH39" i="5"/>
  <c r="BG39" i="5"/>
  <c r="BF39" i="5"/>
  <c r="BE39" i="5"/>
  <c r="BD39" i="5"/>
  <c r="BC39" i="5"/>
  <c r="BB39" i="5"/>
  <c r="BA39" i="5"/>
  <c r="AZ39" i="5"/>
  <c r="AY39" i="5"/>
  <c r="AX39" i="5"/>
  <c r="AW39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O4" i="30"/>
  <c r="BC6" i="10" s="1"/>
  <c r="E3" i="4"/>
  <c r="F39" i="8"/>
  <c r="C4" i="9"/>
  <c r="F4" i="30" s="1"/>
  <c r="S6" i="10" s="1"/>
  <c r="F39" i="9"/>
  <c r="G39" i="5"/>
  <c r="F39" i="5"/>
  <c r="I6" i="30"/>
  <c r="I14" i="30"/>
  <c r="J15" i="30"/>
  <c r="L15" i="1" s="1"/>
  <c r="G7" i="1" l="1"/>
  <c r="R33" i="30"/>
  <c r="G35" i="10"/>
  <c r="J35" i="10" s="1"/>
  <c r="E33" i="1" s="1"/>
  <c r="T33" i="1" s="1"/>
  <c r="E7" i="1"/>
  <c r="G38" i="10"/>
  <c r="J38" i="10" s="1"/>
  <c r="E36" i="1" s="1"/>
  <c r="T36" i="1" s="1"/>
  <c r="E12" i="1"/>
  <c r="T12" i="1" s="1"/>
  <c r="AQ33" i="10"/>
  <c r="AT33" i="10" s="1"/>
  <c r="N31" i="1" s="1"/>
  <c r="T31" i="1" s="1"/>
  <c r="R17" i="1"/>
  <c r="Q6" i="1"/>
  <c r="S5" i="1"/>
  <c r="R30" i="1"/>
  <c r="R28" i="1"/>
  <c r="Q22" i="1"/>
  <c r="S28" i="1"/>
  <c r="S15" i="1"/>
  <c r="S10" i="1"/>
  <c r="R5" i="1"/>
  <c r="Q28" i="1"/>
  <c r="S21" i="1"/>
  <c r="R16" i="1"/>
  <c r="R15" i="1"/>
  <c r="R10" i="1"/>
  <c r="Q5" i="1"/>
  <c r="R21" i="1"/>
  <c r="Q16" i="1"/>
  <c r="Q15" i="1"/>
  <c r="R29" i="1"/>
  <c r="Q21" i="1"/>
  <c r="S11" i="1"/>
  <c r="S20" i="1"/>
  <c r="S9" i="1"/>
  <c r="R14" i="1"/>
  <c r="R9" i="1"/>
  <c r="R20" i="1"/>
  <c r="Q10" i="1"/>
  <c r="Q26" i="1"/>
  <c r="Q14" i="1"/>
  <c r="Q20" i="1"/>
  <c r="S13" i="1"/>
  <c r="R13" i="1"/>
  <c r="R8" i="1"/>
  <c r="Q13" i="1"/>
  <c r="Q8" i="1"/>
  <c r="R24" i="1"/>
  <c r="S12" i="1"/>
  <c r="R7" i="1"/>
  <c r="S23" i="1"/>
  <c r="R18" i="1"/>
  <c r="R12" i="1"/>
  <c r="Q18" i="1"/>
  <c r="S7" i="1"/>
  <c r="Q24" i="1"/>
  <c r="Q7" i="1"/>
  <c r="R23" i="1"/>
  <c r="Q12" i="1"/>
  <c r="Q23" i="1"/>
  <c r="S17" i="1"/>
  <c r="O8" i="1"/>
  <c r="O30" i="1"/>
  <c r="P24" i="1"/>
  <c r="N30" i="1"/>
  <c r="O19" i="1"/>
  <c r="O9" i="1"/>
  <c r="O5" i="1"/>
  <c r="P29" i="1"/>
  <c r="O24" i="1"/>
  <c r="N19" i="1"/>
  <c r="N24" i="1"/>
  <c r="P23" i="1"/>
  <c r="O18" i="1"/>
  <c r="N10" i="1"/>
  <c r="P15" i="1"/>
  <c r="O10" i="1"/>
  <c r="N29" i="1"/>
  <c r="N11" i="1"/>
  <c r="P13" i="1"/>
  <c r="P27" i="1"/>
  <c r="O23" i="1"/>
  <c r="N18" i="1"/>
  <c r="P16" i="1"/>
  <c r="P19" i="1"/>
  <c r="O11" i="1"/>
  <c r="P12" i="1"/>
  <c r="O27" i="1"/>
  <c r="N23" i="1"/>
  <c r="P11" i="1"/>
  <c r="O17" i="1"/>
  <c r="P8" i="1"/>
  <c r="O12" i="1"/>
  <c r="P10" i="1"/>
  <c r="P28" i="1"/>
  <c r="O22" i="1"/>
  <c r="N22" i="1"/>
  <c r="N14" i="1"/>
  <c r="P7" i="1"/>
  <c r="N16" i="1"/>
  <c r="O16" i="1"/>
  <c r="N6" i="1"/>
  <c r="O14" i="1"/>
  <c r="N7" i="1"/>
  <c r="N15" i="1"/>
  <c r="P5" i="1"/>
  <c r="N26" i="1"/>
  <c r="P20" i="1"/>
  <c r="O6" i="1"/>
  <c r="U6" i="1" s="1"/>
  <c r="O26" i="1"/>
  <c r="O7" i="1"/>
  <c r="O15" i="1"/>
  <c r="N8" i="1"/>
  <c r="O25" i="1"/>
  <c r="N20" i="1"/>
  <c r="K12" i="1"/>
  <c r="M5" i="1"/>
  <c r="L5" i="1"/>
  <c r="M25" i="1"/>
  <c r="K15" i="1"/>
  <c r="M9" i="1"/>
  <c r="M30" i="1"/>
  <c r="L25" i="1"/>
  <c r="K20" i="1"/>
  <c r="M14" i="1"/>
  <c r="V14" i="1" s="1"/>
  <c r="L9" i="1"/>
  <c r="M6" i="1"/>
  <c r="K25" i="1"/>
  <c r="K9" i="1"/>
  <c r="K30" i="1"/>
  <c r="M24" i="1"/>
  <c r="V24" i="1" s="1"/>
  <c r="L19" i="1"/>
  <c r="M8" i="1"/>
  <c r="M19" i="1"/>
  <c r="M29" i="1"/>
  <c r="L24" i="1"/>
  <c r="K19" i="1"/>
  <c r="L8" i="1"/>
  <c r="K24" i="1"/>
  <c r="M13" i="1"/>
  <c r="M27" i="1"/>
  <c r="K18" i="1"/>
  <c r="M12" i="1"/>
  <c r="K8" i="1"/>
  <c r="L18" i="1"/>
  <c r="K14" i="1"/>
  <c r="K6" i="1"/>
  <c r="K23" i="1"/>
  <c r="M17" i="1"/>
  <c r="K7" i="1"/>
  <c r="K27" i="1"/>
  <c r="K22" i="1"/>
  <c r="M16" i="1"/>
  <c r="L11" i="1"/>
  <c r="M10" i="1"/>
  <c r="K28" i="1"/>
  <c r="M21" i="1"/>
  <c r="L16" i="1"/>
  <c r="K11" i="1"/>
  <c r="M22" i="1"/>
  <c r="K17" i="1"/>
  <c r="L21" i="1"/>
  <c r="K16" i="1"/>
  <c r="K5" i="1"/>
  <c r="L26" i="1"/>
  <c r="K21" i="1"/>
  <c r="M15" i="1"/>
  <c r="L10" i="1"/>
  <c r="H6" i="1"/>
  <c r="H30" i="1"/>
  <c r="J24" i="1"/>
  <c r="I19" i="1"/>
  <c r="J5" i="1"/>
  <c r="H19" i="1"/>
  <c r="J18" i="1"/>
  <c r="J11" i="1"/>
  <c r="I24" i="1"/>
  <c r="H24" i="1"/>
  <c r="J15" i="1"/>
  <c r="I10" i="1"/>
  <c r="H5" i="1"/>
  <c r="H29" i="1"/>
  <c r="J23" i="1"/>
  <c r="V23" i="1" s="1"/>
  <c r="I18" i="1"/>
  <c r="J19" i="1"/>
  <c r="I11" i="1"/>
  <c r="H11" i="1"/>
  <c r="J29" i="1"/>
  <c r="I5" i="1"/>
  <c r="I29" i="1"/>
  <c r="I15" i="1"/>
  <c r="H10" i="1"/>
  <c r="J27" i="1"/>
  <c r="I23" i="1"/>
  <c r="H18" i="1"/>
  <c r="J10" i="1"/>
  <c r="H15" i="1"/>
  <c r="J9" i="1"/>
  <c r="I27" i="1"/>
  <c r="H23" i="1"/>
  <c r="J17" i="1"/>
  <c r="H27" i="1"/>
  <c r="J28" i="1"/>
  <c r="J16" i="1"/>
  <c r="I8" i="1"/>
  <c r="J8" i="1"/>
  <c r="H22" i="1"/>
  <c r="I16" i="1"/>
  <c r="I13" i="1"/>
  <c r="H8" i="1"/>
  <c r="I21" i="1"/>
  <c r="H13" i="1"/>
  <c r="J7" i="1"/>
  <c r="I26" i="1"/>
  <c r="H21" i="1"/>
  <c r="J12" i="1"/>
  <c r="I7" i="1"/>
  <c r="H26" i="1"/>
  <c r="J20" i="1"/>
  <c r="G16" i="1"/>
  <c r="V16" i="1" s="1"/>
  <c r="F26" i="1"/>
  <c r="E21" i="1"/>
  <c r="G11" i="1"/>
  <c r="F6" i="1"/>
  <c r="E26" i="1"/>
  <c r="E22" i="1"/>
  <c r="G30" i="1"/>
  <c r="V30" i="1" s="1"/>
  <c r="F30" i="1"/>
  <c r="G10" i="1"/>
  <c r="F5" i="1"/>
  <c r="E30" i="1"/>
  <c r="E25" i="1"/>
  <c r="G19" i="1"/>
  <c r="G6" i="1"/>
  <c r="F10" i="1"/>
  <c r="E5" i="1"/>
  <c r="G29" i="1"/>
  <c r="G24" i="1"/>
  <c r="F19" i="1"/>
  <c r="E6" i="1"/>
  <c r="E11" i="1"/>
  <c r="F15" i="1"/>
  <c r="E10" i="1"/>
  <c r="F29" i="1"/>
  <c r="U29" i="1" s="1"/>
  <c r="F24" i="1"/>
  <c r="E19" i="1"/>
  <c r="E15" i="1"/>
  <c r="E29" i="1"/>
  <c r="G18" i="1"/>
  <c r="E13" i="1"/>
  <c r="G21" i="1"/>
  <c r="G26" i="1"/>
  <c r="F11" i="1"/>
  <c r="G14" i="1"/>
  <c r="G27" i="1"/>
  <c r="G23" i="1"/>
  <c r="E9" i="1"/>
  <c r="F27" i="1"/>
  <c r="E14" i="1"/>
  <c r="G8" i="1"/>
  <c r="E27" i="1"/>
  <c r="G13" i="1"/>
  <c r="G22" i="1"/>
  <c r="F13" i="1"/>
  <c r="U13" i="1" s="1"/>
  <c r="E17" i="1"/>
  <c r="S37" i="30"/>
  <c r="R37" i="30"/>
  <c r="J114" i="21"/>
  <c r="D114" i="21"/>
  <c r="R16" i="30"/>
  <c r="S20" i="30"/>
  <c r="R27" i="30"/>
  <c r="S18" i="30"/>
  <c r="S21" i="30"/>
  <c r="U30" i="1"/>
  <c r="T20" i="30"/>
  <c r="G28" i="1"/>
  <c r="T28" i="30"/>
  <c r="F22" i="1"/>
  <c r="U22" i="1" s="1"/>
  <c r="S22" i="30"/>
  <c r="R18" i="30"/>
  <c r="E18" i="1"/>
  <c r="R24" i="30"/>
  <c r="E24" i="1"/>
  <c r="S17" i="30"/>
  <c r="S27" i="30"/>
  <c r="R30" i="30"/>
  <c r="R29" i="30"/>
  <c r="T26" i="30"/>
  <c r="R22" i="30"/>
  <c r="S16" i="30"/>
  <c r="F21" i="1"/>
  <c r="Q29" i="1"/>
  <c r="S26" i="1"/>
  <c r="V26" i="1" s="1"/>
  <c r="S26" i="30"/>
  <c r="T22" i="30"/>
  <c r="T16" i="30"/>
  <c r="R26" i="1"/>
  <c r="N27" i="1"/>
  <c r="T25" i="30"/>
  <c r="T19" i="30"/>
  <c r="F18" i="1"/>
  <c r="S25" i="30"/>
  <c r="T21" i="30"/>
  <c r="S19" i="30"/>
  <c r="S25" i="1"/>
  <c r="V25" i="1" s="1"/>
  <c r="S22" i="1"/>
  <c r="T24" i="30"/>
  <c r="T18" i="30"/>
  <c r="R25" i="1"/>
  <c r="U25" i="1" s="1"/>
  <c r="S24" i="30"/>
  <c r="G20" i="1"/>
  <c r="S19" i="1"/>
  <c r="F20" i="1"/>
  <c r="L27" i="1"/>
  <c r="R19" i="1"/>
  <c r="U19" i="1" s="1"/>
  <c r="L17" i="1"/>
  <c r="Q30" i="1"/>
  <c r="S30" i="30"/>
  <c r="S28" i="30"/>
  <c r="T29" i="30"/>
  <c r="T27" i="30"/>
  <c r="S29" i="1"/>
  <c r="S27" i="1"/>
  <c r="U28" i="1"/>
  <c r="R26" i="30"/>
  <c r="R25" i="30"/>
  <c r="E20" i="1"/>
  <c r="R20" i="30"/>
  <c r="E16" i="1"/>
  <c r="T23" i="30"/>
  <c r="F23" i="1"/>
  <c r="S23" i="30"/>
  <c r="R17" i="30"/>
  <c r="R28" i="30"/>
  <c r="E28" i="1"/>
  <c r="R23" i="30"/>
  <c r="E23" i="1"/>
  <c r="T30" i="30"/>
  <c r="R21" i="30"/>
  <c r="R19" i="30"/>
  <c r="T17" i="30"/>
  <c r="S29" i="30"/>
  <c r="H14" i="1"/>
  <c r="R14" i="30"/>
  <c r="S14" i="30"/>
  <c r="T8" i="30"/>
  <c r="T4" i="30"/>
  <c r="T14" i="30"/>
  <c r="T9" i="30"/>
  <c r="U11" i="1"/>
  <c r="T13" i="30"/>
  <c r="G15" i="1"/>
  <c r="T15" i="30"/>
  <c r="T5" i="30"/>
  <c r="G5" i="1"/>
  <c r="S8" i="30"/>
  <c r="F8" i="1"/>
  <c r="U8" i="1" s="1"/>
  <c r="G12" i="1"/>
  <c r="T12" i="30"/>
  <c r="R5" i="30"/>
  <c r="G9" i="1"/>
  <c r="S5" i="30"/>
  <c r="S12" i="30"/>
  <c r="I6" i="10"/>
  <c r="L6" i="10" s="1"/>
  <c r="G4" i="1" s="1"/>
  <c r="V4" i="1" s="1"/>
  <c r="F14" i="1"/>
  <c r="R13" i="30"/>
  <c r="T11" i="30"/>
  <c r="T6" i="30"/>
  <c r="S11" i="30"/>
  <c r="S6" i="30"/>
  <c r="S15" i="30"/>
  <c r="S9" i="30"/>
  <c r="R15" i="30"/>
  <c r="S7" i="30"/>
  <c r="S13" i="30"/>
  <c r="T10" i="30"/>
  <c r="T7" i="30"/>
  <c r="R12" i="30"/>
  <c r="S10" i="30"/>
  <c r="R11" i="30"/>
  <c r="R10" i="30"/>
  <c r="R9" i="30"/>
  <c r="R8" i="30"/>
  <c r="E8" i="1"/>
  <c r="R7" i="30"/>
  <c r="R6" i="30"/>
  <c r="D45" i="21"/>
  <c r="T11" i="1" l="1"/>
  <c r="T19" i="1"/>
  <c r="V28" i="1"/>
  <c r="T17" i="1"/>
  <c r="T9" i="1"/>
  <c r="U7" i="1"/>
  <c r="V17" i="1"/>
  <c r="V7" i="1"/>
  <c r="U16" i="1"/>
  <c r="U5" i="1"/>
  <c r="U12" i="1"/>
  <c r="T10" i="1"/>
  <c r="K30" i="4" s="1"/>
  <c r="U20" i="1"/>
  <c r="V11" i="1"/>
  <c r="U14" i="1"/>
  <c r="T28" i="1"/>
  <c r="T5" i="1"/>
  <c r="T7" i="1"/>
  <c r="V20" i="1"/>
  <c r="V5" i="1"/>
  <c r="T6" i="1"/>
  <c r="U15" i="1"/>
  <c r="T22" i="1"/>
  <c r="T26" i="1"/>
  <c r="U17" i="1"/>
  <c r="V15" i="1"/>
  <c r="V8" i="1"/>
  <c r="U9" i="1"/>
  <c r="V21" i="1"/>
  <c r="T8" i="1"/>
  <c r="T18" i="1"/>
  <c r="T25" i="1"/>
  <c r="T16" i="1"/>
  <c r="T15" i="1"/>
  <c r="T21" i="1"/>
  <c r="V6" i="1"/>
  <c r="U21" i="1"/>
  <c r="V13" i="1"/>
  <c r="T20" i="1"/>
  <c r="T30" i="1"/>
  <c r="U24" i="1"/>
  <c r="V10" i="1"/>
  <c r="T23" i="1"/>
  <c r="V12" i="1"/>
  <c r="U26" i="1"/>
  <c r="U23" i="1"/>
  <c r="V27" i="1"/>
  <c r="U10" i="1"/>
  <c r="J30" i="4" s="1"/>
  <c r="T24" i="1"/>
  <c r="T13" i="1"/>
  <c r="U18" i="1"/>
  <c r="V9" i="1"/>
  <c r="V18" i="1"/>
  <c r="U27" i="1"/>
  <c r="T27" i="1"/>
  <c r="V19" i="1"/>
  <c r="T14" i="1"/>
  <c r="V29" i="1"/>
  <c r="V22" i="1"/>
  <c r="T29" i="1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2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<sst xmlns="http://schemas.openxmlformats.org/spreadsheetml/2006/main" count="2277" uniqueCount="489">
  <si>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</si>
  <si>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</si>
  <si>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</si>
  <si>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</si>
  <si>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</si>
  <si>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</si>
  <si>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</si>
  <si>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</si>
  <si>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</si>
  <si>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</si>
  <si>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</si>
  <si>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</si>
  <si>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</si>
  <si>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</si>
  <si>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</si>
  <si>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</si>
  <si>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</si>
  <si>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</si>
  <si>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</si>
  <si>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</si>
  <si>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</si>
  <si>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</si>
  <si>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</si>
  <si>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</si>
  <si>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</si>
  <si>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</si>
  <si>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</si>
  <si>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</si>
  <si>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</si>
  <si>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</si>
  <si>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</si>
  <si>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</si>
  <si>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</si>
  <si>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</si>
  <si>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</si>
  <si>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</si>
  <si>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</si>
  <si>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</si>
  <si>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</si>
  <si>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</si>
  <si>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</si>
  <si>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</si>
  <si>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</si>
  <si>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</si>
  <si>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</si>
  <si>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</si>
  <si>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</si>
  <si>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</si>
  <si>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</si>
  <si>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</si>
  <si>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</si>
  <si>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</si>
  <si>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</si>
  <si>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</si>
  <si>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</si>
  <si>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</si>
  <si>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</si>
  <si>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</si>
  <si>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</si>
  <si>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</si>
  <si>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</si>
  <si>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</si>
  <si>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</si>
  <si>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</si>
  <si>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</si>
  <si>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</si>
  <si>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</si>
  <si>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</si>
  <si>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</si>
  <si>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</si>
  <si>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</si>
  <si>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</si>
  <si>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</si>
  <si>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</si>
  <si>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</si>
  <si>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</si>
  <si>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</si>
  <si>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</si>
  <si>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</si>
  <si>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</si>
  <si>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</si>
  <si>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</si>
  <si>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</si>
  <si>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</si>
  <si>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</si>
  <si>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</si>
  <si>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</si>
  <si>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</si>
  <si>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</si>
  <si>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</si>
  <si>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</si>
  <si>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</si>
  <si>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</si>
  <si>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</si>
  <si>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</si>
  <si>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</si>
  <si>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</si>
  <si>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</si>
  <si>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</si>
  <si>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</si>
  <si>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</si>
  <si>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</si>
  <si>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</si>
  <si>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</si>
  <si>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</si>
  <si>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</si>
  <si>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</si>
  <si>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</si>
  <si>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</si>
  <si>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</si>
  <si>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</si>
  <si>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</si>
  <si>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</si>
  <si>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</si>
  <si>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</si>
  <si>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</si>
  <si>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</si>
  <si>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</si>
  <si>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</si>
  <si>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</si>
  <si>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</si>
  <si>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</si>
  <si>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</si>
  <si>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</si>
  <si>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</si>
  <si>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</si>
  <si>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</si>
  <si>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</si>
  <si>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</si>
  <si>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</si>
  <si>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</si>
  <si>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</si>
  <si>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</si>
  <si>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</si>
  <si>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</si>
  <si>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</si>
  <si>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</si>
  <si>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</si>
  <si>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</si>
  <si>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</si>
  <si>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</si>
  <si>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</si>
  <si>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</si>
  <si>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</si>
  <si>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</si>
  <si>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</si>
  <si>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</si>
  <si>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</si>
  <si>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</si>
  <si>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</si>
  <si>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</si>
  <si>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</si>
  <si>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</si>
  <si>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</si>
  <si>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</si>
  <si>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</si>
  <si>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</si>
  <si>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</si>
  <si>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</si>
  <si>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</si>
  <si>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</si>
  <si>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</si>
  <si>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</si>
  <si>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</si>
  <si>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</si>
  <si>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</si>
  <si>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</si>
  <si>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</si>
  <si>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</si>
  <si>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</si>
  <si>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</si>
  <si>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</si>
  <si>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</si>
  <si>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</si>
  <si>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</si>
  <si>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</si>
  <si>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</si>
  <si>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</si>
  <si>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</si>
  <si>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</si>
  <si>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</si>
  <si>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</si>
  <si>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</si>
  <si>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</si>
  <si>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</si>
  <si>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</si>
  <si>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</si>
  <si>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</si>
  <si>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</si>
  <si>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</si>
  <si>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</si>
  <si>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</si>
  <si>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</si>
  <si>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</si>
  <si>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</si>
  <si>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</si>
  <si>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</si>
  <si>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</si>
  <si>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</si>
  <si>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</si>
  <si>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</si>
  <si>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</si>
  <si>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</si>
  <si>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</si>
  <si>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</si>
  <si>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</si>
  <si>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</si>
  <si>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</si>
  <si>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</si>
  <si>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</si>
  <si>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</si>
  <si>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</si>
  <si>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</si>
  <si>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</si>
  <si>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</si>
  <si>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</si>
  <si>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</si>
  <si>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</si>
  <si>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</si>
  <si>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</si>
  <si>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</si>
  <si>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</si>
  <si>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</si>
  <si>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</si>
  <si>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</si>
  <si>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</si>
  <si>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</si>
  <si>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</si>
  <si>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</si>
  <si>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</si>
  <si>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</si>
  <si>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</si>
  <si>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</si>
  <si>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</si>
  <si>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</si>
  <si>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</si>
  <si>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</si>
  <si>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</si>
  <si>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</si>
  <si>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</si>
  <si>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</si>
  <si>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</si>
  <si>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</si>
  <si>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</si>
  <si>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</si>
  <si>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</si>
  <si>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</si>
  <si>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</si>
  <si>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</si>
  <si>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</si>
  <si>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</si>
  <si>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</si>
  <si>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</si>
  <si>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</si>
  <si>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</si>
  <si>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</si>
  <si>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</si>
  <si>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</si>
  <si>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</si>
  <si>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</si>
  <si>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</si>
  <si>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</si>
  <si>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</si>
  <si>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</si>
  <si>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</si>
  <si>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</si>
  <si>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</si>
  <si>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</si>
  <si>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</si>
  <si>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</si>
  <si>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</si>
  <si>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</si>
  <si>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</si>
  <si>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</si>
  <si>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</si>
  <si>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</si>
  <si>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</si>
  <si>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</si>
  <si>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</si>
  <si>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</si>
  <si>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</si>
  <si>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</si>
  <si>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</si>
  <si>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</si>
  <si>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</si>
  <si>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</si>
  <si>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</si>
  <si>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</si>
  <si>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</si>
  <si>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</si>
  <si>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</si>
  <si>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</si>
  <si>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</si>
  <si>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</si>
  <si>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</si>
  <si>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</si>
  <si>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</si>
  <si>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</si>
  <si>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</si>
  <si>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</si>
  <si>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</si>
  <si>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</si>
  <si>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</si>
  <si>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</si>
  <si>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</si>
  <si>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</si>
  <si>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</si>
  <si>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</si>
  <si>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</si>
  <si>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</si>
  <si>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</si>
  <si>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</si>
  <si>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</si>
  <si>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</si>
  <si>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</si>
  <si>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</si>
  <si>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</si>
  <si>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</si>
  <si>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</si>
  <si>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</si>
  <si>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</si>
  <si>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</si>
  <si>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</si>
  <si>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</si>
  <si>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</si>
  <si>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</si>
  <si>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</si>
  <si>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</si>
  <si>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</si>
  <si>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</si>
  <si>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</si>
  <si>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</si>
  <si>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</si>
  <si>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</si>
  <si>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</si>
  <si>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</si>
  <si>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</si>
  <si>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</si>
  <si>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</si>
  <si>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</si>
  <si>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</si>
  <si>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</si>
  <si>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</si>
  <si>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</si>
  <si>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</si>
  <si>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</si>
  <si>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</si>
  <si>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</si>
  <si>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</si>
  <si>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</si>
  <si>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</si>
  <si>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</si>
  <si>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</si>
  <si>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</si>
  <si>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</si>
  <si>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</si>
  <si>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</si>
  <si>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</si>
  <si>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</si>
  <si>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</si>
  <si>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</si>
  <si>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</si>
  <si>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</si>
  <si>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</si>
  <si>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</si>
  <si>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</si>
  <si>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</si>
  <si>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</si>
  <si>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</si>
  <si>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</si>
  <si>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</si>
  <si>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</si>
  <si>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</si>
  <si>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</si>
  <si>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</si>
  <si>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</si>
  <si>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</si>
  <si>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</si>
  <si>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</si>
  <si>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</si>
  <si>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</si>
  <si>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</si>
  <si>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</si>
  <si>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</si>
  <si>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</si>
  <si>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</si>
  <si>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</si>
  <si>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</si>
  <si>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</si>
  <si>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</si>
  <si>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</si>
  <si>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</si>
  <si>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</si>
  <si>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</si>
  <si>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</si>
  <si>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</si>
  <si>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</si>
  <si>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</si>
  <si>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</si>
  <si>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</si>
  <si>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</si>
  <si>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</si>
  <si>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</si>
  <si>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</si>
  <si>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</si>
  <si>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</si>
  <si>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</si>
  <si>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</si>
  <si>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</si>
  <si>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</si>
  <si>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</si>
  <si>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</si>
  <si>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</si>
  <si>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</si>
  <si>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</si>
  <si>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</si>
  <si>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</si>
  <si>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</si>
  <si>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</si>
  <si>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</si>
  <si>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</si>
  <si>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</si>
  <si>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</si>
  <si>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</si>
  <si>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</si>
  <si>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</si>
  <si>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</si>
  <si>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</si>
  <si>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</si>
  <si>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</si>
  <si>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</si>
  <si>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KONSA Ezri</t>
  </si>
  <si>
    <t>Ipswitch Town</t>
  </si>
  <si>
    <t>−5</t>
  </si>
  <si>
    <t>GEORGE GRAHAM</t>
  </si>
  <si>
    <t>GRAHAM/HOUSTON</t>
  </si>
  <si>
    <t>BRUCE RIOCH</t>
  </si>
  <si>
    <t>2026/2027</t>
  </si>
  <si>
    <t>Loan</t>
  </si>
  <si>
    <t>Y</t>
  </si>
  <si>
    <t>LB</t>
  </si>
  <si>
    <t>CB</t>
  </si>
  <si>
    <t>RB</t>
  </si>
  <si>
    <t>Rating</t>
  </si>
  <si>
    <t>Status</t>
  </si>
  <si>
    <t>CM</t>
  </si>
  <si>
    <t>CAM</t>
  </si>
  <si>
    <t>LW</t>
  </si>
  <si>
    <t>RW</t>
  </si>
  <si>
    <t>ST</t>
  </si>
  <si>
    <t>Gabriel</t>
  </si>
  <si>
    <t>Odegaard</t>
  </si>
  <si>
    <t>Sub</t>
  </si>
  <si>
    <t>Subbed</t>
  </si>
  <si>
    <t>Merino</t>
  </si>
  <si>
    <t>Konsa</t>
  </si>
  <si>
    <t>Goal/Assist</t>
  </si>
  <si>
    <t>−3</t>
  </si>
  <si>
    <t>SSC Napoli</t>
  </si>
  <si>
    <t>Bruno</t>
  </si>
  <si>
    <t>−6</t>
  </si>
  <si>
    <t>Lille</t>
  </si>
  <si>
    <t>Bayern</t>
  </si>
  <si>
    <t>Slavia</t>
  </si>
  <si>
    <t>BVB</t>
  </si>
  <si>
    <t>Real</t>
  </si>
  <si>
    <t>Betis</t>
  </si>
  <si>
    <t>Sabah</t>
  </si>
  <si>
    <t>JULIENNE Theo</t>
  </si>
  <si>
    <t>Gyokeres</t>
  </si>
  <si>
    <t>10.10.2026</t>
  </si>
  <si>
    <t>Emirates Stadium (H)</t>
  </si>
  <si>
    <t>−4</t>
  </si>
  <si>
    <t>−9</t>
  </si>
  <si>
    <t>Raya</t>
  </si>
  <si>
    <t>Timber</t>
  </si>
  <si>
    <t>Calafiori</t>
  </si>
  <si>
    <t>Rice</t>
  </si>
  <si>
    <t>Saka</t>
  </si>
  <si>
    <t>Havertz</t>
  </si>
  <si>
    <t>2-1</t>
  </si>
  <si>
    <t>13.10.2026</t>
  </si>
  <si>
    <t>G</t>
  </si>
  <si>
    <t>White</t>
  </si>
  <si>
    <t>A</t>
  </si>
  <si>
    <t>Lewis-Skelly</t>
  </si>
  <si>
    <t>Madueke</t>
  </si>
  <si>
    <t>Hincapie</t>
  </si>
  <si>
    <t>Lille OSC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</si>
</sst>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9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1" xfId="0" applyBorder="1"/>
    <xf numFmtId="10" fontId="0" fillId="0" borderId="61" xfId="0" applyNumberFormat="1" applyBorder="1"/>
    <xf numFmtId="0" fontId="1" fillId="2" borderId="62" xfId="0" applyFont="1" applyFill="1" applyBorder="1" applyAlignment="1">
      <alignment horizontal="center"/>
    </xf>
    <xf numFmtId="165" fontId="0" fillId="0" borderId="0" xfId="0" applyNumberFormat="1"/>
    <xf numFmtId="0" fontId="13" fillId="0" borderId="55" xfId="2" applyFont="1" applyFill="1" applyBorder="1" applyAlignment="1">
      <alignment horizontal="center" vertical="center"/>
    </xf>
    <xf numFmtId="0" fontId="11" fillId="0" borderId="31" xfId="2" applyFont="1" applyFill="1" applyBorder="1" applyAlignment="1">
      <alignment horizontal="center"/>
    </xf>
    <xf numFmtId="16" fontId="0" fillId="0" borderId="0" xfId="0" quotePrefix="1" applyNumberFormat="1"/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5" fillId="7" borderId="19" xfId="3" applyBorder="1" applyAlignment="1">
      <alignment horizontal="center"/>
    </xf>
    <xf numFmtId="0" fontId="5" fillId="7" borderId="54" xfId="3" applyBorder="1" applyAlignment="1">
      <alignment horizontal="center"/>
    </xf>
    <xf numFmtId="0" fontId="5" fillId="7" borderId="27" xfId="3" applyBorder="1" applyAlignment="1">
      <alignment horizont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5" fillId="7" borderId="60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26-27'!$R$4:$R$36</c:f>
              <c:numCache>
                <c:formatCode>General</c:formatCode>
                <c:ptCount val="33"/>
                <c:pt idx="0">
                  <c:v>8</c:v>
                </c:pt>
                <c:pt idx="1">
                  <c:v>0</c:v>
                </c:pt>
                <c:pt idx="2">
                  <c:v>3</c:v>
                </c:pt>
                <c:pt idx="3">
                  <c:v>7</c:v>
                </c:pt>
                <c:pt idx="4">
                  <c:v>5</c:v>
                </c:pt>
                <c:pt idx="5">
                  <c:v>9</c:v>
                </c:pt>
                <c:pt idx="6">
                  <c:v>8</c:v>
                </c:pt>
                <c:pt idx="7">
                  <c:v>9</c:v>
                </c:pt>
                <c:pt idx="8">
                  <c:v>7</c:v>
                </c:pt>
                <c:pt idx="9">
                  <c:v>3</c:v>
                </c:pt>
                <c:pt idx="10">
                  <c:v>1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6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7</c:v>
                </c:pt>
                <c:pt idx="20">
                  <c:v>0</c:v>
                </c:pt>
                <c:pt idx="21">
                  <c:v>8</c:v>
                </c:pt>
                <c:pt idx="22">
                  <c:v>7</c:v>
                </c:pt>
                <c:pt idx="23">
                  <c:v>0</c:v>
                </c:pt>
                <c:pt idx="24">
                  <c:v>8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26-27'!$S$4:$S$36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1</c:v>
                </c:pt>
                <c:pt idx="17">
                  <c:v>3</c:v>
                </c:pt>
                <c:pt idx="18">
                  <c:v>0</c:v>
                </c:pt>
                <c:pt idx="19">
                  <c:v>2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A1234DD1-76A6-436D-8BB2-1A32A6622966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EECF14B-3885-4F6B-90AF-7109EA3999E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5440238-1EA6-449F-95FD-41D6F20F2F2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C5EB162-82C8-4FE6-99E2-D1A9EC6ECBD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20E35AB-3D12-46D5-8A5B-D3605994732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D82C366-00D5-4F7B-BBB0-AAFE50F3E73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698677A-7B5B-4B4F-AB9D-88BFB8B9DA8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BD7D148-1811-4C35-B163-EAEDEA51CBB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5C36AFAD-9C4A-4F19-9D64-1216E85D883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67F2A7B-B394-48AC-A2EA-98AFA254036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E2093DFE-F9D7-4AD5-A4BE-A3F826B605A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4F5BAB3-AA0E-43DD-8716-3EE9E918113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3B2D4D7-96A7-4D83-A4A9-AEDA00B3B48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3EC7F9C-080C-48A8-9E63-5D3B0EDCB5AB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09A250CC-138B-40B4-AFCD-ED0C0C187D0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8F698416-DF55-41EC-953E-FE8124265B6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FC7E52A3-AB5F-408F-9C7B-F61639121BE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C852397F-1368-4D58-9F11-C695055A8B9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Goals'!$T$7:$T$24</c:f>
              <c:numCache>
                <c:formatCode>General</c:formatCode>
                <c:ptCount val="18"/>
                <c:pt idx="0">
                  <c:v>197</c:v>
                </c:pt>
                <c:pt idx="1">
                  <c:v>44</c:v>
                </c:pt>
                <c:pt idx="2">
                  <c:v>270</c:v>
                </c:pt>
                <c:pt idx="3">
                  <c:v>320</c:v>
                </c:pt>
                <c:pt idx="4">
                  <c:v>243</c:v>
                </c:pt>
                <c:pt idx="5">
                  <c:v>59</c:v>
                </c:pt>
                <c:pt idx="6">
                  <c:v>98</c:v>
                </c:pt>
                <c:pt idx="7">
                  <c:v>13</c:v>
                </c:pt>
                <c:pt idx="8">
                  <c:v>61</c:v>
                </c:pt>
                <c:pt idx="9">
                  <c:v>7</c:v>
                </c:pt>
                <c:pt idx="10">
                  <c:v>8</c:v>
                </c:pt>
                <c:pt idx="11">
                  <c:v>48</c:v>
                </c:pt>
                <c:pt idx="12">
                  <c:v>51</c:v>
                </c:pt>
                <c:pt idx="13">
                  <c:v>86</c:v>
                </c:pt>
                <c:pt idx="14">
                  <c:v>119</c:v>
                </c:pt>
                <c:pt idx="15">
                  <c:v>0</c:v>
                </c:pt>
                <c:pt idx="16">
                  <c:v>72</c:v>
                </c:pt>
                <c:pt idx="17">
                  <c:v>2</c:v>
                </c:pt>
              </c:numCache>
            </c:numRef>
          </c:xVal>
          <c:yVal>
            <c:numRef>
              <c:f>'Apps &amp; Goals'!$U$7:$U$24</c:f>
              <c:numCache>
                <c:formatCode>General</c:formatCode>
                <c:ptCount val="18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84</c:v>
                </c:pt>
                <c:pt idx="4">
                  <c:v>46</c:v>
                </c:pt>
                <c:pt idx="5">
                  <c:v>10</c:v>
                </c:pt>
                <c:pt idx="6">
                  <c:v>6</c:v>
                </c:pt>
                <c:pt idx="7">
                  <c:v>0</c:v>
                </c:pt>
                <c:pt idx="8">
                  <c:v>21</c:v>
                </c:pt>
                <c:pt idx="9">
                  <c:v>0</c:v>
                </c:pt>
                <c:pt idx="10">
                  <c:v>0</c:v>
                </c:pt>
                <c:pt idx="11">
                  <c:v>9</c:v>
                </c:pt>
                <c:pt idx="12">
                  <c:v>10</c:v>
                </c:pt>
                <c:pt idx="13">
                  <c:v>16</c:v>
                </c:pt>
                <c:pt idx="14">
                  <c:v>39</c:v>
                </c:pt>
                <c:pt idx="15">
                  <c:v>0</c:v>
                </c:pt>
                <c:pt idx="16">
                  <c:v>6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Goals'!$D$7:$D$24</c15:f>
                <c15:dlblRangeCache>
                  <c:ptCount val="18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TIMBER Jurrien</c:v>
                  </c:pt>
                  <c:pt idx="7">
                    <c:v>KEPA Arrizabalaga</c:v>
                  </c:pt>
                  <c:pt idx="8">
                    <c:v>GYOKERES Viktor</c:v>
                  </c:pt>
                  <c:pt idx="9">
                    <c:v>KONSA Ezri</c:v>
                  </c:pt>
                  <c:pt idx="10">
                    <c:v>TZOLIS Christos</c:v>
                  </c:pt>
                  <c:pt idx="11">
                    <c:v>MADUEKE Nuno</c:v>
                  </c:pt>
                  <c:pt idx="12">
                    <c:v>NWANERI Ethan</c:v>
                  </c:pt>
                  <c:pt idx="13">
                    <c:v>MERINO Mikel</c:v>
                  </c:pt>
                  <c:pt idx="14">
                    <c:v>HAVERTZ Kai</c:v>
                  </c:pt>
                  <c:pt idx="15">
                    <c:v>MESLIER Illan</c:v>
                  </c:pt>
                  <c:pt idx="16">
                    <c:v>CALAFIORI Riccardo</c:v>
                  </c:pt>
                  <c:pt idx="17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Goals'!$D$7:$D$24</c15:sqref>
                        </c15:formulaRef>
                      </c:ext>
                    </c:extLst>
                    <c:strCache>
                      <c:ptCount val="18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TIMBER Jurrien</c:v>
                      </c:pt>
                      <c:pt idx="7">
                        <c:v>KEPA Arrizabalaga</c:v>
                      </c:pt>
                      <c:pt idx="8">
                        <c:v>GYOKERES Viktor</c:v>
                      </c:pt>
                      <c:pt idx="9">
                        <c:v>KONSA Ezri</c:v>
                      </c:pt>
                      <c:pt idx="10">
                        <c:v>TZOLIS Christos</c:v>
                      </c:pt>
                      <c:pt idx="11">
                        <c:v>MADUEKE Nuno</c:v>
                      </c:pt>
                      <c:pt idx="12">
                        <c:v>NWANERI Ethan</c:v>
                      </c:pt>
                      <c:pt idx="13">
                        <c:v>MERINO Mikel</c:v>
                      </c:pt>
                      <c:pt idx="14">
                        <c:v>HAVERTZ Kai</c:v>
                      </c:pt>
                      <c:pt idx="15">
                        <c:v>MESLIER Illan</c:v>
                      </c:pt>
                      <c:pt idx="16">
                        <c:v>CALAFIORI Riccardo</c:v>
                      </c:pt>
                      <c:pt idx="17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Goals'!$U$7:$U$24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84</c:v>
                      </c:pt>
                      <c:pt idx="4">
                        <c:v>46</c:v>
                      </c:pt>
                      <c:pt idx="5">
                        <c:v>10</c:v>
                      </c:pt>
                      <c:pt idx="6">
                        <c:v>6</c:v>
                      </c:pt>
                      <c:pt idx="7">
                        <c:v>0</c:v>
                      </c:pt>
                      <c:pt idx="8">
                        <c:v>21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9</c:v>
                      </c:pt>
                      <c:pt idx="12">
                        <c:v>10</c:v>
                      </c:pt>
                      <c:pt idx="13">
                        <c:v>16</c:v>
                      </c:pt>
                      <c:pt idx="14">
                        <c:v>39</c:v>
                      </c:pt>
                      <c:pt idx="15">
                        <c:v>0</c:v>
                      </c:pt>
                      <c:pt idx="16">
                        <c:v>6</c:v>
                      </c:pt>
                      <c:pt idx="17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1.8571428571428572</c:v>
                </c:pt>
                <c:pt idx="3">
                  <c:v>2.1714285714285713</c:v>
                </c:pt>
                <c:pt idx="4">
                  <c:v>2.0571428571428569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13" t="s">
        <v>4</v>
      </c>
      <c r="D1" s="213"/>
      <c r="E1" s="214" t="s">
        <v>120</v>
      </c>
      <c r="F1" s="214"/>
      <c r="G1" s="213" t="s">
        <v>108</v>
      </c>
      <c r="H1" s="213"/>
      <c r="I1" s="214" t="s">
        <v>110</v>
      </c>
      <c r="J1" s="214"/>
      <c r="K1" s="213" t="s">
        <v>39</v>
      </c>
      <c r="L1" s="213"/>
      <c r="M1" s="211" t="s">
        <v>7</v>
      </c>
      <c r="N1" s="212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0"/>
  <sheetViews>
    <sheetView zoomScale="70" zoomScaleNormal="70" zoomScalePageLayoutView="140" workbookViewId="0">
      <selection activeCell="AR52" sqref="AR52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1" t="s">
        <v>119</v>
      </c>
      <c r="AM3" s="191"/>
      <c r="AN3" s="191"/>
      <c r="AO3" s="191"/>
      <c r="AP3" s="191"/>
      <c r="AQ3" s="191"/>
      <c r="AR3" s="191"/>
      <c r="AS3" s="191"/>
      <c r="AT3" s="191"/>
      <c r="AU3" s="191"/>
      <c r="AV3" s="191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1"/>
      <c r="AM4" s="191"/>
      <c r="AN4" s="191"/>
      <c r="AO4" s="191"/>
      <c r="AP4" s="191"/>
      <c r="AQ4" s="191"/>
      <c r="AR4" s="191"/>
      <c r="AS4" s="191"/>
      <c r="AT4" s="191"/>
      <c r="AU4" s="191"/>
      <c r="AV4" s="191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6</v>
      </c>
      <c r="H6" s="21">
        <f>'Apps &amp; Goals 26-27'!D4</f>
        <v>0</v>
      </c>
      <c r="I6" s="21">
        <f>'Apps &amp; Goals 26-27'!E4</f>
        <v>0</v>
      </c>
      <c r="J6" s="25">
        <f>G6+C6</f>
        <v>113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1</v>
      </c>
      <c r="T6" s="20">
        <f>'Apps &amp; Goals 26-27'!G4</f>
        <v>0</v>
      </c>
      <c r="U6" s="20">
        <f>'Apps &amp; Goals 26-27'!H4</f>
        <v>0</v>
      </c>
      <c r="V6" s="26">
        <f>S6+O6</f>
        <v>37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40" si="0">G7+C7</f>
        <v>131</v>
      </c>
      <c r="K7" s="25">
        <f t="shared" ref="K7:K40" si="1">H7+D7</f>
        <v>7</v>
      </c>
      <c r="L7" s="25">
        <f t="shared" ref="L7:L40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40" si="3">S7+O7</f>
        <v>37</v>
      </c>
      <c r="W7" s="26">
        <f t="shared" ref="W7:W40" si="4">T7+P7</f>
        <v>1</v>
      </c>
      <c r="X7" s="26">
        <f t="shared" ref="X7:X40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40" si="6">AE7+AA7</f>
        <v>5</v>
      </c>
      <c r="AI7" s="24">
        <f t="shared" ref="AI7:AI40" si="7">AF7+AB7</f>
        <v>0</v>
      </c>
      <c r="AJ7" s="24">
        <f t="shared" ref="AJ7:AJ40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40" si="9">AQ7+AM7</f>
        <v>10</v>
      </c>
      <c r="AU7" s="18">
        <f t="shared" ref="AU7:AU40" si="10">AR7+AN7</f>
        <v>0</v>
      </c>
      <c r="AV7" s="18">
        <f t="shared" ref="AV7:AV40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40" si="12">BC7+AY7</f>
        <v>1</v>
      </c>
      <c r="BG7" s="33">
        <f t="shared" ref="BG7:BG40" si="13">BD7+AZ7</f>
        <v>0</v>
      </c>
      <c r="BH7" s="33">
        <f t="shared" ref="BH7:BH40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5</v>
      </c>
      <c r="H9" s="21">
        <f>'Apps &amp; Goals 26-27'!D7</f>
        <v>0</v>
      </c>
      <c r="I9" s="21">
        <f>'Apps &amp; Goals 26-27'!E7</f>
        <v>2</v>
      </c>
      <c r="J9" s="25">
        <f t="shared" si="0"/>
        <v>141</v>
      </c>
      <c r="K9" s="25">
        <f t="shared" si="1"/>
        <v>6</v>
      </c>
      <c r="L9" s="25">
        <f t="shared" si="2"/>
        <v>14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1</v>
      </c>
      <c r="T9" s="20">
        <f>'Apps &amp; Goals 26-27'!G7</f>
        <v>0</v>
      </c>
      <c r="U9" s="20">
        <f>'Apps &amp; Goals 26-27'!H7</f>
        <v>0</v>
      </c>
      <c r="V9" s="26">
        <f t="shared" si="3"/>
        <v>38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3</v>
      </c>
      <c r="H10" s="21">
        <f>'Apps &amp; Goals 26-27'!D8</f>
        <v>0</v>
      </c>
      <c r="I10" s="21">
        <f>'Apps &amp; Goals 26-27'!E8</f>
        <v>0</v>
      </c>
      <c r="J10" s="25">
        <f t="shared" si="0"/>
        <v>28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1</v>
      </c>
      <c r="T10" s="20">
        <f>'Apps &amp; Goals 26-27'!G8</f>
        <v>0</v>
      </c>
      <c r="U10" s="20">
        <f>'Apps &amp; Goals 26-27'!H8</f>
        <v>0</v>
      </c>
      <c r="V10" s="26">
        <f t="shared" si="3"/>
        <v>11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6</v>
      </c>
      <c r="H11" s="21">
        <f>'Apps &amp; Goals 26-27'!D9</f>
        <v>0</v>
      </c>
      <c r="I11" s="21">
        <f>'Apps &amp; Goals 26-27'!E9</f>
        <v>0</v>
      </c>
      <c r="J11" s="25">
        <f t="shared" si="0"/>
        <v>198</v>
      </c>
      <c r="K11" s="25">
        <f t="shared" si="1"/>
        <v>20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1</v>
      </c>
      <c r="T11" s="20">
        <f>'Apps &amp; Goals 26-27'!G9</f>
        <v>0</v>
      </c>
      <c r="U11" s="20">
        <f>'Apps &amp; Goals 26-27'!H9</f>
        <v>0</v>
      </c>
      <c r="V11" s="26">
        <f t="shared" si="3"/>
        <v>45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1</v>
      </c>
      <c r="AR11" s="63">
        <f>'Apps &amp; Goals 26-27'!M9</f>
        <v>0</v>
      </c>
      <c r="AS11" s="63">
        <f>'Apps &amp; Goals 26-27'!N9</f>
        <v>0</v>
      </c>
      <c r="AT11" s="18">
        <f t="shared" si="9"/>
        <v>18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6</v>
      </c>
      <c r="H12" s="21">
        <f>'Apps &amp; Goals 26-27'!D10</f>
        <v>3</v>
      </c>
      <c r="I12" s="21">
        <f>'Apps &amp; Goals 26-27'!E10</f>
        <v>0</v>
      </c>
      <c r="J12" s="25">
        <f t="shared" si="0"/>
        <v>232</v>
      </c>
      <c r="K12" s="25">
        <f t="shared" si="1"/>
        <v>63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1</v>
      </c>
      <c r="T12" s="20">
        <f>'Apps &amp; Goals 26-27'!G10</f>
        <v>0</v>
      </c>
      <c r="U12" s="20">
        <f>'Apps &amp; Goals 26-27'!H10</f>
        <v>0</v>
      </c>
      <c r="V12" s="26">
        <f t="shared" si="3"/>
        <v>55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6</v>
      </c>
      <c r="H13" s="21">
        <f>'Apps &amp; Goals 26-27'!D11</f>
        <v>2</v>
      </c>
      <c r="I13" s="21">
        <f>'Apps &amp; Goals 26-27'!E11</f>
        <v>0</v>
      </c>
      <c r="J13" s="25">
        <f t="shared" si="0"/>
        <v>182</v>
      </c>
      <c r="K13" s="25">
        <f t="shared" si="1"/>
        <v>37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1</v>
      </c>
      <c r="T13" s="20">
        <f>'Apps &amp; Goals 26-27'!G11</f>
        <v>1</v>
      </c>
      <c r="U13" s="20">
        <f>'Apps &amp; Goals 26-27'!H11</f>
        <v>0</v>
      </c>
      <c r="V13" s="26">
        <f t="shared" si="3"/>
        <v>42</v>
      </c>
      <c r="W13" s="26">
        <f t="shared" si="4"/>
        <v>7</v>
      </c>
      <c r="X13" s="26">
        <f t="shared" si="5"/>
        <v>3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1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11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4</v>
      </c>
      <c r="H14" s="21">
        <f>'Apps &amp; Goals 26-27'!D12</f>
        <v>0</v>
      </c>
      <c r="I14" s="21">
        <f>'Apps &amp; Goals 26-27'!E12</f>
        <v>0</v>
      </c>
      <c r="J14" s="25">
        <f t="shared" si="0"/>
        <v>36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1</v>
      </c>
      <c r="T14" s="20">
        <f>'Apps &amp; Goals 26-27'!G12</f>
        <v>0</v>
      </c>
      <c r="U14" s="20">
        <f>'Apps &amp; Goals 26-27'!H12</f>
        <v>0</v>
      </c>
      <c r="V14" s="26">
        <f t="shared" si="3"/>
        <v>14</v>
      </c>
      <c r="W14" s="26">
        <f t="shared" si="4"/>
        <v>1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1</v>
      </c>
      <c r="AR14" s="63">
        <f>'Apps &amp; Goals 26-27'!M12</f>
        <v>0</v>
      </c>
      <c r="AS14" s="63">
        <f>'Apps &amp; Goals 26-27'!N12</f>
        <v>1</v>
      </c>
      <c r="AT14" s="18">
        <f t="shared" si="9"/>
        <v>5</v>
      </c>
      <c r="AU14" s="18">
        <f t="shared" si="10"/>
        <v>1</v>
      </c>
      <c r="AV14" s="18">
        <f t="shared" si="11"/>
        <v>1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12</v>
      </c>
      <c r="B15" s="22" t="s">
        <v>276</v>
      </c>
      <c r="C15" s="25">
        <v>62</v>
      </c>
      <c r="D15" s="25">
        <v>4</v>
      </c>
      <c r="E15" s="25">
        <v>8</v>
      </c>
      <c r="F15" s="25"/>
      <c r="G15" s="21">
        <f>'Apps &amp; Goals 26-27'!C13</f>
        <v>3</v>
      </c>
      <c r="H15" s="21">
        <f>'Apps &amp; Goals 26-27'!D13</f>
        <v>0</v>
      </c>
      <c r="I15" s="21">
        <f>'Apps &amp; Goals 26-27'!E13</f>
        <v>0</v>
      </c>
      <c r="J15" s="25">
        <f t="shared" si="0"/>
        <v>65</v>
      </c>
      <c r="K15" s="25">
        <f t="shared" si="1"/>
        <v>4</v>
      </c>
      <c r="L15" s="25">
        <f t="shared" si="2"/>
        <v>8</v>
      </c>
      <c r="M15">
        <v>12</v>
      </c>
      <c r="N15" s="45" t="s">
        <v>276</v>
      </c>
      <c r="O15" s="26">
        <v>21</v>
      </c>
      <c r="P15" s="26">
        <v>2</v>
      </c>
      <c r="Q15" s="26">
        <v>2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21</v>
      </c>
      <c r="W15" s="26">
        <f t="shared" si="4"/>
        <v>2</v>
      </c>
      <c r="X15" s="26">
        <f t="shared" si="5"/>
        <v>2</v>
      </c>
      <c r="Z15" s="57" t="s">
        <v>276</v>
      </c>
      <c r="AA15" s="24">
        <v>3</v>
      </c>
      <c r="AB15" s="24">
        <v>0</v>
      </c>
      <c r="AC15" s="24">
        <v>0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0</v>
      </c>
      <c r="AJ15" s="24">
        <f t="shared" si="8"/>
        <v>0</v>
      </c>
      <c r="AL15" s="63" t="s">
        <v>276</v>
      </c>
      <c r="AM15" s="18">
        <v>8</v>
      </c>
      <c r="AN15" s="18">
        <v>0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8</v>
      </c>
      <c r="AU15" s="18">
        <f t="shared" si="10"/>
        <v>0</v>
      </c>
      <c r="AV15" s="18">
        <f t="shared" si="11"/>
        <v>0</v>
      </c>
      <c r="AX15" s="32" t="s">
        <v>276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13</v>
      </c>
      <c r="B16" s="22" t="s">
        <v>312</v>
      </c>
      <c r="C16" s="25">
        <v>1</v>
      </c>
      <c r="D16" s="25">
        <v>0</v>
      </c>
      <c r="E16" s="25">
        <v>0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</v>
      </c>
      <c r="K16" s="25">
        <f t="shared" si="1"/>
        <v>0</v>
      </c>
      <c r="L16" s="25">
        <f t="shared" si="2"/>
        <v>0</v>
      </c>
      <c r="M16">
        <v>13</v>
      </c>
      <c r="N16" s="45" t="s">
        <v>312</v>
      </c>
      <c r="O16" s="26">
        <v>1</v>
      </c>
      <c r="P16" s="26">
        <v>0</v>
      </c>
      <c r="Q16" s="26">
        <v>0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1</v>
      </c>
      <c r="W16" s="26">
        <f t="shared" si="4"/>
        <v>0</v>
      </c>
      <c r="X16" s="26">
        <f t="shared" si="5"/>
        <v>0</v>
      </c>
      <c r="Z16" s="57" t="s">
        <v>312</v>
      </c>
      <c r="AA16" s="24">
        <v>4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4</v>
      </c>
      <c r="AI16" s="24">
        <f t="shared" si="7"/>
        <v>0</v>
      </c>
      <c r="AJ16" s="24">
        <f t="shared" si="8"/>
        <v>0</v>
      </c>
      <c r="AL16" s="63" t="s">
        <v>312</v>
      </c>
      <c r="AM16" s="18">
        <v>6</v>
      </c>
      <c r="AN16" s="18">
        <v>0</v>
      </c>
      <c r="AO16" s="18">
        <v>0</v>
      </c>
      <c r="AP16" s="18"/>
      <c r="AQ16" s="63">
        <f>'Apps &amp; Goals 26-27'!L14</f>
        <v>1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7</v>
      </c>
      <c r="AU16" s="18">
        <f t="shared" si="10"/>
        <v>0</v>
      </c>
      <c r="AV16" s="18">
        <f t="shared" si="11"/>
        <v>0</v>
      </c>
      <c r="AX16" s="32" t="s">
        <v>312</v>
      </c>
      <c r="AY16" s="33">
        <v>0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0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14</v>
      </c>
      <c r="B17" s="22" t="s">
        <v>317</v>
      </c>
      <c r="C17" s="25">
        <v>36</v>
      </c>
      <c r="D17" s="25">
        <v>14</v>
      </c>
      <c r="E17" s="25">
        <v>1</v>
      </c>
      <c r="F17" s="25"/>
      <c r="G17" s="21">
        <f>'Apps &amp; Goals 26-27'!C15</f>
        <v>3</v>
      </c>
      <c r="H17" s="21">
        <f>'Apps &amp; Goals 26-27'!D15</f>
        <v>0</v>
      </c>
      <c r="I17" s="21">
        <f>'Apps &amp; Goals 26-27'!E15</f>
        <v>0</v>
      </c>
      <c r="J17" s="25">
        <f t="shared" si="0"/>
        <v>39</v>
      </c>
      <c r="K17" s="25">
        <f t="shared" si="1"/>
        <v>14</v>
      </c>
      <c r="L17" s="25">
        <f t="shared" si="2"/>
        <v>1</v>
      </c>
      <c r="M17">
        <v>14</v>
      </c>
      <c r="N17" s="45" t="s">
        <v>317</v>
      </c>
      <c r="O17" s="26">
        <v>13</v>
      </c>
      <c r="P17" s="26">
        <v>5</v>
      </c>
      <c r="Q17" s="26">
        <v>1</v>
      </c>
      <c r="R17" s="26"/>
      <c r="S17" s="20">
        <f>'Apps &amp; Goals 26-27'!F15</f>
        <v>1</v>
      </c>
      <c r="T17" s="20">
        <f>'Apps &amp; Goals 26-27'!G15</f>
        <v>0</v>
      </c>
      <c r="U17" s="20">
        <f>'Apps &amp; Goals 26-27'!H15</f>
        <v>0</v>
      </c>
      <c r="V17" s="26">
        <f t="shared" si="3"/>
        <v>14</v>
      </c>
      <c r="W17" s="26">
        <f t="shared" si="4"/>
        <v>5</v>
      </c>
      <c r="X17" s="26">
        <f t="shared" si="5"/>
        <v>1</v>
      </c>
      <c r="Z17" s="57" t="s">
        <v>317</v>
      </c>
      <c r="AA17" s="24">
        <v>2</v>
      </c>
      <c r="AB17" s="24">
        <v>1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2</v>
      </c>
      <c r="AI17" s="24">
        <f t="shared" si="7"/>
        <v>1</v>
      </c>
      <c r="AJ17" s="24">
        <f t="shared" si="8"/>
        <v>0</v>
      </c>
      <c r="AL17" s="63" t="s">
        <v>317</v>
      </c>
      <c r="AM17" s="18">
        <v>4</v>
      </c>
      <c r="AN17" s="18">
        <v>1</v>
      </c>
      <c r="AO17" s="18">
        <v>1</v>
      </c>
      <c r="AP17" s="18"/>
      <c r="AQ17" s="63">
        <f>'Apps &amp; Goals 26-27'!L15</f>
        <v>1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5</v>
      </c>
      <c r="AU17" s="18">
        <f t="shared" si="10"/>
        <v>1</v>
      </c>
      <c r="AV17" s="18">
        <f t="shared" si="11"/>
        <v>1</v>
      </c>
      <c r="AX17" s="32" t="s">
        <v>317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1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15</v>
      </c>
      <c r="B18" s="22" t="s">
        <v>431</v>
      </c>
      <c r="C18" s="25">
        <v>0</v>
      </c>
      <c r="D18" s="25">
        <v>0</v>
      </c>
      <c r="E18" s="25">
        <v>0</v>
      </c>
      <c r="F18" s="25"/>
      <c r="G18" s="21">
        <f>'Apps &amp; Goals 26-27'!C16</f>
        <v>5</v>
      </c>
      <c r="H18" s="21">
        <f>'Apps &amp; Goals 26-27'!D16</f>
        <v>0</v>
      </c>
      <c r="I18" s="21">
        <f>'Apps &amp; Goals 26-27'!E16</f>
        <v>0</v>
      </c>
      <c r="J18" s="25">
        <f t="shared" si="0"/>
        <v>5</v>
      </c>
      <c r="K18" s="25">
        <f t="shared" si="1"/>
        <v>0</v>
      </c>
      <c r="L18" s="25">
        <f t="shared" si="2"/>
        <v>0</v>
      </c>
      <c r="M18">
        <v>15</v>
      </c>
      <c r="N18" s="45" t="s">
        <v>431</v>
      </c>
      <c r="O18" s="26">
        <v>0</v>
      </c>
      <c r="P18" s="26">
        <v>0</v>
      </c>
      <c r="Q18" s="26">
        <v>0</v>
      </c>
      <c r="R18" s="26"/>
      <c r="S18" s="20">
        <f>'Apps &amp; Goals 26-27'!F16</f>
        <v>1</v>
      </c>
      <c r="T18" s="20">
        <f>'Apps &amp; Goals 26-27'!G16</f>
        <v>0</v>
      </c>
      <c r="U18" s="20">
        <f>'Apps &amp; Goals 26-27'!H16</f>
        <v>0</v>
      </c>
      <c r="V18" s="26">
        <f t="shared" si="3"/>
        <v>1</v>
      </c>
      <c r="W18" s="26">
        <f t="shared" si="4"/>
        <v>0</v>
      </c>
      <c r="X18" s="26">
        <f t="shared" si="5"/>
        <v>0</v>
      </c>
      <c r="Z18" s="57" t="s">
        <v>431</v>
      </c>
      <c r="AA18" s="24">
        <v>0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0</v>
      </c>
      <c r="AI18" s="24">
        <f t="shared" si="7"/>
        <v>0</v>
      </c>
      <c r="AJ18" s="24">
        <f t="shared" si="8"/>
        <v>0</v>
      </c>
      <c r="AL18" s="63" t="s">
        <v>431</v>
      </c>
      <c r="AM18" s="18">
        <v>0</v>
      </c>
      <c r="AN18" s="18">
        <v>0</v>
      </c>
      <c r="AO18" s="18">
        <v>0</v>
      </c>
      <c r="AP18" s="18"/>
      <c r="AQ18" s="63">
        <f>'Apps &amp; Goals 26-27'!L16</f>
        <v>1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1</v>
      </c>
      <c r="AU18" s="18">
        <f t="shared" si="10"/>
        <v>0</v>
      </c>
      <c r="AV18" s="18">
        <f t="shared" si="11"/>
        <v>0</v>
      </c>
      <c r="AX18" s="32" t="s">
        <v>431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0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17</v>
      </c>
      <c r="B19" s="21" t="s">
        <v>343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5</v>
      </c>
      <c r="H19" s="21">
        <f>'Apps &amp; Goals 26-27'!D17</f>
        <v>0</v>
      </c>
      <c r="I19" s="21">
        <f>'Apps &amp; Goals 26-27'!E17</f>
        <v>1</v>
      </c>
      <c r="J19" s="25">
        <f t="shared" si="0"/>
        <v>5</v>
      </c>
      <c r="K19" s="25">
        <f t="shared" si="1"/>
        <v>0</v>
      </c>
      <c r="L19" s="25">
        <f t="shared" si="2"/>
        <v>1</v>
      </c>
      <c r="M19">
        <v>17</v>
      </c>
      <c r="N19" s="45" t="s">
        <v>343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1</v>
      </c>
      <c r="T19" s="20">
        <f>'Apps &amp; Goals 26-27'!G17</f>
        <v>0</v>
      </c>
      <c r="U19" s="20">
        <f>'Apps &amp; Goals 26-27'!H17</f>
        <v>1</v>
      </c>
      <c r="V19" s="26">
        <f t="shared" si="3"/>
        <v>1</v>
      </c>
      <c r="W19" s="26">
        <f t="shared" si="4"/>
        <v>0</v>
      </c>
      <c r="X19" s="26">
        <f t="shared" si="5"/>
        <v>1</v>
      </c>
      <c r="Z19" s="23" t="s">
        <v>343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6"/>
        <v>0</v>
      </c>
      <c r="AI19" s="24">
        <f t="shared" si="7"/>
        <v>0</v>
      </c>
      <c r="AJ19" s="24">
        <f t="shared" si="8"/>
        <v>0</v>
      </c>
      <c r="AL19" s="63" t="s">
        <v>343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1</v>
      </c>
      <c r="AR19" s="63">
        <f>'Apps &amp; Goals 26-27'!M17</f>
        <v>0</v>
      </c>
      <c r="AS19" s="63">
        <f>'Apps &amp; Goals 26-27'!N17</f>
        <v>0</v>
      </c>
      <c r="AT19" s="18">
        <f t="shared" si="9"/>
        <v>1</v>
      </c>
      <c r="AU19" s="18">
        <f t="shared" si="10"/>
        <v>0</v>
      </c>
      <c r="AV19" s="18">
        <f t="shared" si="11"/>
        <v>0</v>
      </c>
      <c r="AX19" s="32" t="s">
        <v>343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2</v>
      </c>
      <c r="BF19" s="33">
        <f t="shared" si="12"/>
        <v>1</v>
      </c>
      <c r="BG19" s="33">
        <f t="shared" si="13"/>
        <v>0</v>
      </c>
      <c r="BH19" s="33">
        <f t="shared" si="14"/>
        <v>2</v>
      </c>
    </row>
    <row r="20" spans="1:60" x14ac:dyDescent="0.25">
      <c r="A20" s="4">
        <v>20</v>
      </c>
      <c r="B20" s="21" t="s">
        <v>315</v>
      </c>
      <c r="C20" s="25">
        <v>26</v>
      </c>
      <c r="D20" s="25">
        <v>3</v>
      </c>
      <c r="E20" s="25">
        <v>1</v>
      </c>
      <c r="F20" s="25"/>
      <c r="G20" s="21">
        <f>'Apps &amp; Goals 26-27'!C18</f>
        <v>3</v>
      </c>
      <c r="H20" s="21">
        <f>'Apps &amp; Goals 26-27'!D18</f>
        <v>0</v>
      </c>
      <c r="I20" s="21">
        <f>'Apps &amp; Goals 26-27'!E18</f>
        <v>0</v>
      </c>
      <c r="J20" s="25">
        <f t="shared" si="0"/>
        <v>29</v>
      </c>
      <c r="K20" s="25">
        <f t="shared" si="1"/>
        <v>3</v>
      </c>
      <c r="L20" s="25">
        <f t="shared" si="2"/>
        <v>1</v>
      </c>
      <c r="M20">
        <v>20</v>
      </c>
      <c r="N20" s="20" t="s">
        <v>315</v>
      </c>
      <c r="O20" s="26">
        <v>9</v>
      </c>
      <c r="P20" s="26">
        <v>3</v>
      </c>
      <c r="Q20" s="26">
        <v>0</v>
      </c>
      <c r="R20" s="26"/>
      <c r="S20" s="20">
        <f>'Apps &amp; Goals 26-27'!F18</f>
        <v>1</v>
      </c>
      <c r="T20" s="20">
        <f>'Apps &amp; Goals 26-27'!G18</f>
        <v>0</v>
      </c>
      <c r="U20" s="20">
        <f>'Apps &amp; Goals 26-27'!H18</f>
        <v>0</v>
      </c>
      <c r="V20" s="26">
        <f t="shared" si="3"/>
        <v>10</v>
      </c>
      <c r="W20" s="26">
        <f t="shared" si="4"/>
        <v>3</v>
      </c>
      <c r="X20" s="26">
        <f t="shared" si="5"/>
        <v>0</v>
      </c>
      <c r="Z20" s="23" t="s">
        <v>315</v>
      </c>
      <c r="AA20" s="24">
        <v>4</v>
      </c>
      <c r="AB20" s="24">
        <v>2</v>
      </c>
      <c r="AC20" s="24">
        <v>2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6"/>
        <v>4</v>
      </c>
      <c r="AI20" s="24">
        <f t="shared" si="7"/>
        <v>2</v>
      </c>
      <c r="AJ20" s="24">
        <f t="shared" si="8"/>
        <v>2</v>
      </c>
      <c r="AL20" s="19" t="s">
        <v>315</v>
      </c>
      <c r="AM20" s="18">
        <v>3</v>
      </c>
      <c r="AN20" s="18">
        <v>0</v>
      </c>
      <c r="AO20" s="18">
        <v>0</v>
      </c>
      <c r="AP20" s="18"/>
      <c r="AQ20" s="63">
        <f>'Apps &amp; Goals 26-27'!L18</f>
        <v>1</v>
      </c>
      <c r="AR20" s="63">
        <f>'Apps &amp; Goals 26-27'!M18</f>
        <v>1</v>
      </c>
      <c r="AS20" s="63">
        <f>'Apps &amp; Goals 26-27'!N18</f>
        <v>0</v>
      </c>
      <c r="AT20" s="18">
        <f t="shared" si="9"/>
        <v>4</v>
      </c>
      <c r="AU20" s="18">
        <f t="shared" si="10"/>
        <v>1</v>
      </c>
      <c r="AV20" s="18">
        <f t="shared" si="11"/>
        <v>0</v>
      </c>
      <c r="AX20" s="64" t="s">
        <v>315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0</v>
      </c>
      <c r="BF20" s="33">
        <f t="shared" si="12"/>
        <v>1</v>
      </c>
      <c r="BG20" s="33">
        <f t="shared" si="13"/>
        <v>0</v>
      </c>
      <c r="BH20" s="33">
        <f t="shared" si="14"/>
        <v>0</v>
      </c>
    </row>
    <row r="21" spans="1:60" x14ac:dyDescent="0.25">
      <c r="A21" s="56">
        <v>22</v>
      </c>
      <c r="B21" s="22" t="s">
        <v>263</v>
      </c>
      <c r="C21" s="25">
        <v>34</v>
      </c>
      <c r="D21" s="25">
        <v>4</v>
      </c>
      <c r="E21" s="25">
        <v>2</v>
      </c>
      <c r="F21" s="25"/>
      <c r="G21" s="21">
        <f>'Apps &amp; Goals 26-27'!C19</f>
        <v>0</v>
      </c>
      <c r="H21" s="21">
        <f>'Apps &amp; Goals 26-27'!D19</f>
        <v>0</v>
      </c>
      <c r="I21" s="21">
        <f>'Apps &amp; Goals 26-27'!E19</f>
        <v>0</v>
      </c>
      <c r="J21" s="25">
        <f t="shared" si="0"/>
        <v>34</v>
      </c>
      <c r="K21" s="25">
        <f t="shared" si="1"/>
        <v>4</v>
      </c>
      <c r="L21" s="25">
        <f t="shared" si="2"/>
        <v>2</v>
      </c>
      <c r="M21">
        <v>22</v>
      </c>
      <c r="N21" s="45" t="s">
        <v>263</v>
      </c>
      <c r="O21" s="26">
        <v>10</v>
      </c>
      <c r="P21" s="26">
        <v>2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3"/>
        <v>10</v>
      </c>
      <c r="W21" s="26">
        <f t="shared" si="4"/>
        <v>2</v>
      </c>
      <c r="X21" s="26">
        <f t="shared" si="5"/>
        <v>0</v>
      </c>
      <c r="Z21" s="23" t="s">
        <v>263</v>
      </c>
      <c r="AA21" s="24">
        <v>1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6"/>
        <v>1</v>
      </c>
      <c r="AI21" s="24">
        <f t="shared" si="7"/>
        <v>0</v>
      </c>
      <c r="AJ21" s="24">
        <f t="shared" si="8"/>
        <v>0</v>
      </c>
      <c r="AL21" s="19" t="s">
        <v>263</v>
      </c>
      <c r="AM21" s="18">
        <v>6</v>
      </c>
      <c r="AN21" s="18">
        <v>4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9"/>
        <v>6</v>
      </c>
      <c r="AU21" s="18">
        <f t="shared" si="10"/>
        <v>4</v>
      </c>
      <c r="AV21" s="18">
        <f t="shared" si="11"/>
        <v>0</v>
      </c>
      <c r="AX21" s="32" t="s">
        <v>263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0</v>
      </c>
      <c r="BD21" s="64">
        <f>'Apps &amp; Goals 26-27'!P19</f>
        <v>0</v>
      </c>
      <c r="BE21" s="64">
        <f>'Apps &amp; Goals 26-27'!Q19</f>
        <v>0</v>
      </c>
      <c r="BF21" s="33">
        <f t="shared" si="12"/>
        <v>0</v>
      </c>
      <c r="BG21" s="33">
        <f t="shared" si="13"/>
        <v>0</v>
      </c>
      <c r="BH21" s="33">
        <f t="shared" si="14"/>
        <v>0</v>
      </c>
    </row>
    <row r="22" spans="1:60" x14ac:dyDescent="0.25">
      <c r="A22" s="4">
        <v>23</v>
      </c>
      <c r="B22" s="21" t="s">
        <v>293</v>
      </c>
      <c r="C22" s="25">
        <v>50</v>
      </c>
      <c r="D22" s="25">
        <v>11</v>
      </c>
      <c r="E22" s="25">
        <v>5</v>
      </c>
      <c r="F22" s="25"/>
      <c r="G22" s="21">
        <f>'Apps &amp; Goals 26-27'!C20</f>
        <v>6</v>
      </c>
      <c r="H22" s="21">
        <f>'Apps &amp; Goals 26-27'!D20</f>
        <v>0</v>
      </c>
      <c r="I22" s="21">
        <f>'Apps &amp; Goals 26-27'!E20</f>
        <v>0</v>
      </c>
      <c r="J22" s="25">
        <f t="shared" si="0"/>
        <v>56</v>
      </c>
      <c r="K22" s="25">
        <f t="shared" si="1"/>
        <v>11</v>
      </c>
      <c r="L22" s="25">
        <f t="shared" si="2"/>
        <v>5</v>
      </c>
      <c r="M22">
        <v>23</v>
      </c>
      <c r="N22" s="20" t="s">
        <v>293</v>
      </c>
      <c r="O22" s="26">
        <v>19</v>
      </c>
      <c r="P22" s="26">
        <v>4</v>
      </c>
      <c r="Q22" s="26">
        <v>3</v>
      </c>
      <c r="R22" s="26"/>
      <c r="S22" s="20">
        <f>'Apps &amp; Goals 26-27'!F20</f>
        <v>1</v>
      </c>
      <c r="T22" s="20">
        <f>'Apps &amp; Goals 26-27'!G20</f>
        <v>0</v>
      </c>
      <c r="U22" s="20">
        <f>'Apps &amp; Goals 26-27'!H20</f>
        <v>0</v>
      </c>
      <c r="V22" s="26">
        <f t="shared" si="3"/>
        <v>20</v>
      </c>
      <c r="W22" s="26">
        <f t="shared" si="4"/>
        <v>4</v>
      </c>
      <c r="X22" s="26">
        <f t="shared" si="5"/>
        <v>3</v>
      </c>
      <c r="Z22" s="23" t="s">
        <v>293</v>
      </c>
      <c r="AA22" s="24">
        <v>2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6"/>
        <v>2</v>
      </c>
      <c r="AI22" s="24">
        <f t="shared" si="7"/>
        <v>0</v>
      </c>
      <c r="AJ22" s="24">
        <f t="shared" si="8"/>
        <v>0</v>
      </c>
      <c r="AL22" s="19" t="s">
        <v>293</v>
      </c>
      <c r="AM22" s="18">
        <v>7</v>
      </c>
      <c r="AN22" s="18">
        <v>0</v>
      </c>
      <c r="AO22" s="18">
        <v>0</v>
      </c>
      <c r="AP22" s="18"/>
      <c r="AQ22" s="63">
        <f>'Apps &amp; Goals 26-27'!L20</f>
        <v>1</v>
      </c>
      <c r="AR22" s="63">
        <f>'Apps &amp; Goals 26-27'!M20</f>
        <v>1</v>
      </c>
      <c r="AS22" s="63">
        <f>'Apps &amp; Goals 26-27'!N20</f>
        <v>0</v>
      </c>
      <c r="AT22" s="18">
        <f t="shared" si="9"/>
        <v>8</v>
      </c>
      <c r="AU22" s="18">
        <f t="shared" si="10"/>
        <v>1</v>
      </c>
      <c r="AV22" s="18">
        <f t="shared" si="11"/>
        <v>0</v>
      </c>
      <c r="AX22" s="64" t="s">
        <v>293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12"/>
        <v>0</v>
      </c>
      <c r="BG22" s="33">
        <f t="shared" si="13"/>
        <v>0</v>
      </c>
      <c r="BH22" s="33">
        <f t="shared" si="14"/>
        <v>0</v>
      </c>
    </row>
    <row r="23" spans="1:60" x14ac:dyDescent="0.25">
      <c r="A23" s="56">
        <v>29</v>
      </c>
      <c r="B23" s="22" t="s">
        <v>275</v>
      </c>
      <c r="C23" s="25">
        <v>72</v>
      </c>
      <c r="D23" s="25">
        <v>24</v>
      </c>
      <c r="E23" s="25">
        <v>13</v>
      </c>
      <c r="F23" s="25"/>
      <c r="G23" s="21">
        <f>'Apps &amp; Goals 26-27'!C21</f>
        <v>6</v>
      </c>
      <c r="H23" s="21">
        <f>'Apps &amp; Goals 26-27'!D21</f>
        <v>2</v>
      </c>
      <c r="I23" s="21">
        <f>'Apps &amp; Goals 26-27'!E21</f>
        <v>0</v>
      </c>
      <c r="J23" s="25">
        <f t="shared" si="0"/>
        <v>78</v>
      </c>
      <c r="K23" s="25">
        <f t="shared" si="1"/>
        <v>26</v>
      </c>
      <c r="L23" s="25">
        <f t="shared" si="2"/>
        <v>13</v>
      </c>
      <c r="M23">
        <v>29</v>
      </c>
      <c r="N23" s="20" t="s">
        <v>275</v>
      </c>
      <c r="O23" s="26">
        <v>24</v>
      </c>
      <c r="P23" s="26">
        <v>9</v>
      </c>
      <c r="Q23" s="26">
        <v>2</v>
      </c>
      <c r="R23" s="26"/>
      <c r="S23" s="20">
        <f>'Apps &amp; Goals 26-27'!F21</f>
        <v>1</v>
      </c>
      <c r="T23" s="20">
        <f>'Apps &amp; Goals 26-27'!G21</f>
        <v>0</v>
      </c>
      <c r="U23" s="20">
        <f>'Apps &amp; Goals 26-27'!H21</f>
        <v>0</v>
      </c>
      <c r="V23" s="26">
        <f t="shared" si="3"/>
        <v>25</v>
      </c>
      <c r="W23" s="26">
        <f t="shared" si="4"/>
        <v>9</v>
      </c>
      <c r="X23" s="26">
        <f t="shared" si="5"/>
        <v>2</v>
      </c>
      <c r="Z23" s="57" t="s">
        <v>275</v>
      </c>
      <c r="AA23" s="24">
        <v>5</v>
      </c>
      <c r="AB23" s="24">
        <v>0</v>
      </c>
      <c r="AC23" s="24">
        <v>1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6"/>
        <v>5</v>
      </c>
      <c r="AI23" s="24">
        <f t="shared" si="7"/>
        <v>0</v>
      </c>
      <c r="AJ23" s="24">
        <f t="shared" si="8"/>
        <v>1</v>
      </c>
      <c r="AL23" s="63" t="s">
        <v>275</v>
      </c>
      <c r="AM23" s="18">
        <v>9</v>
      </c>
      <c r="AN23" s="18">
        <v>3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9"/>
        <v>9</v>
      </c>
      <c r="AU23" s="18">
        <f t="shared" si="10"/>
        <v>3</v>
      </c>
      <c r="AV23" s="18">
        <f t="shared" si="11"/>
        <v>0</v>
      </c>
      <c r="AX23" s="64" t="s">
        <v>275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1</v>
      </c>
      <c r="BD23" s="64">
        <f>'Apps &amp; Goals 26-27'!P21</f>
        <v>1</v>
      </c>
      <c r="BE23" s="64">
        <f>'Apps &amp; Goals 26-27'!Q21</f>
        <v>0</v>
      </c>
      <c r="BF23" s="33">
        <f t="shared" si="12"/>
        <v>2</v>
      </c>
      <c r="BG23" s="33">
        <f t="shared" si="13"/>
        <v>1</v>
      </c>
      <c r="BH23" s="33">
        <f t="shared" si="14"/>
        <v>0</v>
      </c>
    </row>
    <row r="24" spans="1:60" x14ac:dyDescent="0.25">
      <c r="A24" s="56">
        <v>30</v>
      </c>
      <c r="B24" s="22" t="s">
        <v>344</v>
      </c>
      <c r="C24" s="25">
        <v>0</v>
      </c>
      <c r="D24" s="25">
        <v>0</v>
      </c>
      <c r="E24" s="25">
        <v>0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0"/>
        <v>0</v>
      </c>
      <c r="K24" s="25">
        <f t="shared" si="1"/>
        <v>0</v>
      </c>
      <c r="L24" s="25">
        <f t="shared" si="2"/>
        <v>0</v>
      </c>
      <c r="M24">
        <v>30</v>
      </c>
      <c r="N24" s="20" t="s">
        <v>344</v>
      </c>
      <c r="O24" s="26">
        <v>0</v>
      </c>
      <c r="P24" s="26">
        <v>0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3"/>
        <v>0</v>
      </c>
      <c r="W24" s="26">
        <f t="shared" si="4"/>
        <v>0</v>
      </c>
      <c r="X24" s="26">
        <f t="shared" si="5"/>
        <v>0</v>
      </c>
      <c r="Z24" s="57" t="s">
        <v>344</v>
      </c>
      <c r="AA24" s="24">
        <v>0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6"/>
        <v>0</v>
      </c>
      <c r="AI24" s="24">
        <f t="shared" si="7"/>
        <v>0</v>
      </c>
      <c r="AJ24" s="24">
        <f t="shared" si="8"/>
        <v>0</v>
      </c>
      <c r="AL24" s="63" t="s">
        <v>344</v>
      </c>
      <c r="AM24" s="18">
        <v>0</v>
      </c>
      <c r="AN24" s="18">
        <v>0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9"/>
        <v>0</v>
      </c>
      <c r="AU24" s="18">
        <f t="shared" si="10"/>
        <v>0</v>
      </c>
      <c r="AV24" s="18">
        <f t="shared" si="11"/>
        <v>0</v>
      </c>
      <c r="AX24" s="64" t="s">
        <v>344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12"/>
        <v>0</v>
      </c>
      <c r="BG24" s="33">
        <f t="shared" si="13"/>
        <v>0</v>
      </c>
      <c r="BH24" s="33">
        <f t="shared" si="14"/>
        <v>0</v>
      </c>
    </row>
    <row r="25" spans="1:60" ht="15.6" customHeight="1" x14ac:dyDescent="0.25">
      <c r="A25" s="56">
        <v>33</v>
      </c>
      <c r="B25" s="22" t="s">
        <v>291</v>
      </c>
      <c r="C25" s="25">
        <v>45</v>
      </c>
      <c r="D25" s="25">
        <v>3</v>
      </c>
      <c r="E25" s="25">
        <v>3</v>
      </c>
      <c r="F25" s="25"/>
      <c r="G25" s="21">
        <f>'Apps &amp; Goals 26-27'!C23</f>
        <v>6</v>
      </c>
      <c r="H25" s="21">
        <f>'Apps &amp; Goals 26-27'!D23</f>
        <v>1</v>
      </c>
      <c r="I25" s="21">
        <f>'Apps &amp; Goals 26-27'!E23</f>
        <v>2</v>
      </c>
      <c r="J25" s="25">
        <f t="shared" si="0"/>
        <v>51</v>
      </c>
      <c r="K25" s="25">
        <f t="shared" si="1"/>
        <v>4</v>
      </c>
      <c r="L25" s="25">
        <f t="shared" si="2"/>
        <v>5</v>
      </c>
      <c r="M25">
        <v>33</v>
      </c>
      <c r="N25" s="20" t="s">
        <v>291</v>
      </c>
      <c r="O25" s="26">
        <v>14</v>
      </c>
      <c r="P25" s="26">
        <v>1</v>
      </c>
      <c r="Q25" s="26">
        <v>2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3"/>
        <v>14</v>
      </c>
      <c r="W25" s="26">
        <f t="shared" si="4"/>
        <v>1</v>
      </c>
      <c r="X25" s="26">
        <f t="shared" si="5"/>
        <v>2</v>
      </c>
      <c r="Z25" s="57" t="s">
        <v>291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6"/>
        <v>2</v>
      </c>
      <c r="AI25" s="24">
        <f t="shared" si="7"/>
        <v>0</v>
      </c>
      <c r="AJ25" s="24">
        <f t="shared" si="8"/>
        <v>0</v>
      </c>
      <c r="AL25" s="63" t="s">
        <v>291</v>
      </c>
      <c r="AM25" s="18">
        <v>4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9"/>
        <v>4</v>
      </c>
      <c r="AU25" s="18">
        <f t="shared" si="10"/>
        <v>0</v>
      </c>
      <c r="AV25" s="18">
        <f t="shared" si="11"/>
        <v>0</v>
      </c>
      <c r="AX25" s="64" t="s">
        <v>291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1</v>
      </c>
      <c r="BD25" s="64">
        <f>'Apps &amp; Goals 26-27'!P23</f>
        <v>1</v>
      </c>
      <c r="BE25" s="64">
        <f>'Apps &amp; Goals 26-27'!Q23</f>
        <v>0</v>
      </c>
      <c r="BF25" s="33">
        <f t="shared" si="12"/>
        <v>1</v>
      </c>
      <c r="BG25" s="33">
        <f t="shared" si="13"/>
        <v>1</v>
      </c>
      <c r="BH25" s="33">
        <f t="shared" si="14"/>
        <v>0</v>
      </c>
    </row>
    <row r="26" spans="1:60" ht="15.6" customHeight="1" x14ac:dyDescent="0.25">
      <c r="A26" s="56">
        <v>35</v>
      </c>
      <c r="B26" s="22" t="s">
        <v>303</v>
      </c>
      <c r="C26" s="25">
        <v>0</v>
      </c>
      <c r="D26" s="25">
        <v>0</v>
      </c>
      <c r="E26" s="25">
        <v>0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0"/>
        <v>0</v>
      </c>
      <c r="K26" s="25">
        <f t="shared" si="1"/>
        <v>0</v>
      </c>
      <c r="L26" s="25">
        <f t="shared" si="2"/>
        <v>0</v>
      </c>
      <c r="M26">
        <v>35</v>
      </c>
      <c r="N26" s="20" t="s">
        <v>303</v>
      </c>
      <c r="O26" s="26">
        <v>0</v>
      </c>
      <c r="P26" s="26">
        <v>0</v>
      </c>
      <c r="Q26" s="26">
        <v>0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3"/>
        <v>0</v>
      </c>
      <c r="W26" s="26">
        <f t="shared" si="4"/>
        <v>0</v>
      </c>
      <c r="X26" s="26">
        <f t="shared" si="5"/>
        <v>0</v>
      </c>
      <c r="Z26" s="57" t="s">
        <v>303</v>
      </c>
      <c r="AA26" s="24">
        <v>1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6"/>
        <v>1</v>
      </c>
      <c r="AI26" s="24">
        <f t="shared" si="7"/>
        <v>0</v>
      </c>
      <c r="AJ26" s="24">
        <f t="shared" si="8"/>
        <v>0</v>
      </c>
      <c r="AL26" s="63" t="s">
        <v>303</v>
      </c>
      <c r="AM26" s="18">
        <v>1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9"/>
        <v>1</v>
      </c>
      <c r="AU26" s="18">
        <f t="shared" si="10"/>
        <v>0</v>
      </c>
      <c r="AV26" s="18">
        <f t="shared" si="11"/>
        <v>0</v>
      </c>
      <c r="AX26" s="64" t="s">
        <v>303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12"/>
        <v>0</v>
      </c>
      <c r="BG26" s="33">
        <f t="shared" si="13"/>
        <v>0</v>
      </c>
      <c r="BH26" s="33">
        <f t="shared" si="14"/>
        <v>0</v>
      </c>
    </row>
    <row r="27" spans="1:60" ht="15.6" customHeight="1" x14ac:dyDescent="0.25">
      <c r="A27" s="56">
        <v>36</v>
      </c>
      <c r="B27" s="22" t="s">
        <v>313</v>
      </c>
      <c r="C27" s="25">
        <v>38</v>
      </c>
      <c r="D27" s="25">
        <v>5</v>
      </c>
      <c r="E27" s="25">
        <v>1</v>
      </c>
      <c r="F27" s="25"/>
      <c r="G27" s="21">
        <f>'Apps &amp; Goals 26-27'!C25</f>
        <v>5</v>
      </c>
      <c r="H27" s="21">
        <f>'Apps &amp; Goals 26-27'!D25</f>
        <v>0</v>
      </c>
      <c r="I27" s="21">
        <f>'Apps &amp; Goals 26-27'!E25</f>
        <v>0</v>
      </c>
      <c r="J27" s="25">
        <f t="shared" si="0"/>
        <v>43</v>
      </c>
      <c r="K27" s="25">
        <f t="shared" si="1"/>
        <v>5</v>
      </c>
      <c r="L27" s="25">
        <f t="shared" si="2"/>
        <v>1</v>
      </c>
      <c r="M27">
        <v>36</v>
      </c>
      <c r="N27" s="20" t="s">
        <v>313</v>
      </c>
      <c r="O27" s="26">
        <v>13</v>
      </c>
      <c r="P27" s="26">
        <v>0</v>
      </c>
      <c r="Q27" s="26">
        <v>2</v>
      </c>
      <c r="R27" s="26"/>
      <c r="S27" s="20">
        <f>'Apps &amp; Goals 26-27'!F25</f>
        <v>1</v>
      </c>
      <c r="T27" s="20">
        <f>'Apps &amp; Goals 26-27'!G25</f>
        <v>0</v>
      </c>
      <c r="U27" s="20">
        <f>'Apps &amp; Goals 26-27'!H25</f>
        <v>0</v>
      </c>
      <c r="V27" s="26">
        <f t="shared" si="3"/>
        <v>14</v>
      </c>
      <c r="W27" s="26">
        <f t="shared" si="4"/>
        <v>0</v>
      </c>
      <c r="X27" s="26">
        <f t="shared" si="5"/>
        <v>2</v>
      </c>
      <c r="Z27" s="57" t="s">
        <v>313</v>
      </c>
      <c r="AA27" s="24">
        <v>3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6"/>
        <v>3</v>
      </c>
      <c r="AI27" s="24">
        <f t="shared" si="7"/>
        <v>0</v>
      </c>
      <c r="AJ27" s="24">
        <f t="shared" si="8"/>
        <v>0</v>
      </c>
      <c r="AL27" s="63" t="s">
        <v>313</v>
      </c>
      <c r="AM27" s="18">
        <v>3</v>
      </c>
      <c r="AN27" s="18">
        <v>1</v>
      </c>
      <c r="AO27" s="18">
        <v>0</v>
      </c>
      <c r="AP27" s="18"/>
      <c r="AQ27" s="63">
        <f>'Apps &amp; Goals 26-27'!L25</f>
        <v>1</v>
      </c>
      <c r="AR27" s="63">
        <f>'Apps &amp; Goals 26-27'!M25</f>
        <v>0</v>
      </c>
      <c r="AS27" s="63">
        <f>'Apps &amp; Goals 26-27'!N25</f>
        <v>1</v>
      </c>
      <c r="AT27" s="18">
        <f t="shared" si="9"/>
        <v>4</v>
      </c>
      <c r="AU27" s="18">
        <f t="shared" si="10"/>
        <v>1</v>
      </c>
      <c r="AV27" s="18">
        <f t="shared" si="11"/>
        <v>1</v>
      </c>
      <c r="AX27" s="64" t="s">
        <v>313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0</v>
      </c>
      <c r="BE27" s="64">
        <f>'Apps &amp; Goals 26-27'!Q25</f>
        <v>0</v>
      </c>
      <c r="BF27" s="33">
        <f t="shared" si="12"/>
        <v>1</v>
      </c>
      <c r="BG27" s="33">
        <f t="shared" si="13"/>
        <v>0</v>
      </c>
      <c r="BH27" s="33">
        <f t="shared" si="14"/>
        <v>0</v>
      </c>
    </row>
    <row r="28" spans="1:60" ht="15.6" customHeight="1" x14ac:dyDescent="0.25">
      <c r="A28" s="56">
        <v>39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4</v>
      </c>
      <c r="H28" s="21">
        <f>'Apps &amp; Goals 26-27'!D26</f>
        <v>2</v>
      </c>
      <c r="I28" s="21">
        <f>'Apps &amp; Goals 26-27'!E26</f>
        <v>0</v>
      </c>
      <c r="J28" s="25">
        <f t="shared" si="0"/>
        <v>4</v>
      </c>
      <c r="K28" s="25">
        <f t="shared" si="1"/>
        <v>2</v>
      </c>
      <c r="L28" s="25">
        <f t="shared" si="2"/>
        <v>0</v>
      </c>
      <c r="M28">
        <v>39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1</v>
      </c>
      <c r="T28" s="20">
        <f>'Apps &amp; Goals 26-27'!G26</f>
        <v>0</v>
      </c>
      <c r="U28" s="20">
        <f>'Apps &amp; Goals 26-27'!H26</f>
        <v>0</v>
      </c>
      <c r="V28" s="26">
        <f t="shared" si="3"/>
        <v>1</v>
      </c>
      <c r="W28" s="26">
        <f t="shared" si="4"/>
        <v>0</v>
      </c>
      <c r="X28" s="26">
        <f t="shared" si="5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6"/>
        <v>0</v>
      </c>
      <c r="AI28" s="24">
        <f t="shared" si="7"/>
        <v>0</v>
      </c>
      <c r="AJ28" s="24">
        <f t="shared" si="8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1</v>
      </c>
      <c r="AR28" s="63">
        <f>'Apps &amp; Goals 26-27'!M26</f>
        <v>0</v>
      </c>
      <c r="AS28" s="63">
        <f>'Apps &amp; Goals 26-27'!N26</f>
        <v>0</v>
      </c>
      <c r="AT28" s="18">
        <f t="shared" si="9"/>
        <v>1</v>
      </c>
      <c r="AU28" s="18">
        <f t="shared" si="10"/>
        <v>0</v>
      </c>
      <c r="AV28" s="18">
        <f t="shared" si="11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12"/>
        <v>1</v>
      </c>
      <c r="BG28" s="33">
        <f t="shared" si="13"/>
        <v>0</v>
      </c>
      <c r="BH28" s="33">
        <f t="shared" si="14"/>
        <v>0</v>
      </c>
    </row>
    <row r="29" spans="1:60" x14ac:dyDescent="0.25">
      <c r="A29" s="4">
        <v>52</v>
      </c>
      <c r="B29" s="22" t="s">
        <v>341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 t="shared" si="0"/>
        <v>0</v>
      </c>
      <c r="K29" s="25">
        <f t="shared" si="1"/>
        <v>0</v>
      </c>
      <c r="L29" s="25">
        <f t="shared" si="2"/>
        <v>0</v>
      </c>
      <c r="M29">
        <v>40</v>
      </c>
      <c r="N29" s="45" t="s">
        <v>341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3"/>
        <v>0</v>
      </c>
      <c r="W29" s="26">
        <f t="shared" si="4"/>
        <v>0</v>
      </c>
      <c r="X29" s="26">
        <f t="shared" si="5"/>
        <v>0</v>
      </c>
      <c r="Z29" s="57" t="s">
        <v>341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6"/>
        <v>1</v>
      </c>
      <c r="AI29" s="24">
        <f t="shared" si="7"/>
        <v>0</v>
      </c>
      <c r="AJ29" s="24">
        <f t="shared" si="8"/>
        <v>0</v>
      </c>
      <c r="AL29" s="63" t="s">
        <v>341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9"/>
        <v>0</v>
      </c>
      <c r="AU29" s="18">
        <f t="shared" si="10"/>
        <v>0</v>
      </c>
      <c r="AV29" s="18">
        <f t="shared" si="11"/>
        <v>0</v>
      </c>
      <c r="AX29" s="32" t="s">
        <v>341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 t="shared" si="12"/>
        <v>0</v>
      </c>
      <c r="BG29" s="33">
        <f t="shared" si="13"/>
        <v>0</v>
      </c>
      <c r="BH29" s="33">
        <f t="shared" si="14"/>
        <v>0</v>
      </c>
    </row>
    <row r="30" spans="1:60" x14ac:dyDescent="0.25">
      <c r="A30" s="4">
        <v>41</v>
      </c>
      <c r="B30" s="22" t="s">
        <v>277</v>
      </c>
      <c r="C30" s="25">
        <v>109</v>
      </c>
      <c r="D30" s="25">
        <v>15</v>
      </c>
      <c r="E30" s="25">
        <v>20</v>
      </c>
      <c r="F30" s="25"/>
      <c r="G30" s="21">
        <f>'Apps &amp; Goals 26-27'!C28</f>
        <v>6</v>
      </c>
      <c r="H30" s="21">
        <f>'Apps &amp; Goals 26-27'!D28</f>
        <v>0</v>
      </c>
      <c r="I30" s="21">
        <f>'Apps &amp; Goals 26-27'!E28</f>
        <v>3</v>
      </c>
      <c r="J30" s="25">
        <f t="shared" si="0"/>
        <v>115</v>
      </c>
      <c r="K30" s="25">
        <f t="shared" si="1"/>
        <v>15</v>
      </c>
      <c r="L30" s="25">
        <f t="shared" si="2"/>
        <v>23</v>
      </c>
      <c r="M30">
        <v>41</v>
      </c>
      <c r="N30" s="45" t="s">
        <v>277</v>
      </c>
      <c r="O30" s="26">
        <v>36</v>
      </c>
      <c r="P30" s="26">
        <v>5</v>
      </c>
      <c r="Q30" s="26">
        <v>5</v>
      </c>
      <c r="R30" s="26"/>
      <c r="S30" s="20">
        <f>'Apps &amp; Goals 26-27'!F28</f>
        <v>1</v>
      </c>
      <c r="T30" s="20">
        <f>'Apps &amp; Goals 26-27'!G28</f>
        <v>0</v>
      </c>
      <c r="U30" s="20">
        <f>'Apps &amp; Goals 26-27'!H28</f>
        <v>0</v>
      </c>
      <c r="V30" s="26">
        <f t="shared" si="3"/>
        <v>37</v>
      </c>
      <c r="W30" s="26">
        <f t="shared" si="4"/>
        <v>5</v>
      </c>
      <c r="X30" s="26">
        <f t="shared" si="5"/>
        <v>5</v>
      </c>
      <c r="Z30" s="57" t="s">
        <v>277</v>
      </c>
      <c r="AA30" s="24">
        <v>2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6"/>
        <v>2</v>
      </c>
      <c r="AI30" s="24">
        <f t="shared" si="7"/>
        <v>0</v>
      </c>
      <c r="AJ30" s="24">
        <f t="shared" si="8"/>
        <v>0</v>
      </c>
      <c r="AL30" s="63" t="s">
        <v>277</v>
      </c>
      <c r="AM30" s="18">
        <v>10</v>
      </c>
      <c r="AN30" s="18">
        <v>1</v>
      </c>
      <c r="AO30" s="18">
        <v>3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9"/>
        <v>10</v>
      </c>
      <c r="AU30" s="18">
        <f t="shared" si="10"/>
        <v>1</v>
      </c>
      <c r="AV30" s="18">
        <f t="shared" si="11"/>
        <v>3</v>
      </c>
      <c r="AX30" s="32" t="s">
        <v>277</v>
      </c>
      <c r="AY30" s="33">
        <v>1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12"/>
        <v>2</v>
      </c>
      <c r="BG30" s="33">
        <f t="shared" si="13"/>
        <v>0</v>
      </c>
      <c r="BH30" s="33">
        <f t="shared" si="14"/>
        <v>0</v>
      </c>
    </row>
    <row r="31" spans="1:60" x14ac:dyDescent="0.25">
      <c r="A31" s="56">
        <v>71</v>
      </c>
      <c r="B31" s="22" t="s">
        <v>327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si="0"/>
        <v>0</v>
      </c>
      <c r="K31" s="25">
        <f t="shared" si="1"/>
        <v>0</v>
      </c>
      <c r="L31" s="25">
        <f t="shared" si="2"/>
        <v>0</v>
      </c>
      <c r="M31">
        <v>43</v>
      </c>
      <c r="N31" s="45" t="s">
        <v>327</v>
      </c>
      <c r="O31" s="26">
        <v>1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3"/>
        <v>1</v>
      </c>
      <c r="W31" s="26">
        <f t="shared" si="4"/>
        <v>0</v>
      </c>
      <c r="X31" s="26">
        <f t="shared" si="5"/>
        <v>0</v>
      </c>
      <c r="Z31" s="23" t="s">
        <v>327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6"/>
        <v>0</v>
      </c>
      <c r="AI31" s="24">
        <f t="shared" si="7"/>
        <v>0</v>
      </c>
      <c r="AJ31" s="24">
        <f t="shared" si="8"/>
        <v>0</v>
      </c>
      <c r="AL31" s="19" t="s">
        <v>327</v>
      </c>
      <c r="AM31" s="18">
        <v>1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9"/>
        <v>1</v>
      </c>
      <c r="AU31" s="18">
        <f t="shared" si="10"/>
        <v>0</v>
      </c>
      <c r="AV31" s="18">
        <f t="shared" si="11"/>
        <v>0</v>
      </c>
      <c r="AX31" s="32" t="s">
        <v>327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0</v>
      </c>
      <c r="BD31" s="64">
        <f>'Apps &amp; Goals 26-27'!P29</f>
        <v>0</v>
      </c>
      <c r="BE31" s="64">
        <f>'Apps &amp; Goals 26-27'!Q29</f>
        <v>0</v>
      </c>
      <c r="BF31" s="33">
        <f t="shared" si="12"/>
        <v>0</v>
      </c>
      <c r="BG31" s="33">
        <f t="shared" si="13"/>
        <v>0</v>
      </c>
      <c r="BH31" s="33">
        <f t="shared" si="14"/>
        <v>0</v>
      </c>
    </row>
    <row r="32" spans="1:60" x14ac:dyDescent="0.25">
      <c r="A32" s="56">
        <v>72</v>
      </c>
      <c r="B32" s="22" t="s">
        <v>338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0"/>
        <v>0</v>
      </c>
      <c r="K32" s="25">
        <f t="shared" si="1"/>
        <v>0</v>
      </c>
      <c r="L32" s="25">
        <f t="shared" si="2"/>
        <v>0</v>
      </c>
      <c r="M32">
        <v>44</v>
      </c>
      <c r="N32" s="45" t="s">
        <v>338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"/>
        <v>1</v>
      </c>
      <c r="W32" s="26">
        <f t="shared" si="4"/>
        <v>0</v>
      </c>
      <c r="X32" s="26">
        <f t="shared" si="5"/>
        <v>0</v>
      </c>
      <c r="Z32" s="23" t="s">
        <v>338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6"/>
        <v>0</v>
      </c>
      <c r="AI32" s="24">
        <f t="shared" si="7"/>
        <v>0</v>
      </c>
      <c r="AJ32" s="24">
        <f t="shared" si="8"/>
        <v>0</v>
      </c>
      <c r="AL32" s="19" t="s">
        <v>338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1</v>
      </c>
      <c r="AR32" s="63">
        <f>'Apps &amp; Goals 26-27'!M30</f>
        <v>0</v>
      </c>
      <c r="AS32" s="63">
        <f>'Apps &amp; Goals 26-27'!N30</f>
        <v>0</v>
      </c>
      <c r="AT32" s="18">
        <f t="shared" si="9"/>
        <v>1</v>
      </c>
      <c r="AU32" s="18">
        <f t="shared" si="10"/>
        <v>0</v>
      </c>
      <c r="AV32" s="18">
        <f t="shared" si="11"/>
        <v>0</v>
      </c>
      <c r="AX32" s="32" t="s">
        <v>338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si="12"/>
        <v>0</v>
      </c>
      <c r="BG32" s="33">
        <f t="shared" si="13"/>
        <v>0</v>
      </c>
      <c r="BH32" s="33">
        <f t="shared" si="14"/>
        <v>0</v>
      </c>
    </row>
    <row r="33" spans="1:60" x14ac:dyDescent="0.25">
      <c r="A33" s="56">
        <v>45</v>
      </c>
      <c r="B33" s="22" t="s">
        <v>468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0"/>
        <v>0</v>
      </c>
      <c r="K33" s="25">
        <f t="shared" si="1"/>
        <v>0</v>
      </c>
      <c r="L33" s="25">
        <f t="shared" si="2"/>
        <v>0</v>
      </c>
      <c r="M33">
        <v>45</v>
      </c>
      <c r="N33" s="45" t="s">
        <v>468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3"/>
        <v>0</v>
      </c>
      <c r="W33" s="26">
        <f t="shared" si="4"/>
        <v>0</v>
      </c>
      <c r="X33" s="26">
        <f t="shared" si="5"/>
        <v>0</v>
      </c>
      <c r="Z33" s="23" t="s">
        <v>468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6"/>
        <v>0</v>
      </c>
      <c r="AI33" s="24">
        <f t="shared" si="7"/>
        <v>0</v>
      </c>
      <c r="AJ33" s="24">
        <f t="shared" si="8"/>
        <v>0</v>
      </c>
      <c r="AL33" s="19" t="s">
        <v>468</v>
      </c>
      <c r="AM33" s="18">
        <v>0</v>
      </c>
      <c r="AN33" s="18">
        <v>0</v>
      </c>
      <c r="AO33" s="18">
        <v>0</v>
      </c>
      <c r="AP33" s="18"/>
      <c r="AQ33" s="63">
        <f>'Apps &amp; Goals 26-27'!L31</f>
        <v>1</v>
      </c>
      <c r="AR33" s="63">
        <f>'Apps &amp; Goals 26-27'!M31</f>
        <v>0</v>
      </c>
      <c r="AS33" s="63">
        <f>'Apps &amp; Goals 26-27'!N31</f>
        <v>0</v>
      </c>
      <c r="AT33" s="18">
        <f t="shared" si="9"/>
        <v>1</v>
      </c>
      <c r="AU33" s="18">
        <f t="shared" si="10"/>
        <v>0</v>
      </c>
      <c r="AV33" s="18">
        <f t="shared" si="11"/>
        <v>0</v>
      </c>
      <c r="AX33" s="32" t="s">
        <v>468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12"/>
        <v>0</v>
      </c>
      <c r="BG33" s="33">
        <f t="shared" si="13"/>
        <v>0</v>
      </c>
      <c r="BH33" s="33">
        <f t="shared" si="14"/>
        <v>0</v>
      </c>
    </row>
    <row r="34" spans="1:60" x14ac:dyDescent="0.25">
      <c r="A34" s="4">
        <v>46</v>
      </c>
      <c r="B34" s="22" t="s">
        <v>298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0"/>
        <v>0</v>
      </c>
      <c r="K34" s="25">
        <f t="shared" si="1"/>
        <v>0</v>
      </c>
      <c r="L34" s="25">
        <f t="shared" si="2"/>
        <v>0</v>
      </c>
      <c r="M34">
        <v>46</v>
      </c>
      <c r="N34" s="45" t="s">
        <v>298</v>
      </c>
      <c r="O34" s="26">
        <v>0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3"/>
        <v>0</v>
      </c>
      <c r="W34" s="26">
        <f t="shared" si="4"/>
        <v>0</v>
      </c>
      <c r="X34" s="26">
        <f t="shared" si="5"/>
        <v>0</v>
      </c>
      <c r="Z34" s="57" t="s">
        <v>298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6"/>
        <v>0</v>
      </c>
      <c r="AI34" s="24">
        <f t="shared" si="7"/>
        <v>0</v>
      </c>
      <c r="AJ34" s="24">
        <f t="shared" si="8"/>
        <v>0</v>
      </c>
      <c r="AL34" s="63" t="s">
        <v>298</v>
      </c>
      <c r="AM34" s="18">
        <v>1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9"/>
        <v>1</v>
      </c>
      <c r="AU34" s="18">
        <f t="shared" si="10"/>
        <v>0</v>
      </c>
      <c r="AV34" s="18">
        <f t="shared" si="11"/>
        <v>0</v>
      </c>
      <c r="AX34" s="32" t="s">
        <v>298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 t="shared" si="12"/>
        <v>0</v>
      </c>
      <c r="BG34" s="33">
        <f t="shared" si="13"/>
        <v>0</v>
      </c>
      <c r="BH34" s="33">
        <f t="shared" si="14"/>
        <v>0</v>
      </c>
    </row>
    <row r="35" spans="1:60" x14ac:dyDescent="0.25">
      <c r="A35" s="4">
        <v>49</v>
      </c>
      <c r="B35" s="22" t="s">
        <v>297</v>
      </c>
      <c r="C35" s="25">
        <v>43</v>
      </c>
      <c r="D35" s="25">
        <v>1</v>
      </c>
      <c r="E35" s="25">
        <v>0</v>
      </c>
      <c r="F35" s="25"/>
      <c r="G35" s="21">
        <f>'Apps &amp; Goals 26-27'!C33</f>
        <v>5</v>
      </c>
      <c r="H35" s="21">
        <f>'Apps &amp; Goals 26-27'!D33</f>
        <v>0</v>
      </c>
      <c r="I35" s="21">
        <f>'Apps &amp; Goals 26-27'!E33</f>
        <v>0</v>
      </c>
      <c r="J35" s="25">
        <f t="shared" si="0"/>
        <v>48</v>
      </c>
      <c r="K35" s="25">
        <f t="shared" si="1"/>
        <v>1</v>
      </c>
      <c r="L35" s="25">
        <f t="shared" si="2"/>
        <v>0</v>
      </c>
      <c r="M35">
        <v>49</v>
      </c>
      <c r="N35" s="45" t="s">
        <v>297</v>
      </c>
      <c r="O35" s="26">
        <v>20</v>
      </c>
      <c r="P35" s="26">
        <v>0</v>
      </c>
      <c r="Q35" s="26">
        <v>3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3"/>
        <v>20</v>
      </c>
      <c r="W35" s="26">
        <f t="shared" si="4"/>
        <v>0</v>
      </c>
      <c r="X35" s="26">
        <f t="shared" si="5"/>
        <v>3</v>
      </c>
      <c r="Z35" s="57" t="s">
        <v>297</v>
      </c>
      <c r="AA35" s="24">
        <v>4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6"/>
        <v>4</v>
      </c>
      <c r="AI35" s="24">
        <f t="shared" si="7"/>
        <v>0</v>
      </c>
      <c r="AJ35" s="24">
        <f t="shared" si="8"/>
        <v>0</v>
      </c>
      <c r="AL35" s="63" t="s">
        <v>297</v>
      </c>
      <c r="AM35" s="18">
        <v>8</v>
      </c>
      <c r="AN35" s="18">
        <v>0</v>
      </c>
      <c r="AO35" s="18">
        <v>2</v>
      </c>
      <c r="AP35" s="18"/>
      <c r="AQ35" s="63">
        <f>'Apps &amp; Goals 26-27'!L33</f>
        <v>1</v>
      </c>
      <c r="AR35" s="63">
        <f>'Apps &amp; Goals 26-27'!M33</f>
        <v>0</v>
      </c>
      <c r="AS35" s="63">
        <f>'Apps &amp; Goals 26-27'!N33</f>
        <v>0</v>
      </c>
      <c r="AT35" s="18">
        <f t="shared" si="9"/>
        <v>9</v>
      </c>
      <c r="AU35" s="18">
        <f t="shared" si="10"/>
        <v>0</v>
      </c>
      <c r="AV35" s="18">
        <f t="shared" si="11"/>
        <v>2</v>
      </c>
      <c r="AX35" s="32" t="s">
        <v>297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1</v>
      </c>
      <c r="BD35" s="64">
        <f>'Apps &amp; Goals 26-27'!P33</f>
        <v>0</v>
      </c>
      <c r="BE35" s="64">
        <f>'Apps &amp; Goals 26-27'!Q33</f>
        <v>1</v>
      </c>
      <c r="BF35" s="33">
        <f t="shared" si="12"/>
        <v>1</v>
      </c>
      <c r="BG35" s="33">
        <f t="shared" si="13"/>
        <v>0</v>
      </c>
      <c r="BH35" s="33">
        <f t="shared" si="14"/>
        <v>1</v>
      </c>
    </row>
    <row r="36" spans="1:60" x14ac:dyDescent="0.25">
      <c r="A36" s="56">
        <v>53</v>
      </c>
      <c r="B36" s="22" t="s">
        <v>292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0"/>
        <v>0</v>
      </c>
      <c r="K36" s="25">
        <f t="shared" si="1"/>
        <v>0</v>
      </c>
      <c r="L36" s="25">
        <f t="shared" si="2"/>
        <v>0</v>
      </c>
      <c r="M36">
        <v>53</v>
      </c>
      <c r="N36" s="45" t="s">
        <v>292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3"/>
        <v>0</v>
      </c>
      <c r="W36" s="26">
        <f t="shared" si="4"/>
        <v>0</v>
      </c>
      <c r="X36" s="26">
        <f t="shared" si="5"/>
        <v>0</v>
      </c>
      <c r="Z36" s="23" t="s">
        <v>292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6"/>
        <v>0</v>
      </c>
      <c r="AI36" s="24">
        <f t="shared" si="7"/>
        <v>0</v>
      </c>
      <c r="AJ36" s="24">
        <f t="shared" si="8"/>
        <v>0</v>
      </c>
      <c r="AL36" s="19" t="s">
        <v>292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9"/>
        <v>1</v>
      </c>
      <c r="AU36" s="18">
        <f t="shared" si="10"/>
        <v>0</v>
      </c>
      <c r="AV36" s="18">
        <f t="shared" si="11"/>
        <v>0</v>
      </c>
      <c r="AX36" s="32" t="s">
        <v>292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12"/>
        <v>0</v>
      </c>
      <c r="BG36" s="33">
        <f t="shared" si="13"/>
        <v>0</v>
      </c>
      <c r="BH36" s="33">
        <f t="shared" si="14"/>
        <v>0</v>
      </c>
    </row>
    <row r="37" spans="1:60" x14ac:dyDescent="0.25">
      <c r="A37" s="56">
        <v>92</v>
      </c>
      <c r="B37" s="22" t="s">
        <v>301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0"/>
        <v>0</v>
      </c>
      <c r="K37" s="25">
        <f t="shared" si="1"/>
        <v>0</v>
      </c>
      <c r="L37" s="25">
        <f t="shared" si="2"/>
        <v>0</v>
      </c>
      <c r="M37">
        <v>55</v>
      </c>
      <c r="N37" s="45" t="s">
        <v>301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3"/>
        <v>0</v>
      </c>
      <c r="W37" s="26">
        <f t="shared" si="4"/>
        <v>0</v>
      </c>
      <c r="X37" s="26">
        <f t="shared" si="5"/>
        <v>0</v>
      </c>
      <c r="Z37" s="23" t="s">
        <v>301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6"/>
        <v>0</v>
      </c>
      <c r="AI37" s="24">
        <f t="shared" si="7"/>
        <v>0</v>
      </c>
      <c r="AJ37" s="24">
        <f t="shared" si="8"/>
        <v>0</v>
      </c>
      <c r="AL37" s="19" t="s">
        <v>301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9"/>
        <v>1</v>
      </c>
      <c r="AU37" s="18">
        <f t="shared" si="10"/>
        <v>0</v>
      </c>
      <c r="AV37" s="18">
        <f t="shared" si="11"/>
        <v>0</v>
      </c>
      <c r="AX37" s="32" t="s">
        <v>301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12"/>
        <v>0</v>
      </c>
      <c r="BG37" s="33">
        <f t="shared" si="13"/>
        <v>0</v>
      </c>
      <c r="BH37" s="33">
        <f t="shared" si="14"/>
        <v>0</v>
      </c>
    </row>
    <row r="38" spans="1:60" x14ac:dyDescent="0.25">
      <c r="A38" s="4">
        <v>56</v>
      </c>
      <c r="B38" s="22" t="s">
        <v>322</v>
      </c>
      <c r="C38" s="25">
        <v>6</v>
      </c>
      <c r="D38" s="25">
        <v>1</v>
      </c>
      <c r="E38" s="25">
        <v>0</v>
      </c>
      <c r="F38" s="25"/>
      <c r="G38" s="21">
        <f>'Apps &amp; Goals 26-27'!C36</f>
        <v>1</v>
      </c>
      <c r="H38" s="21">
        <f>'Apps &amp; Goals 26-27'!D36</f>
        <v>0</v>
      </c>
      <c r="I38" s="21">
        <f>'Apps &amp; Goals 26-27'!E36</f>
        <v>0</v>
      </c>
      <c r="J38" s="25">
        <f t="shared" si="0"/>
        <v>7</v>
      </c>
      <c r="K38" s="25">
        <f t="shared" si="1"/>
        <v>1</v>
      </c>
      <c r="L38" s="25">
        <f t="shared" si="2"/>
        <v>0</v>
      </c>
      <c r="M38">
        <v>56</v>
      </c>
      <c r="N38" s="45" t="s">
        <v>322</v>
      </c>
      <c r="O38" s="26">
        <v>3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3"/>
        <v>3</v>
      </c>
      <c r="W38" s="26">
        <f t="shared" si="4"/>
        <v>0</v>
      </c>
      <c r="X38" s="26">
        <f t="shared" si="5"/>
        <v>0</v>
      </c>
      <c r="Z38" s="57" t="s">
        <v>322</v>
      </c>
      <c r="AA38" s="24">
        <v>2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6"/>
        <v>2</v>
      </c>
      <c r="AI38" s="24">
        <f t="shared" si="7"/>
        <v>0</v>
      </c>
      <c r="AJ38" s="24">
        <f t="shared" si="8"/>
        <v>0</v>
      </c>
      <c r="AL38" s="63" t="s">
        <v>322</v>
      </c>
      <c r="AM38" s="18">
        <v>2</v>
      </c>
      <c r="AN38" s="18">
        <v>0</v>
      </c>
      <c r="AO38" s="18">
        <v>0</v>
      </c>
      <c r="AP38" s="18"/>
      <c r="AQ38" s="63">
        <f>'Apps &amp; Goals 26-27'!L36</f>
        <v>1</v>
      </c>
      <c r="AR38" s="63">
        <f>'Apps &amp; Goals 26-27'!M36</f>
        <v>2</v>
      </c>
      <c r="AS38" s="63">
        <f>'Apps &amp; Goals 26-27'!N36</f>
        <v>0</v>
      </c>
      <c r="AT38" s="18">
        <f t="shared" si="9"/>
        <v>3</v>
      </c>
      <c r="AU38" s="18">
        <f t="shared" si="10"/>
        <v>2</v>
      </c>
      <c r="AV38" s="18">
        <f t="shared" si="11"/>
        <v>0</v>
      </c>
      <c r="AX38" s="32" t="s">
        <v>322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12"/>
        <v>0</v>
      </c>
      <c r="BG38" s="33">
        <f t="shared" si="13"/>
        <v>0</v>
      </c>
      <c r="BH38" s="33">
        <f t="shared" si="14"/>
        <v>0</v>
      </c>
    </row>
    <row r="39" spans="1:60" x14ac:dyDescent="0.25">
      <c r="A39" s="56">
        <v>81</v>
      </c>
      <c r="B39" s="22" t="s">
        <v>339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0"/>
        <v>0</v>
      </c>
      <c r="K39" s="25">
        <f t="shared" si="1"/>
        <v>0</v>
      </c>
      <c r="L39" s="25">
        <f t="shared" si="2"/>
        <v>0</v>
      </c>
      <c r="M39">
        <v>71</v>
      </c>
      <c r="N39" s="45" t="s">
        <v>339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3"/>
        <v>1</v>
      </c>
      <c r="W39" s="26">
        <f t="shared" si="4"/>
        <v>0</v>
      </c>
      <c r="X39" s="26">
        <f t="shared" si="5"/>
        <v>0</v>
      </c>
      <c r="Z39" s="23" t="s">
        <v>339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6"/>
        <v>0</v>
      </c>
      <c r="AI39" s="24">
        <f t="shared" si="7"/>
        <v>0</v>
      </c>
      <c r="AJ39" s="24">
        <f t="shared" si="8"/>
        <v>0</v>
      </c>
      <c r="AL39" s="19" t="s">
        <v>339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9"/>
        <v>0</v>
      </c>
      <c r="AU39" s="18">
        <f t="shared" si="10"/>
        <v>0</v>
      </c>
      <c r="AV39" s="18">
        <f t="shared" si="11"/>
        <v>0</v>
      </c>
      <c r="AX39" s="32" t="s">
        <v>339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12"/>
        <v>0</v>
      </c>
      <c r="BG39" s="33">
        <f t="shared" si="13"/>
        <v>0</v>
      </c>
      <c r="BH39" s="33">
        <f t="shared" si="14"/>
        <v>0</v>
      </c>
    </row>
    <row r="40" spans="1:60" x14ac:dyDescent="0.25">
      <c r="A40" s="56">
        <v>89</v>
      </c>
      <c r="B40" s="22" t="s">
        <v>333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0"/>
        <v>0</v>
      </c>
      <c r="K40" s="25">
        <f t="shared" si="1"/>
        <v>0</v>
      </c>
      <c r="L40" s="25">
        <f t="shared" si="2"/>
        <v>0</v>
      </c>
      <c r="M40">
        <v>89</v>
      </c>
      <c r="N40" s="45" t="s">
        <v>333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3"/>
        <v>1</v>
      </c>
      <c r="W40" s="26">
        <f t="shared" si="4"/>
        <v>0</v>
      </c>
      <c r="X40" s="26">
        <f t="shared" si="5"/>
        <v>0</v>
      </c>
      <c r="Z40" s="23" t="s">
        <v>333</v>
      </c>
      <c r="AA40" s="24">
        <v>3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6"/>
        <v>3</v>
      </c>
      <c r="AI40" s="24">
        <f t="shared" si="7"/>
        <v>0</v>
      </c>
      <c r="AJ40" s="24">
        <f t="shared" si="8"/>
        <v>0</v>
      </c>
      <c r="AL40" s="19" t="s">
        <v>333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1</v>
      </c>
      <c r="AR40" s="63">
        <f>'Apps &amp; Goals 26-27'!M38</f>
        <v>0</v>
      </c>
      <c r="AS40" s="63">
        <f>'Apps &amp; Goals 26-27'!N38</f>
        <v>0</v>
      </c>
      <c r="AT40" s="18">
        <f t="shared" si="9"/>
        <v>1</v>
      </c>
      <c r="AU40" s="18">
        <f t="shared" si="10"/>
        <v>0</v>
      </c>
      <c r="AV40" s="18">
        <f t="shared" si="11"/>
        <v>0</v>
      </c>
      <c r="AX40" s="32" t="s">
        <v>333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12"/>
        <v>0</v>
      </c>
      <c r="BG40" s="33">
        <f t="shared" si="13"/>
        <v>0</v>
      </c>
      <c r="BH40" s="33">
        <f t="shared" si="14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0"/>
  <sheetViews>
    <sheetView zoomScale="90" zoomScaleNormal="90" zoomScalePageLayoutView="110" workbookViewId="0">
      <selection activeCell="Z3" sqref="Z3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07"/>
      <c r="G1" s="207"/>
      <c r="H1" s="207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3" t="s">
        <v>4</v>
      </c>
      <c r="F2" s="204"/>
      <c r="G2" s="205"/>
      <c r="H2" s="208" t="s">
        <v>120</v>
      </c>
      <c r="I2" s="209"/>
      <c r="J2" s="210"/>
      <c r="K2" s="203" t="s">
        <v>108</v>
      </c>
      <c r="L2" s="204"/>
      <c r="M2" s="205"/>
      <c r="N2" s="208" t="s">
        <v>110</v>
      </c>
      <c r="O2" s="209"/>
      <c r="P2" s="210"/>
      <c r="Q2" s="203" t="s">
        <v>39</v>
      </c>
      <c r="R2" s="204"/>
      <c r="S2" s="205"/>
      <c r="T2" s="206" t="s">
        <v>7</v>
      </c>
      <c r="U2" s="206"/>
      <c r="V2" s="206"/>
      <c r="Z2" s="125">
        <v>46307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  <c r="W3" s="198" t="s">
        <v>438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113</v>
      </c>
      <c r="F4" s="6">
        <f>'#'!K6</f>
        <v>0</v>
      </c>
      <c r="G4" s="6">
        <f>'#'!L6</f>
        <v>0</v>
      </c>
      <c r="H4" s="4">
        <f>'#'!V6</f>
        <v>37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155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5" si="2">SUM(E5,H5,K5,N5,Q5)</f>
        <v>184</v>
      </c>
      <c r="U5" s="2">
        <f t="shared" ref="U5:U15" si="3">SUM(F5,I5,L5,O5,R5)</f>
        <v>8</v>
      </c>
      <c r="V5" s="2">
        <f t="shared" ref="V5:V15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141</v>
      </c>
      <c r="F7" s="6">
        <f>'#'!K9</f>
        <v>6</v>
      </c>
      <c r="G7" s="6">
        <f>'#'!L9</f>
        <v>14</v>
      </c>
      <c r="H7" s="4">
        <f>'#'!V9</f>
        <v>38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197</v>
      </c>
      <c r="U7" s="2">
        <f t="shared" si="3"/>
        <v>7</v>
      </c>
      <c r="V7" s="2">
        <f t="shared" si="4"/>
        <v>16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28</v>
      </c>
      <c r="F8" s="6">
        <f>'#'!K10</f>
        <v>1</v>
      </c>
      <c r="G8" s="6">
        <f>'#'!L10</f>
        <v>2</v>
      </c>
      <c r="H8" s="4">
        <f>'#'!V10</f>
        <v>11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44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198</v>
      </c>
      <c r="F9" s="6">
        <f>'#'!K11</f>
        <v>20</v>
      </c>
      <c r="G9" s="6">
        <f>'#'!L11</f>
        <v>5</v>
      </c>
      <c r="H9" s="4">
        <f>'#'!V11</f>
        <v>45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18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270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232</v>
      </c>
      <c r="F10" s="6">
        <f>'#'!K12</f>
        <v>63</v>
      </c>
      <c r="G10" s="6">
        <f>'#'!L12</f>
        <v>50</v>
      </c>
      <c r="H10" s="4">
        <f>'#'!V12</f>
        <v>55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320</v>
      </c>
      <c r="U10" s="2">
        <f t="shared" si="3"/>
        <v>84</v>
      </c>
      <c r="V10" s="2">
        <f t="shared" si="4"/>
        <v>70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182</v>
      </c>
      <c r="F11" s="6">
        <f>'#'!K13</f>
        <v>37</v>
      </c>
      <c r="G11" s="6">
        <f>'#'!L13</f>
        <v>37</v>
      </c>
      <c r="H11" s="4">
        <f>'#'!V13</f>
        <v>42</v>
      </c>
      <c r="I11" s="4">
        <f>'#'!W13</f>
        <v>7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11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243</v>
      </c>
      <c r="U11" s="2">
        <f t="shared" si="3"/>
        <v>46</v>
      </c>
      <c r="V11" s="2">
        <f t="shared" si="4"/>
        <v>43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36</v>
      </c>
      <c r="F12" s="6">
        <f>'#'!K14</f>
        <v>7</v>
      </c>
      <c r="G12" s="6">
        <f>'#'!L14</f>
        <v>2</v>
      </c>
      <c r="H12" s="4">
        <f>'#'!V14</f>
        <v>14</v>
      </c>
      <c r="I12" s="4">
        <f>'#'!W14</f>
        <v>1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5</v>
      </c>
      <c r="O12" s="4">
        <f>'#'!AU14</f>
        <v>1</v>
      </c>
      <c r="P12" s="4">
        <f>'#'!AV14</f>
        <v>1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59</v>
      </c>
      <c r="U12" s="2">
        <f t="shared" si="3"/>
        <v>10</v>
      </c>
      <c r="V12" s="2">
        <f t="shared" si="4"/>
        <v>6</v>
      </c>
    </row>
    <row r="13" spans="1:26" x14ac:dyDescent="0.25">
      <c r="A13" s="4">
        <v>12</v>
      </c>
      <c r="B13" s="4" t="s">
        <v>356</v>
      </c>
      <c r="C13" s="4" t="s">
        <v>352</v>
      </c>
      <c r="D13" s="35" t="s">
        <v>276</v>
      </c>
      <c r="E13" s="6">
        <f>'#'!J15</f>
        <v>65</v>
      </c>
      <c r="F13" s="6">
        <f>'#'!K15</f>
        <v>4</v>
      </c>
      <c r="G13" s="6">
        <f>'#'!L15</f>
        <v>8</v>
      </c>
      <c r="H13" s="4">
        <f>'#'!V15</f>
        <v>21</v>
      </c>
      <c r="I13" s="4">
        <f>'#'!W15</f>
        <v>2</v>
      </c>
      <c r="J13" s="4">
        <f>'#'!X15</f>
        <v>2</v>
      </c>
      <c r="K13" s="6">
        <f>'#'!AH15</f>
        <v>3</v>
      </c>
      <c r="L13" s="6">
        <f>'#'!AI15</f>
        <v>0</v>
      </c>
      <c r="M13" s="6">
        <f>'#'!AJ15</f>
        <v>0</v>
      </c>
      <c r="N13" s="4">
        <f>'#'!AT15</f>
        <v>8</v>
      </c>
      <c r="O13" s="4">
        <f>'#'!AU15</f>
        <v>0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98</v>
      </c>
      <c r="U13" s="2">
        <f t="shared" si="3"/>
        <v>6</v>
      </c>
      <c r="V13" s="2">
        <f t="shared" si="4"/>
        <v>10</v>
      </c>
    </row>
    <row r="14" spans="1:26" x14ac:dyDescent="0.25">
      <c r="A14" s="4">
        <v>13</v>
      </c>
      <c r="B14" s="27" t="s">
        <v>349</v>
      </c>
      <c r="C14" s="4" t="s">
        <v>350</v>
      </c>
      <c r="D14" s="149" t="s">
        <v>312</v>
      </c>
      <c r="E14" s="6">
        <f>'#'!J16</f>
        <v>1</v>
      </c>
      <c r="F14" s="6">
        <f>'#'!K16</f>
        <v>0</v>
      </c>
      <c r="G14" s="6">
        <f>'#'!L16</f>
        <v>0</v>
      </c>
      <c r="H14" s="4">
        <f>'#'!V16</f>
        <v>1</v>
      </c>
      <c r="I14" s="4">
        <f>'#'!W16</f>
        <v>0</v>
      </c>
      <c r="J14" s="4">
        <f>'#'!X16</f>
        <v>0</v>
      </c>
      <c r="K14" s="6">
        <f>'#'!AH16</f>
        <v>4</v>
      </c>
      <c r="L14" s="6">
        <f>'#'!AI16</f>
        <v>0</v>
      </c>
      <c r="M14" s="6">
        <f>'#'!AJ16</f>
        <v>0</v>
      </c>
      <c r="N14" s="4">
        <f>'#'!AT16</f>
        <v>7</v>
      </c>
      <c r="O14" s="4">
        <f>'#'!AU16</f>
        <v>0</v>
      </c>
      <c r="P14" s="4">
        <f>'#'!AV16</f>
        <v>0</v>
      </c>
      <c r="Q14" s="6">
        <f>'#'!BF16</f>
        <v>0</v>
      </c>
      <c r="R14" s="6">
        <f>'#'!BG16</f>
        <v>0</v>
      </c>
      <c r="S14" s="6">
        <f>'#'!BH16</f>
        <v>0</v>
      </c>
      <c r="T14" s="2">
        <f t="shared" si="2"/>
        <v>13</v>
      </c>
      <c r="U14" s="2">
        <f t="shared" si="3"/>
        <v>0</v>
      </c>
      <c r="V14" s="2">
        <f t="shared" si="4"/>
        <v>0</v>
      </c>
    </row>
    <row r="15" spans="1:26" x14ac:dyDescent="0.25">
      <c r="A15" s="4">
        <v>14</v>
      </c>
      <c r="B15" s="27" t="s">
        <v>360</v>
      </c>
      <c r="C15" s="4" t="s">
        <v>354</v>
      </c>
      <c r="D15" s="149" t="s">
        <v>317</v>
      </c>
      <c r="E15" s="6">
        <f>'#'!J17</f>
        <v>39</v>
      </c>
      <c r="F15" s="6">
        <f>'#'!K17</f>
        <v>14</v>
      </c>
      <c r="G15" s="6">
        <f>'#'!L17</f>
        <v>1</v>
      </c>
      <c r="H15" s="4">
        <f>'#'!V17</f>
        <v>14</v>
      </c>
      <c r="I15" s="4">
        <f>'#'!W17</f>
        <v>5</v>
      </c>
      <c r="J15" s="4">
        <f>'#'!X17</f>
        <v>1</v>
      </c>
      <c r="K15" s="6">
        <f>'#'!AH17</f>
        <v>2</v>
      </c>
      <c r="L15" s="6">
        <f>'#'!AI17</f>
        <v>1</v>
      </c>
      <c r="M15" s="6">
        <f>'#'!AJ17</f>
        <v>0</v>
      </c>
      <c r="N15" s="4">
        <f>'#'!AT17</f>
        <v>5</v>
      </c>
      <c r="O15" s="4">
        <f>'#'!AU17</f>
        <v>1</v>
      </c>
      <c r="P15" s="4">
        <f>'#'!AV17</f>
        <v>1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61</v>
      </c>
      <c r="U15" s="2">
        <f t="shared" si="3"/>
        <v>21</v>
      </c>
      <c r="V15" s="2">
        <f t="shared" si="4"/>
        <v>3</v>
      </c>
    </row>
    <row r="16" spans="1:26" x14ac:dyDescent="0.25">
      <c r="A16" s="4">
        <v>15</v>
      </c>
      <c r="B16" s="27" t="s">
        <v>355</v>
      </c>
      <c r="C16" s="4" t="s">
        <v>352</v>
      </c>
      <c r="D16" s="149" t="s">
        <v>431</v>
      </c>
      <c r="E16" s="6">
        <f>'#'!J18</f>
        <v>5</v>
      </c>
      <c r="F16" s="6">
        <f>'#'!K18</f>
        <v>0</v>
      </c>
      <c r="G16" s="6">
        <f>'#'!L18</f>
        <v>0</v>
      </c>
      <c r="H16" s="4">
        <f>'#'!V18</f>
        <v>1</v>
      </c>
      <c r="I16" s="4">
        <f>'#'!W18</f>
        <v>0</v>
      </c>
      <c r="J16" s="4">
        <f>'#'!X18</f>
        <v>0</v>
      </c>
      <c r="K16" s="6">
        <f>'#'!AH18</f>
        <v>0</v>
      </c>
      <c r="L16" s="6">
        <f>'#'!AI18</f>
        <v>0</v>
      </c>
      <c r="M16" s="6">
        <f>'#'!AJ18</f>
        <v>0</v>
      </c>
      <c r="N16" s="4">
        <f>'#'!AT18</f>
        <v>1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ref="T16:T28" si="5">SUM(E16,H16,K16,N16,Q16)</f>
        <v>7</v>
      </c>
      <c r="U16" s="2">
        <f t="shared" ref="U16:U28" si="6">SUM(F16,I16,L16,O16,R16)</f>
        <v>0</v>
      </c>
      <c r="V16" s="2">
        <f t="shared" ref="V16:V28" si="7">SUM(G16,J16,M16,P16,S16)</f>
        <v>0</v>
      </c>
    </row>
    <row r="17" spans="1:23" x14ac:dyDescent="0.25">
      <c r="A17" s="4">
        <v>17</v>
      </c>
      <c r="B17" s="27" t="s">
        <v>361</v>
      </c>
      <c r="C17" s="4" t="s">
        <v>354</v>
      </c>
      <c r="D17" s="148" t="s">
        <v>343</v>
      </c>
      <c r="E17" s="6">
        <f>'#'!J19</f>
        <v>5</v>
      </c>
      <c r="F17" s="6">
        <f>'#'!K19</f>
        <v>0</v>
      </c>
      <c r="G17" s="6">
        <f>'#'!L19</f>
        <v>1</v>
      </c>
      <c r="H17" s="4">
        <f>'#'!V19</f>
        <v>1</v>
      </c>
      <c r="I17" s="4">
        <f>'#'!W19</f>
        <v>0</v>
      </c>
      <c r="J17" s="4">
        <f>'#'!X19</f>
        <v>1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1</v>
      </c>
      <c r="O17" s="4">
        <f>'#'!AU19</f>
        <v>0</v>
      </c>
      <c r="P17" s="4">
        <f>'#'!AV19</f>
        <v>0</v>
      </c>
      <c r="Q17" s="6">
        <f>'#'!BF19</f>
        <v>1</v>
      </c>
      <c r="R17" s="6">
        <f>'#'!BG19</f>
        <v>0</v>
      </c>
      <c r="S17" s="6">
        <f>'#'!BH19</f>
        <v>2</v>
      </c>
      <c r="T17" s="2">
        <f t="shared" si="5"/>
        <v>8</v>
      </c>
      <c r="U17" s="2">
        <f t="shared" si="6"/>
        <v>0</v>
      </c>
      <c r="V17" s="2">
        <f t="shared" si="7"/>
        <v>4</v>
      </c>
    </row>
    <row r="18" spans="1:23" x14ac:dyDescent="0.25">
      <c r="A18" s="4">
        <v>20</v>
      </c>
      <c r="B18" s="56" t="s">
        <v>355</v>
      </c>
      <c r="C18" s="4" t="s">
        <v>354</v>
      </c>
      <c r="D18" s="148" t="s">
        <v>315</v>
      </c>
      <c r="E18" s="6">
        <f>'#'!J20</f>
        <v>29</v>
      </c>
      <c r="F18" s="6">
        <f>'#'!K20</f>
        <v>3</v>
      </c>
      <c r="G18" s="6">
        <f>'#'!L20</f>
        <v>1</v>
      </c>
      <c r="H18" s="4">
        <f>'#'!V20</f>
        <v>10</v>
      </c>
      <c r="I18" s="4">
        <f>'#'!W20</f>
        <v>3</v>
      </c>
      <c r="J18" s="4">
        <f>'#'!X20</f>
        <v>0</v>
      </c>
      <c r="K18" s="6">
        <f>'#'!AH20</f>
        <v>4</v>
      </c>
      <c r="L18" s="6">
        <f>'#'!AI20</f>
        <v>2</v>
      </c>
      <c r="M18" s="6">
        <f>'#'!AJ20</f>
        <v>2</v>
      </c>
      <c r="N18" s="4">
        <f>'#'!AT20</f>
        <v>4</v>
      </c>
      <c r="O18" s="4">
        <f>'#'!AU20</f>
        <v>1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0</v>
      </c>
      <c r="T18" s="2">
        <f t="shared" si="5"/>
        <v>48</v>
      </c>
      <c r="U18" s="2">
        <f t="shared" si="6"/>
        <v>9</v>
      </c>
      <c r="V18" s="2">
        <f t="shared" si="7"/>
        <v>3</v>
      </c>
    </row>
    <row r="19" spans="1:23" x14ac:dyDescent="0.25">
      <c r="A19" s="56">
        <v>22</v>
      </c>
      <c r="B19" s="56" t="s">
        <v>355</v>
      </c>
      <c r="C19" s="4" t="s">
        <v>353</v>
      </c>
      <c r="D19" s="37" t="s">
        <v>263</v>
      </c>
      <c r="E19" s="6">
        <f>'#'!J21</f>
        <v>34</v>
      </c>
      <c r="F19" s="6">
        <f>'#'!K21</f>
        <v>4</v>
      </c>
      <c r="G19" s="6">
        <f>'#'!L21</f>
        <v>2</v>
      </c>
      <c r="H19" s="4">
        <f>'#'!V21</f>
        <v>10</v>
      </c>
      <c r="I19" s="4">
        <f>'#'!W21</f>
        <v>2</v>
      </c>
      <c r="J19" s="4">
        <f>'#'!X21</f>
        <v>0</v>
      </c>
      <c r="K19" s="6">
        <f>'#'!AH21</f>
        <v>1</v>
      </c>
      <c r="L19" s="6">
        <f>'#'!AI21</f>
        <v>0</v>
      </c>
      <c r="M19" s="6">
        <f>'#'!AJ21</f>
        <v>0</v>
      </c>
      <c r="N19" s="4">
        <f>'#'!AT21</f>
        <v>6</v>
      </c>
      <c r="O19" s="4">
        <f>'#'!AU21</f>
        <v>4</v>
      </c>
      <c r="P19" s="4">
        <f>'#'!AV21</f>
        <v>0</v>
      </c>
      <c r="Q19" s="6">
        <f>'#'!BF21</f>
        <v>0</v>
      </c>
      <c r="R19" s="6">
        <f>'#'!BG21</f>
        <v>0</v>
      </c>
      <c r="S19" s="6">
        <f>'#'!BH21</f>
        <v>0</v>
      </c>
      <c r="T19" s="2">
        <f t="shared" si="5"/>
        <v>51</v>
      </c>
      <c r="U19" s="2">
        <f t="shared" si="6"/>
        <v>10</v>
      </c>
      <c r="V19" s="2">
        <f t="shared" si="7"/>
        <v>2</v>
      </c>
      <c r="W19" t="s">
        <v>439</v>
      </c>
    </row>
    <row r="20" spans="1:23" x14ac:dyDescent="0.25">
      <c r="A20" s="4">
        <v>23</v>
      </c>
      <c r="B20" s="27" t="s">
        <v>349</v>
      </c>
      <c r="C20" s="4" t="s">
        <v>353</v>
      </c>
      <c r="D20" s="37" t="s">
        <v>293</v>
      </c>
      <c r="E20" s="6">
        <f>'#'!J22</f>
        <v>56</v>
      </c>
      <c r="F20" s="6">
        <f>'#'!K22</f>
        <v>11</v>
      </c>
      <c r="G20" s="6">
        <f>'#'!L22</f>
        <v>5</v>
      </c>
      <c r="H20" s="4">
        <f>'#'!V22</f>
        <v>20</v>
      </c>
      <c r="I20" s="4">
        <f>'#'!W22</f>
        <v>4</v>
      </c>
      <c r="J20" s="4">
        <f>'#'!X22</f>
        <v>3</v>
      </c>
      <c r="K20" s="6">
        <f>'#'!AH22</f>
        <v>2</v>
      </c>
      <c r="L20" s="6">
        <f>'#'!AI22</f>
        <v>0</v>
      </c>
      <c r="M20" s="6">
        <f>'#'!AJ22</f>
        <v>0</v>
      </c>
      <c r="N20" s="4">
        <f>'#'!AT22</f>
        <v>8</v>
      </c>
      <c r="O20" s="4">
        <f>'#'!AU22</f>
        <v>1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86</v>
      </c>
      <c r="U20" s="2">
        <f t="shared" si="6"/>
        <v>16</v>
      </c>
      <c r="V20" s="2">
        <f t="shared" si="7"/>
        <v>8</v>
      </c>
    </row>
    <row r="21" spans="1:23" x14ac:dyDescent="0.25">
      <c r="A21" s="4">
        <v>29</v>
      </c>
      <c r="B21" s="27" t="s">
        <v>363</v>
      </c>
      <c r="C21" s="4" t="s">
        <v>354</v>
      </c>
      <c r="D21" s="148" t="s">
        <v>275</v>
      </c>
      <c r="E21" s="6">
        <f>'#'!J23</f>
        <v>78</v>
      </c>
      <c r="F21" s="6">
        <f>'#'!K23</f>
        <v>26</v>
      </c>
      <c r="G21" s="6">
        <f>'#'!L23</f>
        <v>13</v>
      </c>
      <c r="H21" s="4">
        <f>'#'!V23</f>
        <v>25</v>
      </c>
      <c r="I21" s="4">
        <f>'#'!W23</f>
        <v>9</v>
      </c>
      <c r="J21" s="4">
        <f>'#'!X23</f>
        <v>2</v>
      </c>
      <c r="K21" s="6">
        <f>'#'!AH23</f>
        <v>5</v>
      </c>
      <c r="L21" s="6">
        <f>'#'!AI23</f>
        <v>0</v>
      </c>
      <c r="M21" s="6">
        <f>'#'!AJ23</f>
        <v>1</v>
      </c>
      <c r="N21" s="4">
        <f>'#'!AT23</f>
        <v>9</v>
      </c>
      <c r="O21" s="4">
        <f>'#'!AU23</f>
        <v>3</v>
      </c>
      <c r="P21" s="4">
        <f>'#'!AV23</f>
        <v>0</v>
      </c>
      <c r="Q21" s="6">
        <f>'#'!BF23</f>
        <v>2</v>
      </c>
      <c r="R21" s="6">
        <f>'#'!BG23</f>
        <v>1</v>
      </c>
      <c r="S21" s="6">
        <f>'#'!BH23</f>
        <v>0</v>
      </c>
      <c r="T21" s="2">
        <f t="shared" si="5"/>
        <v>119</v>
      </c>
      <c r="U21" s="2">
        <f t="shared" si="6"/>
        <v>39</v>
      </c>
      <c r="V21" s="2">
        <f t="shared" si="7"/>
        <v>16</v>
      </c>
    </row>
    <row r="22" spans="1:23" x14ac:dyDescent="0.25">
      <c r="A22" s="4">
        <v>30</v>
      </c>
      <c r="B22" s="27" t="s">
        <v>351</v>
      </c>
      <c r="C22" s="4" t="s">
        <v>350</v>
      </c>
      <c r="D22" s="148" t="s">
        <v>344</v>
      </c>
      <c r="E22" s="6">
        <f>'#'!J24</f>
        <v>0</v>
      </c>
      <c r="F22" s="6">
        <f>'#'!K24</f>
        <v>0</v>
      </c>
      <c r="G22" s="6">
        <f>'#'!L24</f>
        <v>0</v>
      </c>
      <c r="H22" s="4">
        <f>'#'!V24</f>
        <v>0</v>
      </c>
      <c r="I22" s="4">
        <f>'#'!W24</f>
        <v>0</v>
      </c>
      <c r="J22" s="4">
        <f>'#'!X24</f>
        <v>0</v>
      </c>
      <c r="K22" s="6">
        <f>'#'!AH24</f>
        <v>0</v>
      </c>
      <c r="L22" s="6">
        <f>'#'!AI24</f>
        <v>0</v>
      </c>
      <c r="M22" s="6">
        <f>'#'!AJ24</f>
        <v>0</v>
      </c>
      <c r="N22" s="4">
        <f>'#'!AT24</f>
        <v>0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0</v>
      </c>
      <c r="U22" s="2">
        <f t="shared" si="6"/>
        <v>0</v>
      </c>
      <c r="V22" s="2">
        <f t="shared" si="7"/>
        <v>0</v>
      </c>
    </row>
    <row r="23" spans="1:23" x14ac:dyDescent="0.25">
      <c r="A23" s="4">
        <v>33</v>
      </c>
      <c r="B23" s="27" t="s">
        <v>364</v>
      </c>
      <c r="C23" s="4" t="s">
        <v>352</v>
      </c>
      <c r="D23" s="148" t="s">
        <v>291</v>
      </c>
      <c r="E23" s="6">
        <f>'#'!J25</f>
        <v>51</v>
      </c>
      <c r="F23" s="6">
        <f>'#'!K25</f>
        <v>4</v>
      </c>
      <c r="G23" s="6">
        <f>'#'!L25</f>
        <v>5</v>
      </c>
      <c r="H23" s="4">
        <f>'#'!V25</f>
        <v>14</v>
      </c>
      <c r="I23" s="4">
        <f>'#'!W25</f>
        <v>1</v>
      </c>
      <c r="J23" s="4">
        <f>'#'!X25</f>
        <v>2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4</v>
      </c>
      <c r="O23" s="4">
        <f>'#'!AU25</f>
        <v>0</v>
      </c>
      <c r="P23" s="4">
        <f>'#'!AV25</f>
        <v>0</v>
      </c>
      <c r="Q23" s="6">
        <f>'#'!BF25</f>
        <v>1</v>
      </c>
      <c r="R23" s="6">
        <f>'#'!BG25</f>
        <v>1</v>
      </c>
      <c r="S23" s="6">
        <f>'#'!BH25</f>
        <v>0</v>
      </c>
      <c r="T23" s="2">
        <f t="shared" si="5"/>
        <v>72</v>
      </c>
      <c r="U23" s="2">
        <f t="shared" si="6"/>
        <v>6</v>
      </c>
      <c r="V23" s="2">
        <f t="shared" si="7"/>
        <v>7</v>
      </c>
    </row>
    <row r="24" spans="1:23" x14ac:dyDescent="0.25">
      <c r="A24" s="4">
        <v>35</v>
      </c>
      <c r="B24" s="56" t="s">
        <v>355</v>
      </c>
      <c r="C24" s="4" t="s">
        <v>350</v>
      </c>
      <c r="D24" s="148" t="s">
        <v>303</v>
      </c>
      <c r="E24" s="6">
        <f>'#'!J26</f>
        <v>0</v>
      </c>
      <c r="F24" s="6">
        <f>'#'!K26</f>
        <v>0</v>
      </c>
      <c r="G24" s="6">
        <f>'#'!L26</f>
        <v>0</v>
      </c>
      <c r="H24" s="4">
        <f>'#'!V26</f>
        <v>0</v>
      </c>
      <c r="I24" s="4">
        <f>'#'!W26</f>
        <v>0</v>
      </c>
      <c r="J24" s="4">
        <f>'#'!X26</f>
        <v>0</v>
      </c>
      <c r="K24" s="6">
        <f>'#'!AH26</f>
        <v>1</v>
      </c>
      <c r="L24" s="6">
        <f>'#'!AI26</f>
        <v>0</v>
      </c>
      <c r="M24" s="6">
        <f>'#'!AJ26</f>
        <v>0</v>
      </c>
      <c r="N24" s="4">
        <f>'#'!AT26</f>
        <v>1</v>
      </c>
      <c r="O24" s="4">
        <f>'#'!AU26</f>
        <v>0</v>
      </c>
      <c r="P24" s="4">
        <f>'#'!AV26</f>
        <v>0</v>
      </c>
      <c r="Q24" s="6">
        <f>'#'!BF26</f>
        <v>0</v>
      </c>
      <c r="R24" s="6">
        <f>'#'!BG26</f>
        <v>0</v>
      </c>
      <c r="S24" s="6">
        <f>'#'!BH26</f>
        <v>0</v>
      </c>
      <c r="T24" s="2">
        <f t="shared" si="5"/>
        <v>2</v>
      </c>
      <c r="U24" s="2">
        <f t="shared" si="6"/>
        <v>0</v>
      </c>
      <c r="V24" s="2">
        <f t="shared" si="7"/>
        <v>0</v>
      </c>
      <c r="W24" t="s">
        <v>439</v>
      </c>
    </row>
    <row r="25" spans="1:23" x14ac:dyDescent="0.25">
      <c r="A25" s="4">
        <v>36</v>
      </c>
      <c r="B25" s="27" t="s">
        <v>349</v>
      </c>
      <c r="C25" s="4" t="s">
        <v>353</v>
      </c>
      <c r="D25" s="148" t="s">
        <v>313</v>
      </c>
      <c r="E25" s="6">
        <f>'#'!J27</f>
        <v>43</v>
      </c>
      <c r="F25" s="6">
        <f>'#'!K27</f>
        <v>5</v>
      </c>
      <c r="G25" s="6">
        <f>'#'!L27</f>
        <v>1</v>
      </c>
      <c r="H25" s="4">
        <f>'#'!V27</f>
        <v>14</v>
      </c>
      <c r="I25" s="4">
        <f>'#'!W27</f>
        <v>0</v>
      </c>
      <c r="J25" s="4">
        <f>'#'!X27</f>
        <v>2</v>
      </c>
      <c r="K25" s="6">
        <f>'#'!AH27</f>
        <v>3</v>
      </c>
      <c r="L25" s="6">
        <f>'#'!AI27</f>
        <v>0</v>
      </c>
      <c r="M25" s="6">
        <f>'#'!AJ27</f>
        <v>0</v>
      </c>
      <c r="N25" s="4">
        <f>'#'!AT27</f>
        <v>4</v>
      </c>
      <c r="O25" s="4">
        <f>'#'!AU27</f>
        <v>1</v>
      </c>
      <c r="P25" s="4">
        <f>'#'!AV27</f>
        <v>1</v>
      </c>
      <c r="Q25" s="6">
        <f>'#'!BF27</f>
        <v>1</v>
      </c>
      <c r="R25" s="6">
        <f>'#'!BG27</f>
        <v>0</v>
      </c>
      <c r="S25" s="6">
        <f>'#'!BH27</f>
        <v>0</v>
      </c>
      <c r="T25" s="2">
        <f t="shared" si="5"/>
        <v>65</v>
      </c>
      <c r="U25" s="2">
        <f t="shared" si="6"/>
        <v>6</v>
      </c>
      <c r="V25" s="2">
        <f t="shared" si="7"/>
        <v>4</v>
      </c>
    </row>
    <row r="26" spans="1:23" x14ac:dyDescent="0.25">
      <c r="A26" s="4">
        <v>39</v>
      </c>
      <c r="B26" s="4" t="s">
        <v>357</v>
      </c>
      <c r="C26" s="4" t="s">
        <v>353</v>
      </c>
      <c r="D26" s="148" t="s">
        <v>345</v>
      </c>
      <c r="E26" s="6">
        <f>'#'!J28</f>
        <v>4</v>
      </c>
      <c r="F26" s="6">
        <f>'#'!K28</f>
        <v>2</v>
      </c>
      <c r="G26" s="6">
        <f>'#'!L28</f>
        <v>0</v>
      </c>
      <c r="H26" s="4">
        <f>'#'!V28</f>
        <v>1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1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7</v>
      </c>
      <c r="U26" s="2">
        <f t="shared" si="6"/>
        <v>2</v>
      </c>
      <c r="V26" s="2">
        <f t="shared" si="7"/>
        <v>0</v>
      </c>
    </row>
    <row r="27" spans="1:23" x14ac:dyDescent="0.25">
      <c r="A27" s="56">
        <v>40</v>
      </c>
      <c r="B27" s="56" t="s">
        <v>355</v>
      </c>
      <c r="C27" s="28" t="s">
        <v>352</v>
      </c>
      <c r="D27" s="149" t="s">
        <v>341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>SUM(E27,H27,K27,N27,Q27)</f>
        <v>1</v>
      </c>
      <c r="U27" s="2">
        <f>SUM(F27,I27,L27,O27,R27)</f>
        <v>0</v>
      </c>
      <c r="V27" s="2">
        <f>SUM(G27,J27,M27,P27,S27)</f>
        <v>0</v>
      </c>
    </row>
    <row r="28" spans="1:23" x14ac:dyDescent="0.25">
      <c r="A28" s="4">
        <v>41</v>
      </c>
      <c r="B28" s="56" t="s">
        <v>355</v>
      </c>
      <c r="C28" s="4" t="s">
        <v>353</v>
      </c>
      <c r="D28" s="35" t="s">
        <v>277</v>
      </c>
      <c r="E28" s="6">
        <f>'#'!J30</f>
        <v>115</v>
      </c>
      <c r="F28" s="6">
        <f>'#'!K30</f>
        <v>15</v>
      </c>
      <c r="G28" s="6">
        <f>'#'!L30</f>
        <v>23</v>
      </c>
      <c r="H28" s="4">
        <f>'#'!V30</f>
        <v>37</v>
      </c>
      <c r="I28" s="4">
        <f>'#'!W30</f>
        <v>5</v>
      </c>
      <c r="J28" s="4">
        <f>'#'!X30</f>
        <v>5</v>
      </c>
      <c r="K28" s="6">
        <f>'#'!AH30</f>
        <v>2</v>
      </c>
      <c r="L28" s="6">
        <f>'#'!AI30</f>
        <v>0</v>
      </c>
      <c r="M28" s="6">
        <f>'#'!AJ30</f>
        <v>0</v>
      </c>
      <c r="N28" s="4">
        <f>'#'!AT30</f>
        <v>10</v>
      </c>
      <c r="O28" s="4">
        <f>'#'!AU30</f>
        <v>1</v>
      </c>
      <c r="P28" s="4">
        <f>'#'!AV30</f>
        <v>3</v>
      </c>
      <c r="Q28" s="6">
        <f>'#'!BF30</f>
        <v>2</v>
      </c>
      <c r="R28" s="6">
        <f>'#'!BG30</f>
        <v>0</v>
      </c>
      <c r="S28" s="6">
        <f>'#'!BH30</f>
        <v>0</v>
      </c>
      <c r="T28" s="2">
        <f t="shared" si="5"/>
        <v>166</v>
      </c>
      <c r="U28" s="2">
        <f t="shared" si="6"/>
        <v>21</v>
      </c>
      <c r="V28" s="2">
        <f t="shared" si="7"/>
        <v>31</v>
      </c>
    </row>
    <row r="29" spans="1:23" x14ac:dyDescent="0.25">
      <c r="A29" s="56">
        <v>43</v>
      </c>
      <c r="B29" s="56" t="s">
        <v>355</v>
      </c>
      <c r="C29" s="28" t="s">
        <v>354</v>
      </c>
      <c r="D29" s="148" t="s">
        <v>327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1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1</v>
      </c>
      <c r="O29" s="4">
        <f>'#'!AU31</f>
        <v>0</v>
      </c>
      <c r="P29" s="4">
        <f>'#'!AV31</f>
        <v>0</v>
      </c>
      <c r="Q29" s="6">
        <f>'#'!BF31</f>
        <v>0</v>
      </c>
      <c r="R29" s="6">
        <f>'#'!BG31</f>
        <v>0</v>
      </c>
      <c r="S29" s="6">
        <f>'#'!BH31</f>
        <v>0</v>
      </c>
      <c r="T29" s="2">
        <f t="shared" ref="T29:V30" si="8">SUM(E29,H29,K29,N29,Q29)</f>
        <v>2</v>
      </c>
      <c r="U29" s="2">
        <f t="shared" si="8"/>
        <v>0</v>
      </c>
      <c r="V29" s="2">
        <f t="shared" si="8"/>
        <v>0</v>
      </c>
    </row>
    <row r="30" spans="1:23" x14ac:dyDescent="0.25">
      <c r="A30" s="28">
        <v>44</v>
      </c>
      <c r="B30" s="56" t="s">
        <v>355</v>
      </c>
      <c r="C30" s="28" t="s">
        <v>353</v>
      </c>
      <c r="D30" s="148" t="s">
        <v>338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1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si="8"/>
        <v>2</v>
      </c>
      <c r="U30" s="2">
        <f t="shared" si="8"/>
        <v>0</v>
      </c>
      <c r="V30" s="2">
        <f t="shared" si="8"/>
        <v>0</v>
      </c>
    </row>
    <row r="31" spans="1:23" x14ac:dyDescent="0.25">
      <c r="A31" s="28">
        <v>45</v>
      </c>
      <c r="B31" s="56" t="s">
        <v>355</v>
      </c>
      <c r="C31" s="28" t="s">
        <v>353</v>
      </c>
      <c r="D31" s="148" t="s">
        <v>468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ref="T31:T38" si="9">SUM(E31,H31,K31,N31,Q31)</f>
        <v>1</v>
      </c>
      <c r="U31" s="2">
        <f t="shared" ref="U31:U38" si="10">SUM(F31,I31,L31,O31,R31)</f>
        <v>0</v>
      </c>
      <c r="V31" s="2">
        <f t="shared" ref="V31:V38" si="11">SUM(G31,J31,M31,P31,S31)</f>
        <v>0</v>
      </c>
    </row>
    <row r="32" spans="1:23" x14ac:dyDescent="0.25">
      <c r="A32" s="4">
        <v>46</v>
      </c>
      <c r="B32" s="4" t="s">
        <v>356</v>
      </c>
      <c r="C32" s="4" t="s">
        <v>354</v>
      </c>
      <c r="D32" s="34" t="s">
        <v>298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0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1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 t="shared" si="9"/>
        <v>1</v>
      </c>
      <c r="U32" s="2">
        <f t="shared" si="10"/>
        <v>0</v>
      </c>
      <c r="V32" s="2">
        <f t="shared" si="11"/>
        <v>0</v>
      </c>
      <c r="W32" t="s">
        <v>439</v>
      </c>
    </row>
    <row r="33" spans="1:23" x14ac:dyDescent="0.25">
      <c r="A33" s="56">
        <v>49</v>
      </c>
      <c r="B33" s="56" t="s">
        <v>355</v>
      </c>
      <c r="C33" s="4" t="s">
        <v>352</v>
      </c>
      <c r="D33" s="35" t="s">
        <v>297</v>
      </c>
      <c r="E33" s="6">
        <f>'#'!J35</f>
        <v>48</v>
      </c>
      <c r="F33" s="6">
        <f>'#'!K35</f>
        <v>1</v>
      </c>
      <c r="G33" s="6">
        <f>'#'!L35</f>
        <v>0</v>
      </c>
      <c r="H33" s="4">
        <f>'#'!V35</f>
        <v>20</v>
      </c>
      <c r="I33" s="4">
        <f>'#'!W35</f>
        <v>0</v>
      </c>
      <c r="J33" s="4">
        <f>'#'!X35</f>
        <v>3</v>
      </c>
      <c r="K33" s="6">
        <f>'#'!AH35</f>
        <v>4</v>
      </c>
      <c r="L33" s="6">
        <f>'#'!AI35</f>
        <v>0</v>
      </c>
      <c r="M33" s="6">
        <f>'#'!AJ35</f>
        <v>0</v>
      </c>
      <c r="N33" s="4">
        <f>'#'!AT35</f>
        <v>9</v>
      </c>
      <c r="O33" s="4">
        <f>'#'!AU35</f>
        <v>0</v>
      </c>
      <c r="P33" s="4">
        <f>'#'!AV35</f>
        <v>2</v>
      </c>
      <c r="Q33" s="6">
        <f>'#'!BF35</f>
        <v>1</v>
      </c>
      <c r="R33" s="6">
        <f>'#'!BG35</f>
        <v>0</v>
      </c>
      <c r="S33" s="6">
        <f>'#'!BH35</f>
        <v>1</v>
      </c>
      <c r="T33" s="2">
        <f t="shared" si="9"/>
        <v>82</v>
      </c>
      <c r="U33" s="2">
        <f t="shared" si="10"/>
        <v>1</v>
      </c>
      <c r="V33" s="2">
        <f t="shared" si="11"/>
        <v>6</v>
      </c>
    </row>
    <row r="34" spans="1:23" x14ac:dyDescent="0.25">
      <c r="A34" s="56">
        <v>53</v>
      </c>
      <c r="B34" s="56" t="s">
        <v>355</v>
      </c>
      <c r="C34" s="28" t="s">
        <v>354</v>
      </c>
      <c r="D34" s="148" t="s">
        <v>292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9"/>
        <v>1</v>
      </c>
      <c r="U34" s="2">
        <f t="shared" si="10"/>
        <v>0</v>
      </c>
      <c r="V34" s="2">
        <f t="shared" si="11"/>
        <v>0</v>
      </c>
      <c r="W34" t="s">
        <v>439</v>
      </c>
    </row>
    <row r="35" spans="1:23" x14ac:dyDescent="0.25">
      <c r="A35" s="56">
        <v>55</v>
      </c>
      <c r="B35" s="56" t="s">
        <v>355</v>
      </c>
      <c r="C35" s="56" t="s">
        <v>350</v>
      </c>
      <c r="D35" s="37" t="s">
        <v>301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9"/>
        <v>1</v>
      </c>
      <c r="U35" s="2">
        <f t="shared" si="10"/>
        <v>0</v>
      </c>
      <c r="V35" s="2">
        <f t="shared" si="11"/>
        <v>0</v>
      </c>
    </row>
    <row r="36" spans="1:23" x14ac:dyDescent="0.25">
      <c r="A36" s="56">
        <v>56</v>
      </c>
      <c r="B36" s="56" t="s">
        <v>355</v>
      </c>
      <c r="C36" s="28" t="s">
        <v>354</v>
      </c>
      <c r="D36" s="149" t="s">
        <v>322</v>
      </c>
      <c r="E36" s="6">
        <f>'#'!J38</f>
        <v>7</v>
      </c>
      <c r="F36" s="6">
        <f>'#'!K38</f>
        <v>1</v>
      </c>
      <c r="G36" s="6">
        <f>'#'!L38</f>
        <v>0</v>
      </c>
      <c r="H36" s="4">
        <f>'#'!V38</f>
        <v>3</v>
      </c>
      <c r="I36" s="4">
        <f>'#'!W38</f>
        <v>0</v>
      </c>
      <c r="J36" s="4">
        <f>'#'!X38</f>
        <v>0</v>
      </c>
      <c r="K36" s="6">
        <f>'#'!AH38</f>
        <v>2</v>
      </c>
      <c r="L36" s="6">
        <f>'#'!AI38</f>
        <v>0</v>
      </c>
      <c r="M36" s="6">
        <f>'#'!AJ38</f>
        <v>0</v>
      </c>
      <c r="N36" s="4">
        <f>'#'!AT38</f>
        <v>3</v>
      </c>
      <c r="O36" s="4">
        <f>'#'!AU38</f>
        <v>2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9"/>
        <v>15</v>
      </c>
      <c r="U36" s="2">
        <f t="shared" si="10"/>
        <v>3</v>
      </c>
      <c r="V36" s="2">
        <f t="shared" si="11"/>
        <v>0</v>
      </c>
    </row>
    <row r="37" spans="1:23" x14ac:dyDescent="0.25">
      <c r="A37" s="28">
        <v>71</v>
      </c>
      <c r="B37" s="56" t="s">
        <v>355</v>
      </c>
      <c r="C37" s="28" t="s">
        <v>354</v>
      </c>
      <c r="D37" s="148" t="s">
        <v>339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9"/>
        <v>1</v>
      </c>
      <c r="U37" s="2">
        <f t="shared" si="10"/>
        <v>0</v>
      </c>
      <c r="V37" s="2">
        <f t="shared" si="11"/>
        <v>0</v>
      </c>
    </row>
    <row r="38" spans="1:23" x14ac:dyDescent="0.25">
      <c r="A38" s="28">
        <v>89</v>
      </c>
      <c r="B38" s="56" t="s">
        <v>355</v>
      </c>
      <c r="C38" s="28" t="s">
        <v>352</v>
      </c>
      <c r="D38" s="148" t="s">
        <v>333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3</v>
      </c>
      <c r="L38" s="6">
        <f>'#'!AI40</f>
        <v>0</v>
      </c>
      <c r="M38" s="6">
        <f>'#'!AJ40</f>
        <v>0</v>
      </c>
      <c r="N38" s="4">
        <f>'#'!AT40</f>
        <v>1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9"/>
        <v>5</v>
      </c>
      <c r="U38" s="2">
        <f t="shared" si="10"/>
        <v>0</v>
      </c>
      <c r="V38" s="2">
        <f t="shared" si="11"/>
        <v>0</v>
      </c>
    </row>
    <row r="40" spans="1:23" x14ac:dyDescent="0.25">
      <c r="F40" t="s">
        <v>308</v>
      </c>
    </row>
  </sheetData>
  <autoFilter ref="A3:U38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8 V4:V38">
    <cfRule type="cellIs" dxfId="37" priority="20" operator="greaterThan">
      <formula>396</formula>
    </cfRule>
  </conditionalFormatting>
  <conditionalFormatting sqref="U4:U38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T4:T38 V4:V38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3" t="s">
        <v>4</v>
      </c>
      <c r="E2" s="213"/>
      <c r="F2" s="214" t="s">
        <v>6</v>
      </c>
      <c r="G2" s="214"/>
      <c r="H2" s="213" t="s">
        <v>108</v>
      </c>
      <c r="I2" s="213"/>
      <c r="J2" s="214" t="s">
        <v>110</v>
      </c>
      <c r="K2" s="214"/>
      <c r="L2" s="213" t="s">
        <v>39</v>
      </c>
      <c r="M2" s="213"/>
      <c r="N2" s="206" t="s">
        <v>7</v>
      </c>
      <c r="O2" s="206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3" t="s">
        <v>4</v>
      </c>
      <c r="E2" s="213"/>
      <c r="F2" s="214" t="s">
        <v>113</v>
      </c>
      <c r="G2" s="214"/>
      <c r="H2" s="213" t="s">
        <v>108</v>
      </c>
      <c r="I2" s="213"/>
      <c r="J2" s="214" t="s">
        <v>110</v>
      </c>
      <c r="K2" s="214"/>
      <c r="L2" s="213" t="s">
        <v>39</v>
      </c>
      <c r="M2" s="213"/>
      <c r="N2" s="206" t="s">
        <v>7</v>
      </c>
      <c r="O2" s="206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3" t="s">
        <v>4</v>
      </c>
      <c r="E2" s="213"/>
      <c r="F2" s="214" t="s">
        <v>113</v>
      </c>
      <c r="G2" s="214"/>
      <c r="H2" s="213" t="s">
        <v>108</v>
      </c>
      <c r="I2" s="213"/>
      <c r="J2" s="214" t="s">
        <v>110</v>
      </c>
      <c r="K2" s="214"/>
      <c r="L2" s="213" t="s">
        <v>39</v>
      </c>
      <c r="M2" s="213"/>
      <c r="N2" s="206" t="s">
        <v>7</v>
      </c>
      <c r="O2" s="206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13" t="s">
        <v>4</v>
      </c>
      <c r="E2" s="213"/>
      <c r="F2" s="214" t="s">
        <v>113</v>
      </c>
      <c r="G2" s="214"/>
      <c r="H2" s="213" t="s">
        <v>108</v>
      </c>
      <c r="I2" s="213"/>
      <c r="J2" s="214" t="s">
        <v>110</v>
      </c>
      <c r="K2" s="214"/>
      <c r="L2" s="213" t="s">
        <v>39</v>
      </c>
      <c r="M2" s="213"/>
      <c r="N2" s="206" t="s">
        <v>7</v>
      </c>
      <c r="O2" s="206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113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06" t="s">
        <v>7</v>
      </c>
      <c r="N2" s="206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113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06" t="s">
        <v>7</v>
      </c>
      <c r="N2" s="206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113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06" t="s">
        <v>7</v>
      </c>
      <c r="N2" s="206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120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06" t="s">
        <v>7</v>
      </c>
      <c r="N2" s="206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120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06" t="s">
        <v>7</v>
      </c>
      <c r="N2" s="206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120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06" t="s">
        <v>7</v>
      </c>
      <c r="N2" s="206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8"/>
  <sheetViews>
    <sheetView zoomScale="75" zoomScaleNormal="75" zoomScalePageLayoutView="110" workbookViewId="0">
      <selection activeCell="B31" sqref="B3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3" t="s">
        <v>4</v>
      </c>
      <c r="D2" s="204"/>
      <c r="E2" s="205"/>
      <c r="F2" s="208" t="s">
        <v>120</v>
      </c>
      <c r="G2" s="209"/>
      <c r="H2" s="210"/>
      <c r="I2" s="203" t="s">
        <v>108</v>
      </c>
      <c r="J2" s="204"/>
      <c r="K2" s="205"/>
      <c r="L2" s="208" t="s">
        <v>110</v>
      </c>
      <c r="M2" s="209"/>
      <c r="N2" s="210"/>
      <c r="O2" s="203" t="s">
        <v>39</v>
      </c>
      <c r="P2" s="204"/>
      <c r="Q2" s="205"/>
      <c r="R2" s="206" t="s">
        <v>7</v>
      </c>
      <c r="S2" s="206"/>
      <c r="T2" s="206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6</v>
      </c>
      <c r="D4" s="6">
        <f>'Premier League'!D4</f>
        <v>0</v>
      </c>
      <c r="E4" s="6">
        <f>'Premier League'!E4</f>
        <v>0</v>
      </c>
      <c r="F4" s="4">
        <f>Europe!C4</f>
        <v>1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8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4" si="1">SUM(C5,F5,I5,L5,O5)</f>
        <v>0</v>
      </c>
      <c r="S5" s="2">
        <f t="shared" ref="S5:S14" si="2">SUM(D5,G5,J5,M5,P5)</f>
        <v>0</v>
      </c>
      <c r="T5" s="2">
        <f t="shared" ref="T5:T14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5</v>
      </c>
      <c r="D7" s="6">
        <f>'Premier League'!D7</f>
        <v>0</v>
      </c>
      <c r="E7" s="6">
        <f>'Premier League'!E7</f>
        <v>2</v>
      </c>
      <c r="F7" s="4">
        <f>Europe!C7</f>
        <v>1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7</v>
      </c>
      <c r="S7" s="2">
        <f t="shared" si="2"/>
        <v>0</v>
      </c>
      <c r="T7" s="2">
        <f t="shared" si="3"/>
        <v>2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3</v>
      </c>
      <c r="D8" s="6">
        <f>'Premier League'!D8</f>
        <v>0</v>
      </c>
      <c r="E8" s="6">
        <f>'Premier League'!E8</f>
        <v>0</v>
      </c>
      <c r="F8" s="4">
        <f>Europe!C8</f>
        <v>1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5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6</v>
      </c>
      <c r="D9" s="6">
        <f>'Premier League'!D9</f>
        <v>0</v>
      </c>
      <c r="E9" s="6">
        <f>'Premier League'!E9</f>
        <v>0</v>
      </c>
      <c r="F9" s="4">
        <f>Europe!C9</f>
        <v>1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1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9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6</v>
      </c>
      <c r="D10" s="6">
        <f>'Premier League'!D10</f>
        <v>3</v>
      </c>
      <c r="E10" s="6">
        <f>'Premier League'!E10</f>
        <v>0</v>
      </c>
      <c r="F10" s="4">
        <f>Europe!C10</f>
        <v>1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8</v>
      </c>
      <c r="S10" s="2">
        <f t="shared" si="2"/>
        <v>3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6</v>
      </c>
      <c r="D11" s="6">
        <f>'Premier League'!D11</f>
        <v>2</v>
      </c>
      <c r="E11" s="6">
        <f>'Premier League'!E11</f>
        <v>0</v>
      </c>
      <c r="F11" s="4">
        <f>Europe!C11</f>
        <v>1</v>
      </c>
      <c r="G11" s="4">
        <f>Europe!D11</f>
        <v>1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1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9</v>
      </c>
      <c r="S11" s="2">
        <f t="shared" si="2"/>
        <v>4</v>
      </c>
      <c r="T11" s="2">
        <f t="shared" si="3"/>
        <v>0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4</v>
      </c>
      <c r="D12" s="6">
        <f>'Premier League'!D12</f>
        <v>0</v>
      </c>
      <c r="E12" s="6">
        <f>'Premier League'!E12</f>
        <v>0</v>
      </c>
      <c r="F12" s="4">
        <f>Europe!C12</f>
        <v>1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1</v>
      </c>
      <c r="M12" s="4">
        <f>'League Cup'!D12</f>
        <v>0</v>
      </c>
      <c r="N12" s="4">
        <f>'League Cup'!E12</f>
        <v>1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7</v>
      </c>
      <c r="S12" s="2">
        <f t="shared" si="2"/>
        <v>0</v>
      </c>
      <c r="T12" s="2">
        <f t="shared" si="3"/>
        <v>1</v>
      </c>
      <c r="V12" s="55"/>
    </row>
    <row r="13" spans="1:22" x14ac:dyDescent="0.25">
      <c r="A13" s="27">
        <v>12</v>
      </c>
      <c r="B13" s="35" t="s">
        <v>276</v>
      </c>
      <c r="C13" s="6">
        <f>'Premier League'!C13</f>
        <v>3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3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13</v>
      </c>
      <c r="B14" s="149" t="s">
        <v>312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1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1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14</v>
      </c>
      <c r="B15" s="149" t="s">
        <v>317</v>
      </c>
      <c r="C15" s="6">
        <f>'Premier League'!C15</f>
        <v>3</v>
      </c>
      <c r="D15" s="6">
        <f>'Premier League'!D15</f>
        <v>0</v>
      </c>
      <c r="E15" s="6">
        <f>'Premier League'!E15</f>
        <v>0</v>
      </c>
      <c r="F15" s="4">
        <f>Europe!C15</f>
        <v>1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1</v>
      </c>
      <c r="M15" s="4">
        <f>'League Cup'!D15</f>
        <v>0</v>
      </c>
      <c r="N15" s="4">
        <f>'League Cup'!E15</f>
        <v>0</v>
      </c>
      <c r="O15" s="6">
        <f>'Other (CS)'!C14</f>
        <v>1</v>
      </c>
      <c r="P15" s="6">
        <f>'Other (CS)'!D14</f>
        <v>0</v>
      </c>
      <c r="Q15" s="6">
        <f>'Other (CS)'!E14</f>
        <v>0</v>
      </c>
      <c r="R15" s="2">
        <f>SUM(C15,F15,I15,L15,O15)</f>
        <v>6</v>
      </c>
      <c r="S15" s="2">
        <f>SUM(D15,G15,J15,M15,P15)</f>
        <v>0</v>
      </c>
      <c r="T15" s="2">
        <f>SUM(E15,H15,K15,N15,Q15)</f>
        <v>0</v>
      </c>
      <c r="V15" s="55"/>
    </row>
    <row r="16" spans="1:22" x14ac:dyDescent="0.25">
      <c r="A16" s="27">
        <v>15</v>
      </c>
      <c r="B16" s="149" t="s">
        <v>431</v>
      </c>
      <c r="C16" s="6">
        <f>'Premier League'!C16</f>
        <v>5</v>
      </c>
      <c r="D16" s="6">
        <f>'Premier League'!D16</f>
        <v>0</v>
      </c>
      <c r="E16" s="6">
        <f>'Premier League'!E16</f>
        <v>0</v>
      </c>
      <c r="F16" s="4">
        <f>Europe!C16</f>
        <v>1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1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ref="R16:R28" si="4">SUM(C16,F16,I16,L16,O16)</f>
        <v>7</v>
      </c>
      <c r="S16" s="2">
        <f t="shared" ref="S16:S28" si="5">SUM(D16,G16,J16,M16,P16)</f>
        <v>0</v>
      </c>
      <c r="T16" s="2">
        <f t="shared" ref="T16:T28" si="6">SUM(E16,H16,K16,N16,Q16)</f>
        <v>0</v>
      </c>
      <c r="V16" s="55"/>
    </row>
    <row r="17" spans="1:22" x14ac:dyDescent="0.25">
      <c r="A17" s="27">
        <v>17</v>
      </c>
      <c r="B17" s="148" t="s">
        <v>343</v>
      </c>
      <c r="C17" s="6">
        <f>'Premier League'!C17</f>
        <v>5</v>
      </c>
      <c r="D17" s="6">
        <f>'Premier League'!D17</f>
        <v>0</v>
      </c>
      <c r="E17" s="6">
        <f>'Premier League'!E17</f>
        <v>1</v>
      </c>
      <c r="F17" s="4">
        <f>Europe!C17</f>
        <v>1</v>
      </c>
      <c r="G17" s="4">
        <f>Europe!D17</f>
        <v>0</v>
      </c>
      <c r="H17" s="4">
        <f>Europe!E17</f>
        <v>1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1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2</v>
      </c>
      <c r="R17" s="2">
        <f t="shared" si="4"/>
        <v>8</v>
      </c>
      <c r="S17" s="2">
        <f t="shared" si="5"/>
        <v>0</v>
      </c>
      <c r="T17" s="2">
        <f t="shared" si="6"/>
        <v>4</v>
      </c>
      <c r="V17" s="55"/>
    </row>
    <row r="18" spans="1:22" x14ac:dyDescent="0.25">
      <c r="A18" s="27">
        <v>20</v>
      </c>
      <c r="B18" s="148" t="s">
        <v>315</v>
      </c>
      <c r="C18" s="6">
        <f>'Premier League'!C18</f>
        <v>3</v>
      </c>
      <c r="D18" s="6">
        <f>'Premier League'!D18</f>
        <v>0</v>
      </c>
      <c r="E18" s="6">
        <f>'Premier League'!E18</f>
        <v>0</v>
      </c>
      <c r="F18" s="4">
        <f>Europe!C18</f>
        <v>1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1</v>
      </c>
      <c r="M18" s="4">
        <f>'League Cup'!D18</f>
        <v>1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0</v>
      </c>
      <c r="R18" s="2">
        <f t="shared" si="4"/>
        <v>6</v>
      </c>
      <c r="S18" s="2">
        <f t="shared" si="5"/>
        <v>1</v>
      </c>
      <c r="T18" s="2">
        <f t="shared" si="6"/>
        <v>0</v>
      </c>
    </row>
    <row r="19" spans="1:22" x14ac:dyDescent="0.25">
      <c r="A19" s="28">
        <v>22</v>
      </c>
      <c r="B19" s="40" t="s">
        <v>263</v>
      </c>
      <c r="C19" s="6">
        <f>'Premier League'!C19</f>
        <v>0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0</v>
      </c>
      <c r="P19" s="6">
        <f>'Other (CS)'!D18</f>
        <v>0</v>
      </c>
      <c r="Q19" s="6">
        <f>'Other (CS)'!E18</f>
        <v>0</v>
      </c>
      <c r="R19" s="2">
        <f t="shared" si="4"/>
        <v>0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23</v>
      </c>
      <c r="B20" s="37" t="s">
        <v>293</v>
      </c>
      <c r="C20" s="6">
        <f>'Premier League'!C20</f>
        <v>6</v>
      </c>
      <c r="D20" s="6">
        <f>'Premier League'!D20</f>
        <v>0</v>
      </c>
      <c r="E20" s="6">
        <f>'Premier League'!E20</f>
        <v>0</v>
      </c>
      <c r="F20" s="4">
        <f>Europe!C20</f>
        <v>1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1</v>
      </c>
      <c r="M20" s="4">
        <f>'League Cup'!D20</f>
        <v>1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8</v>
      </c>
      <c r="S20" s="2">
        <f t="shared" si="5"/>
        <v>1</v>
      </c>
      <c r="T20" s="2">
        <f t="shared" si="6"/>
        <v>0</v>
      </c>
    </row>
    <row r="21" spans="1:22" x14ac:dyDescent="0.25">
      <c r="A21" s="28">
        <v>29</v>
      </c>
      <c r="B21" s="148" t="s">
        <v>275</v>
      </c>
      <c r="C21" s="6">
        <f>'Premier League'!C21</f>
        <v>6</v>
      </c>
      <c r="D21" s="6">
        <f>'Premier League'!D21</f>
        <v>2</v>
      </c>
      <c r="E21" s="6">
        <f>'Premier League'!E21</f>
        <v>0</v>
      </c>
      <c r="F21" s="4">
        <f>Europe!C21</f>
        <v>1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1</v>
      </c>
      <c r="P21" s="6">
        <f>'Other (CS)'!D20</f>
        <v>1</v>
      </c>
      <c r="Q21" s="6">
        <f>'Other (CS)'!E20</f>
        <v>0</v>
      </c>
      <c r="R21" s="2">
        <f t="shared" si="4"/>
        <v>8</v>
      </c>
      <c r="S21" s="2">
        <f t="shared" si="5"/>
        <v>3</v>
      </c>
      <c r="T21" s="2">
        <f t="shared" si="6"/>
        <v>0</v>
      </c>
      <c r="V21" s="55"/>
    </row>
    <row r="22" spans="1:22" x14ac:dyDescent="0.25">
      <c r="A22" s="28">
        <v>30</v>
      </c>
      <c r="B22" s="148" t="s">
        <v>344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0</v>
      </c>
      <c r="S22" s="2">
        <f t="shared" si="5"/>
        <v>0</v>
      </c>
      <c r="T22" s="2">
        <f t="shared" si="6"/>
        <v>0</v>
      </c>
      <c r="V22" s="55"/>
    </row>
    <row r="23" spans="1:22" x14ac:dyDescent="0.25">
      <c r="A23" s="28">
        <v>33</v>
      </c>
      <c r="B23" s="148" t="s">
        <v>291</v>
      </c>
      <c r="C23" s="6">
        <f>'Premier League'!C23</f>
        <v>6</v>
      </c>
      <c r="D23" s="6">
        <f>'Premier League'!D23</f>
        <v>1</v>
      </c>
      <c r="E23" s="6">
        <f>'Premier League'!E23</f>
        <v>2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1</v>
      </c>
      <c r="P23" s="6">
        <f>'Other (CS)'!D22</f>
        <v>1</v>
      </c>
      <c r="Q23" s="6">
        <f>'Other (CS)'!E22</f>
        <v>0</v>
      </c>
      <c r="R23" s="2">
        <f t="shared" si="4"/>
        <v>7</v>
      </c>
      <c r="S23" s="2">
        <f t="shared" si="5"/>
        <v>2</v>
      </c>
      <c r="T23" s="2">
        <f t="shared" si="6"/>
        <v>2</v>
      </c>
      <c r="V23" s="55"/>
    </row>
    <row r="24" spans="1:22" x14ac:dyDescent="0.25">
      <c r="A24" s="27">
        <v>35</v>
      </c>
      <c r="B24" s="148" t="s">
        <v>303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7">
        <v>36</v>
      </c>
      <c r="B25" s="148" t="s">
        <v>313</v>
      </c>
      <c r="C25" s="6">
        <f>'Premier League'!C25</f>
        <v>5</v>
      </c>
      <c r="D25" s="6">
        <f>'Premier League'!D25</f>
        <v>0</v>
      </c>
      <c r="E25" s="6">
        <f>'Premier League'!E25</f>
        <v>0</v>
      </c>
      <c r="F25" s="4">
        <f>Europe!C25</f>
        <v>1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1</v>
      </c>
      <c r="M25" s="4">
        <f>'League Cup'!D25</f>
        <v>0</v>
      </c>
      <c r="N25" s="4">
        <f>'League Cup'!E25</f>
        <v>1</v>
      </c>
      <c r="O25" s="6">
        <f>'Other (CS)'!C24</f>
        <v>1</v>
      </c>
      <c r="P25" s="6">
        <f>'Other (CS)'!D24</f>
        <v>0</v>
      </c>
      <c r="Q25" s="6">
        <f>'Other (CS)'!E24</f>
        <v>0</v>
      </c>
      <c r="R25" s="2">
        <f t="shared" si="4"/>
        <v>8</v>
      </c>
      <c r="S25" s="2">
        <f t="shared" si="5"/>
        <v>0</v>
      </c>
      <c r="T25" s="2">
        <f t="shared" si="6"/>
        <v>1</v>
      </c>
      <c r="V25" s="55"/>
    </row>
    <row r="26" spans="1:22" x14ac:dyDescent="0.25">
      <c r="A26" s="27">
        <v>39</v>
      </c>
      <c r="B26" s="148" t="s">
        <v>345</v>
      </c>
      <c r="C26" s="6">
        <f>'Premier League'!C26</f>
        <v>4</v>
      </c>
      <c r="D26" s="6">
        <f>'Premier League'!D26</f>
        <v>2</v>
      </c>
      <c r="E26" s="6">
        <f>'Premier League'!E26</f>
        <v>0</v>
      </c>
      <c r="F26" s="4">
        <f>Europe!C26</f>
        <v>1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1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7</v>
      </c>
      <c r="S26" s="2">
        <f t="shared" si="5"/>
        <v>2</v>
      </c>
      <c r="T26" s="2">
        <f t="shared" si="6"/>
        <v>0</v>
      </c>
      <c r="V26" s="55"/>
    </row>
    <row r="27" spans="1:22" x14ac:dyDescent="0.25">
      <c r="A27" s="27">
        <v>40</v>
      </c>
      <c r="B27" s="149" t="s">
        <v>341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>SUM(C27,F27,I27,L27,O27)</f>
        <v>0</v>
      </c>
      <c r="S27" s="2">
        <f>SUM(D27,G27,J27,M27,P27)</f>
        <v>0</v>
      </c>
      <c r="T27" s="2">
        <f>SUM(E27,H27,K27,N27,Q27)</f>
        <v>0</v>
      </c>
    </row>
    <row r="28" spans="1:22" x14ac:dyDescent="0.25">
      <c r="A28" s="27">
        <v>41</v>
      </c>
      <c r="B28" s="35" t="s">
        <v>277</v>
      </c>
      <c r="C28" s="6">
        <f>'Premier League'!C28</f>
        <v>6</v>
      </c>
      <c r="D28" s="6">
        <f>'Premier League'!D28</f>
        <v>0</v>
      </c>
      <c r="E28" s="6">
        <f>'Premier League'!E28</f>
        <v>3</v>
      </c>
      <c r="F28" s="4">
        <f>Europe!C28</f>
        <v>1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4"/>
        <v>8</v>
      </c>
      <c r="S28" s="2">
        <f t="shared" si="5"/>
        <v>0</v>
      </c>
      <c r="T28" s="2">
        <f t="shared" si="6"/>
        <v>3</v>
      </c>
      <c r="V28" s="55"/>
    </row>
    <row r="29" spans="1:22" x14ac:dyDescent="0.25">
      <c r="A29" s="28">
        <v>43</v>
      </c>
      <c r="B29" s="148" t="s">
        <v>327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0</v>
      </c>
      <c r="P29" s="6">
        <f>'Other (CS)'!D28</f>
        <v>0</v>
      </c>
      <c r="Q29" s="6">
        <f>'Other (CS)'!E28</f>
        <v>0</v>
      </c>
      <c r="R29" s="2">
        <f t="shared" ref="R29:T30" si="7">SUM(C29,F29,I29,L29,O29)</f>
        <v>0</v>
      </c>
      <c r="S29" s="2">
        <f t="shared" si="7"/>
        <v>0</v>
      </c>
      <c r="T29" s="2">
        <f t="shared" si="7"/>
        <v>0</v>
      </c>
    </row>
    <row r="30" spans="1:22" x14ac:dyDescent="0.25">
      <c r="A30" s="28">
        <v>44</v>
      </c>
      <c r="B30" s="148" t="s">
        <v>338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1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si="7"/>
        <v>1</v>
      </c>
      <c r="S30" s="2">
        <f t="shared" si="7"/>
        <v>0</v>
      </c>
      <c r="T30" s="2">
        <f t="shared" si="7"/>
        <v>0</v>
      </c>
    </row>
    <row r="31" spans="1:22" x14ac:dyDescent="0.25">
      <c r="A31" s="28">
        <v>45</v>
      </c>
      <c r="B31" s="148" t="s">
        <v>468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1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ref="R31:R38" si="8">SUM(C31,F31,I31,L31,O31)</f>
        <v>1</v>
      </c>
      <c r="S31" s="2">
        <f t="shared" ref="S31:S38" si="9">SUM(D31,G31,J31,M31,P31)</f>
        <v>0</v>
      </c>
      <c r="T31" s="2">
        <f t="shared" ref="T31:T38" si="10">SUM(E31,H31,K31,N31,Q31)</f>
        <v>0</v>
      </c>
    </row>
    <row r="32" spans="1:22" x14ac:dyDescent="0.25">
      <c r="A32" s="27">
        <v>46</v>
      </c>
      <c r="B32" s="34" t="s">
        <v>298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 t="shared" si="8"/>
        <v>0</v>
      </c>
      <c r="S32" s="2">
        <f t="shared" si="9"/>
        <v>0</v>
      </c>
      <c r="T32" s="2">
        <f t="shared" si="10"/>
        <v>0</v>
      </c>
      <c r="V32" s="55"/>
    </row>
    <row r="33" spans="1:20" x14ac:dyDescent="0.25">
      <c r="A33" s="28">
        <v>49</v>
      </c>
      <c r="B33" s="35" t="s">
        <v>297</v>
      </c>
      <c r="C33" s="6">
        <f>'Premier League'!C33</f>
        <v>5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1</v>
      </c>
      <c r="M33" s="4">
        <f>'League Cup'!D33</f>
        <v>0</v>
      </c>
      <c r="N33" s="4">
        <f>'League Cup'!E33</f>
        <v>0</v>
      </c>
      <c r="O33" s="6">
        <f>'Other (CS)'!C32</f>
        <v>1</v>
      </c>
      <c r="P33" s="6">
        <f>'Other (CS)'!D32</f>
        <v>0</v>
      </c>
      <c r="Q33" s="6">
        <f>'Other (CS)'!E32</f>
        <v>1</v>
      </c>
      <c r="R33" s="2">
        <f t="shared" si="8"/>
        <v>7</v>
      </c>
      <c r="S33" s="2">
        <f t="shared" si="9"/>
        <v>0</v>
      </c>
      <c r="T33" s="2">
        <f t="shared" si="10"/>
        <v>1</v>
      </c>
    </row>
    <row r="34" spans="1:20" x14ac:dyDescent="0.25">
      <c r="A34" s="28">
        <v>53</v>
      </c>
      <c r="B34" s="148" t="s">
        <v>292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8"/>
        <v>0</v>
      </c>
      <c r="S34" s="2">
        <f t="shared" si="9"/>
        <v>0</v>
      </c>
      <c r="T34" s="2">
        <f t="shared" si="10"/>
        <v>0</v>
      </c>
    </row>
    <row r="35" spans="1:20" x14ac:dyDescent="0.25">
      <c r="A35" s="28">
        <v>55</v>
      </c>
      <c r="B35" s="37" t="s">
        <v>301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8"/>
        <v>0</v>
      </c>
      <c r="S35" s="2">
        <f t="shared" si="9"/>
        <v>0</v>
      </c>
      <c r="T35" s="2">
        <f t="shared" si="10"/>
        <v>0</v>
      </c>
    </row>
    <row r="36" spans="1:20" x14ac:dyDescent="0.25">
      <c r="A36" s="28">
        <v>56</v>
      </c>
      <c r="B36" s="149" t="s">
        <v>322</v>
      </c>
      <c r="C36" s="6">
        <f>'Premier League'!C36</f>
        <v>1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1</v>
      </c>
      <c r="M36" s="4">
        <f>'League Cup'!D36</f>
        <v>2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8"/>
        <v>2</v>
      </c>
      <c r="S36" s="2">
        <f t="shared" si="9"/>
        <v>2</v>
      </c>
      <c r="T36" s="2">
        <f t="shared" si="10"/>
        <v>0</v>
      </c>
    </row>
    <row r="37" spans="1:20" x14ac:dyDescent="0.25">
      <c r="A37" s="28">
        <v>71</v>
      </c>
      <c r="B37" s="148" t="s">
        <v>339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8"/>
        <v>0</v>
      </c>
      <c r="S37" s="2">
        <f t="shared" si="9"/>
        <v>0</v>
      </c>
      <c r="T37" s="2">
        <f t="shared" si="10"/>
        <v>0</v>
      </c>
    </row>
    <row r="38" spans="1:20" x14ac:dyDescent="0.25">
      <c r="A38" s="28">
        <v>89</v>
      </c>
      <c r="B38" s="148" t="s">
        <v>333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1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8"/>
        <v>1</v>
      </c>
      <c r="S38" s="2">
        <f t="shared" si="9"/>
        <v>0</v>
      </c>
      <c r="T38" s="2">
        <f t="shared" si="10"/>
        <v>0</v>
      </c>
    </row>
  </sheetData>
  <autoFilter ref="A3:S18" xr:uid="{00000000-0009-0000-0000-000002000000}">
    <sortState xmlns:xlrd2="http://schemas.microsoft.com/office/spreadsheetml/2017/richdata2" ref="A4:S20">
      <sortCondition ref="A3:A18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8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AA19" sqref="AA19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3" t="s">
        <v>4</v>
      </c>
      <c r="F1" s="204"/>
      <c r="G1" s="205"/>
      <c r="H1" s="208" t="s">
        <v>120</v>
      </c>
      <c r="I1" s="209"/>
      <c r="J1" s="210"/>
      <c r="K1" s="203" t="s">
        <v>108</v>
      </c>
      <c r="L1" s="204"/>
      <c r="M1" s="205"/>
      <c r="N1" s="208" t="s">
        <v>110</v>
      </c>
      <c r="O1" s="209"/>
      <c r="P1" s="210"/>
      <c r="Q1" s="203" t="s">
        <v>39</v>
      </c>
      <c r="R1" s="204"/>
      <c r="S1" s="205"/>
      <c r="T1" s="206" t="s">
        <v>7</v>
      </c>
      <c r="U1" s="206"/>
      <c r="V1" s="206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5"/>
      <c r="H6" s="31">
        <v>43</v>
      </c>
      <c r="I6" s="31">
        <v>4</v>
      </c>
      <c r="J6" s="31"/>
      <c r="K6" s="6">
        <v>16</v>
      </c>
      <c r="L6" s="6">
        <v>0</v>
      </c>
      <c r="M6" s="175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11</v>
      </c>
      <c r="B7" s="28" t="s">
        <v>357</v>
      </c>
      <c r="C7" s="28" t="s">
        <v>354</v>
      </c>
      <c r="D7" s="37" t="s">
        <v>188</v>
      </c>
      <c r="E7" s="6">
        <v>191</v>
      </c>
      <c r="F7" s="6">
        <v>41</v>
      </c>
      <c r="G7" s="175">
        <v>24</v>
      </c>
      <c r="H7" s="31">
        <v>53</v>
      </c>
      <c r="I7" s="31">
        <v>13</v>
      </c>
      <c r="J7" s="31">
        <v>8</v>
      </c>
      <c r="K7" s="6">
        <v>13</v>
      </c>
      <c r="L7" s="6">
        <v>4</v>
      </c>
      <c r="M7" s="175">
        <v>3</v>
      </c>
      <c r="N7" s="31">
        <v>20</v>
      </c>
      <c r="O7" s="31">
        <v>4</v>
      </c>
      <c r="P7" s="31">
        <v>1</v>
      </c>
      <c r="Q7" s="6">
        <v>1</v>
      </c>
      <c r="R7" s="108">
        <v>0</v>
      </c>
      <c r="S7" s="108">
        <v>0</v>
      </c>
      <c r="T7" s="2">
        <v>278</v>
      </c>
      <c r="U7" s="2">
        <v>62</v>
      </c>
      <c r="V7" s="2">
        <v>70</v>
      </c>
      <c r="W7" s="55"/>
    </row>
    <row r="8" spans="1:23" x14ac:dyDescent="0.25">
      <c r="A8" s="28">
        <v>10</v>
      </c>
      <c r="B8" s="28" t="s">
        <v>363</v>
      </c>
      <c r="C8" s="28" t="s">
        <v>353</v>
      </c>
      <c r="D8" s="37" t="s">
        <v>17</v>
      </c>
      <c r="E8" s="6">
        <v>184</v>
      </c>
      <c r="F8" s="6">
        <v>33</v>
      </c>
      <c r="G8" s="175"/>
      <c r="H8" s="31">
        <v>48</v>
      </c>
      <c r="I8" s="31">
        <v>9</v>
      </c>
      <c r="J8" s="31"/>
      <c r="K8" s="6">
        <v>17</v>
      </c>
      <c r="L8" s="6">
        <v>2</v>
      </c>
      <c r="M8" s="175"/>
      <c r="N8" s="31">
        <v>4</v>
      </c>
      <c r="O8" s="31">
        <v>0</v>
      </c>
      <c r="P8" s="31"/>
      <c r="Q8" s="6">
        <v>1</v>
      </c>
      <c r="R8" s="108">
        <v>0</v>
      </c>
      <c r="S8" s="108"/>
      <c r="T8" s="2">
        <v>254</v>
      </c>
      <c r="U8" s="2">
        <v>44</v>
      </c>
      <c r="V8" s="2">
        <v>34</v>
      </c>
    </row>
    <row r="9" spans="1:23" x14ac:dyDescent="0.25">
      <c r="A9" s="27">
        <v>12</v>
      </c>
      <c r="B9" s="27" t="s">
        <v>351</v>
      </c>
      <c r="C9" s="27" t="s">
        <v>354</v>
      </c>
      <c r="D9" s="35" t="s">
        <v>18</v>
      </c>
      <c r="E9" s="6">
        <v>179</v>
      </c>
      <c r="F9" s="6">
        <v>73</v>
      </c>
      <c r="G9" s="175"/>
      <c r="H9" s="30">
        <v>38</v>
      </c>
      <c r="I9" s="30">
        <v>16</v>
      </c>
      <c r="J9" s="30"/>
      <c r="K9" s="6">
        <v>23</v>
      </c>
      <c r="L9" s="6">
        <v>13</v>
      </c>
      <c r="M9" s="175"/>
      <c r="N9" s="30">
        <v>9</v>
      </c>
      <c r="O9" s="30">
        <v>2</v>
      </c>
      <c r="P9" s="30"/>
      <c r="Q9" s="6">
        <v>3</v>
      </c>
      <c r="R9" s="108">
        <v>1</v>
      </c>
      <c r="S9" s="108"/>
      <c r="T9" s="2">
        <v>253</v>
      </c>
      <c r="U9" s="2">
        <v>105</v>
      </c>
      <c r="V9" s="2">
        <v>17</v>
      </c>
    </row>
    <row r="10" spans="1:23" x14ac:dyDescent="0.25">
      <c r="A10" s="28">
        <v>18</v>
      </c>
      <c r="B10" s="28" t="s">
        <v>349</v>
      </c>
      <c r="C10" s="28" t="s">
        <v>352</v>
      </c>
      <c r="D10" s="40" t="s">
        <v>24</v>
      </c>
      <c r="E10" s="6">
        <v>187</v>
      </c>
      <c r="F10" s="6">
        <v>7</v>
      </c>
      <c r="G10" s="175"/>
      <c r="H10" s="30">
        <v>42</v>
      </c>
      <c r="I10" s="30">
        <v>1</v>
      </c>
      <c r="J10" s="30"/>
      <c r="K10" s="6">
        <v>13</v>
      </c>
      <c r="L10" s="6">
        <v>2</v>
      </c>
      <c r="M10" s="175"/>
      <c r="N10" s="30">
        <v>6</v>
      </c>
      <c r="O10" s="30">
        <v>0</v>
      </c>
      <c r="P10" s="30"/>
      <c r="Q10" s="6">
        <v>3</v>
      </c>
      <c r="R10" s="108">
        <v>0</v>
      </c>
      <c r="S10" s="108"/>
      <c r="T10" s="2">
        <v>251</v>
      </c>
      <c r="U10" s="2">
        <v>10</v>
      </c>
      <c r="V10" s="2">
        <v>18</v>
      </c>
    </row>
    <row r="11" spans="1:23" x14ac:dyDescent="0.25">
      <c r="A11" s="4">
        <v>7</v>
      </c>
      <c r="B11" s="4" t="s">
        <v>367</v>
      </c>
      <c r="C11" s="27" t="s">
        <v>353</v>
      </c>
      <c r="D11" s="39" t="s">
        <v>13</v>
      </c>
      <c r="E11" s="6">
        <v>170</v>
      </c>
      <c r="F11" s="6">
        <v>19</v>
      </c>
      <c r="G11" s="175"/>
      <c r="H11" s="29">
        <v>46</v>
      </c>
      <c r="I11" s="29">
        <v>4</v>
      </c>
      <c r="J11" s="29"/>
      <c r="K11" s="6">
        <v>21</v>
      </c>
      <c r="L11" s="6">
        <v>5</v>
      </c>
      <c r="M11" s="175"/>
      <c r="N11" s="29">
        <v>9</v>
      </c>
      <c r="O11" s="29">
        <v>0</v>
      </c>
      <c r="P11" s="29"/>
      <c r="Q11" s="6">
        <v>1</v>
      </c>
      <c r="R11" s="108">
        <v>0</v>
      </c>
      <c r="S11" s="108"/>
      <c r="T11" s="2">
        <v>247</v>
      </c>
      <c r="U11" s="2">
        <v>28</v>
      </c>
      <c r="V11" s="2">
        <v>8</v>
      </c>
    </row>
    <row r="12" spans="1:23" x14ac:dyDescent="0.25">
      <c r="A12" s="27">
        <v>20</v>
      </c>
      <c r="B12" s="27" t="s">
        <v>351</v>
      </c>
      <c r="C12" s="27" t="s">
        <v>353</v>
      </c>
      <c r="D12" s="39" t="s">
        <v>25</v>
      </c>
      <c r="E12" s="6">
        <f>102+66</f>
        <v>168</v>
      </c>
      <c r="F12" s="6">
        <v>10</v>
      </c>
      <c r="G12" s="175"/>
      <c r="H12" s="30">
        <v>47</v>
      </c>
      <c r="I12" s="30">
        <v>1</v>
      </c>
      <c r="J12" s="30"/>
      <c r="K12" s="6">
        <v>29</v>
      </c>
      <c r="L12" s="6">
        <v>2</v>
      </c>
      <c r="M12" s="175"/>
      <c r="N12" s="30">
        <v>8</v>
      </c>
      <c r="O12" s="30">
        <v>2</v>
      </c>
      <c r="P12" s="30"/>
      <c r="Q12" s="6">
        <v>2</v>
      </c>
      <c r="R12" s="108">
        <v>0</v>
      </c>
      <c r="S12" s="108"/>
      <c r="T12" s="2">
        <v>246</v>
      </c>
      <c r="U12" s="2">
        <v>13</v>
      </c>
      <c r="V12" s="2">
        <v>29</v>
      </c>
    </row>
    <row r="13" spans="1:23" x14ac:dyDescent="0.25">
      <c r="A13" s="28">
        <v>2</v>
      </c>
      <c r="B13" s="28" t="s">
        <v>349</v>
      </c>
      <c r="C13" s="28" t="s">
        <v>352</v>
      </c>
      <c r="D13" s="37" t="s">
        <v>36</v>
      </c>
      <c r="E13" s="6">
        <v>183</v>
      </c>
      <c r="F13" s="6">
        <v>8</v>
      </c>
      <c r="G13" s="175"/>
      <c r="H13" s="31">
        <v>33</v>
      </c>
      <c r="I13" s="31">
        <v>1</v>
      </c>
      <c r="J13" s="31"/>
      <c r="K13" s="6">
        <v>12</v>
      </c>
      <c r="L13" s="6">
        <v>0</v>
      </c>
      <c r="M13" s="175"/>
      <c r="N13" s="31">
        <v>8</v>
      </c>
      <c r="O13" s="31">
        <v>0</v>
      </c>
      <c r="P13" s="31"/>
      <c r="Q13" s="6">
        <v>3</v>
      </c>
      <c r="R13" s="108">
        <v>0</v>
      </c>
      <c r="S13" s="108"/>
      <c r="T13" s="2">
        <v>239</v>
      </c>
      <c r="U13" s="2">
        <v>9</v>
      </c>
      <c r="V13" s="2">
        <v>16</v>
      </c>
    </row>
    <row r="14" spans="1:23" x14ac:dyDescent="0.25">
      <c r="A14" s="27">
        <v>3</v>
      </c>
      <c r="B14" s="27" t="s">
        <v>355</v>
      </c>
      <c r="C14" s="28" t="s">
        <v>352</v>
      </c>
      <c r="D14" s="34" t="s">
        <v>10</v>
      </c>
      <c r="E14" s="6">
        <v>137</v>
      </c>
      <c r="F14" s="6">
        <v>2</v>
      </c>
      <c r="G14" s="175"/>
      <c r="H14" s="29">
        <v>43</v>
      </c>
      <c r="I14" s="29">
        <v>2</v>
      </c>
      <c r="J14" s="29"/>
      <c r="K14" s="6">
        <v>30</v>
      </c>
      <c r="L14" s="6">
        <v>1</v>
      </c>
      <c r="M14" s="175"/>
      <c r="N14" s="29">
        <v>18</v>
      </c>
      <c r="O14" s="29">
        <v>1</v>
      </c>
      <c r="P14" s="29"/>
      <c r="Q14" s="6">
        <v>2</v>
      </c>
      <c r="R14" s="108">
        <v>0</v>
      </c>
      <c r="S14" s="108"/>
      <c r="T14" s="2">
        <v>230</v>
      </c>
      <c r="U14" s="2">
        <v>6</v>
      </c>
      <c r="V14" s="2">
        <v>2</v>
      </c>
    </row>
    <row r="15" spans="1:23" x14ac:dyDescent="0.25">
      <c r="A15" s="28">
        <v>4</v>
      </c>
      <c r="B15" s="28" t="s">
        <v>363</v>
      </c>
      <c r="C15" s="28" t="s">
        <v>352</v>
      </c>
      <c r="D15" s="40" t="s">
        <v>11</v>
      </c>
      <c r="E15" s="6">
        <v>156</v>
      </c>
      <c r="F15" s="6">
        <v>6</v>
      </c>
      <c r="G15" s="175"/>
      <c r="H15" s="30">
        <v>39</v>
      </c>
      <c r="I15" s="30">
        <v>0</v>
      </c>
      <c r="J15" s="30"/>
      <c r="K15" s="6">
        <v>19</v>
      </c>
      <c r="L15" s="6">
        <v>4</v>
      </c>
      <c r="M15" s="175"/>
      <c r="N15" s="30">
        <v>5</v>
      </c>
      <c r="O15" s="30">
        <v>0</v>
      </c>
      <c r="P15" s="30"/>
      <c r="Q15" s="6">
        <v>2</v>
      </c>
      <c r="R15" s="108">
        <v>0</v>
      </c>
      <c r="S15" s="108"/>
      <c r="T15" s="2">
        <v>221</v>
      </c>
      <c r="U15" s="2">
        <v>10</v>
      </c>
      <c r="V15" s="2">
        <v>30</v>
      </c>
    </row>
    <row r="16" spans="1:23" x14ac:dyDescent="0.25">
      <c r="A16" s="28">
        <v>9</v>
      </c>
      <c r="B16" s="28" t="s">
        <v>351</v>
      </c>
      <c r="C16" s="28" t="s">
        <v>354</v>
      </c>
      <c r="D16" s="37" t="s">
        <v>112</v>
      </c>
      <c r="E16" s="6">
        <v>158</v>
      </c>
      <c r="F16" s="6">
        <v>54</v>
      </c>
      <c r="G16" s="175"/>
      <c r="H16" s="31">
        <v>27</v>
      </c>
      <c r="I16" s="31">
        <v>13</v>
      </c>
      <c r="J16" s="31"/>
      <c r="K16" s="6">
        <v>9</v>
      </c>
      <c r="L16" s="6">
        <v>0</v>
      </c>
      <c r="M16" s="175"/>
      <c r="N16" s="31">
        <v>11</v>
      </c>
      <c r="O16" s="31">
        <v>4</v>
      </c>
      <c r="P16" s="31"/>
      <c r="Q16" s="6">
        <v>1</v>
      </c>
      <c r="R16" s="108">
        <v>0</v>
      </c>
      <c r="S16" s="108"/>
      <c r="T16" s="2">
        <v>206</v>
      </c>
      <c r="U16" s="2">
        <v>71</v>
      </c>
      <c r="V16" s="2">
        <v>23</v>
      </c>
    </row>
    <row r="17" spans="1:22" x14ac:dyDescent="0.25">
      <c r="A17" s="27">
        <v>15</v>
      </c>
      <c r="B17" s="27" t="s">
        <v>355</v>
      </c>
      <c r="C17" s="27" t="s">
        <v>353</v>
      </c>
      <c r="D17" s="39" t="s">
        <v>20</v>
      </c>
      <c r="E17" s="6">
        <v>132</v>
      </c>
      <c r="F17" s="6">
        <v>9</v>
      </c>
      <c r="G17" s="175"/>
      <c r="H17" s="29">
        <v>31</v>
      </c>
      <c r="I17" s="29">
        <v>4</v>
      </c>
      <c r="J17" s="29"/>
      <c r="K17" s="6">
        <v>21</v>
      </c>
      <c r="L17" s="6">
        <v>1</v>
      </c>
      <c r="M17" s="175"/>
      <c r="N17" s="29">
        <v>11</v>
      </c>
      <c r="O17" s="29">
        <v>5</v>
      </c>
      <c r="P17" s="29"/>
      <c r="Q17" s="6">
        <v>3</v>
      </c>
      <c r="R17" s="108">
        <v>1</v>
      </c>
      <c r="S17" s="108"/>
      <c r="T17" s="2">
        <v>198</v>
      </c>
      <c r="U17" s="2">
        <v>20</v>
      </c>
      <c r="V17" s="2">
        <v>22</v>
      </c>
    </row>
    <row r="18" spans="1:22" x14ac:dyDescent="0.25">
      <c r="A18" s="28">
        <v>10</v>
      </c>
      <c r="B18" s="28" t="s">
        <v>355</v>
      </c>
      <c r="C18" s="28" t="s">
        <v>353</v>
      </c>
      <c r="D18" s="40" t="s">
        <v>16</v>
      </c>
      <c r="E18" s="6">
        <v>125</v>
      </c>
      <c r="F18" s="6">
        <v>7</v>
      </c>
      <c r="G18" s="175"/>
      <c r="H18" s="30">
        <v>40</v>
      </c>
      <c r="I18" s="30">
        <v>5</v>
      </c>
      <c r="J18" s="30"/>
      <c r="K18" s="6">
        <v>13</v>
      </c>
      <c r="L18" s="6">
        <v>1</v>
      </c>
      <c r="M18" s="175"/>
      <c r="N18" s="30">
        <v>18</v>
      </c>
      <c r="O18" s="30">
        <v>1</v>
      </c>
      <c r="P18" s="30"/>
      <c r="Q18" s="6">
        <v>1</v>
      </c>
      <c r="R18" s="108">
        <v>0</v>
      </c>
      <c r="S18" s="108"/>
      <c r="T18" s="2">
        <v>197</v>
      </c>
      <c r="U18" s="2">
        <v>14</v>
      </c>
      <c r="V18" s="2">
        <v>0</v>
      </c>
    </row>
    <row r="19" spans="1:22" x14ac:dyDescent="0.25">
      <c r="A19" s="27">
        <v>1</v>
      </c>
      <c r="B19" s="27" t="s">
        <v>368</v>
      </c>
      <c r="C19" s="27" t="s">
        <v>350</v>
      </c>
      <c r="D19" s="35" t="s">
        <v>111</v>
      </c>
      <c r="E19" s="6">
        <v>132</v>
      </c>
      <c r="F19" s="6">
        <v>0</v>
      </c>
      <c r="G19" s="175"/>
      <c r="H19" s="31">
        <v>29</v>
      </c>
      <c r="I19" s="31">
        <v>0</v>
      </c>
      <c r="J19" s="31"/>
      <c r="K19" s="6">
        <v>12</v>
      </c>
      <c r="L19" s="6">
        <v>0</v>
      </c>
      <c r="M19" s="175"/>
      <c r="N19" s="31">
        <v>7</v>
      </c>
      <c r="O19" s="31">
        <v>0</v>
      </c>
      <c r="P19" s="31"/>
      <c r="Q19" s="6">
        <v>1</v>
      </c>
      <c r="R19" s="108">
        <v>0</v>
      </c>
      <c r="S19" s="108"/>
      <c r="T19" s="2">
        <v>181</v>
      </c>
      <c r="U19" s="2">
        <v>0</v>
      </c>
      <c r="V19" s="2">
        <v>41</v>
      </c>
    </row>
    <row r="20" spans="1:22" x14ac:dyDescent="0.25">
      <c r="A20" s="28">
        <v>19</v>
      </c>
      <c r="B20" s="28" t="s">
        <v>349</v>
      </c>
      <c r="C20" s="28" t="s">
        <v>353</v>
      </c>
      <c r="D20" s="40" t="s">
        <v>296</v>
      </c>
      <c r="E20" s="6">
        <v>129</v>
      </c>
      <c r="F20" s="6">
        <v>25</v>
      </c>
      <c r="G20" s="175"/>
      <c r="H20" s="30">
        <v>32</v>
      </c>
      <c r="I20" s="30">
        <v>0</v>
      </c>
      <c r="J20" s="30"/>
      <c r="K20" s="6">
        <v>14</v>
      </c>
      <c r="L20" s="6">
        <v>3</v>
      </c>
      <c r="M20" s="175"/>
      <c r="N20" s="30">
        <v>3</v>
      </c>
      <c r="O20" s="30">
        <v>0</v>
      </c>
      <c r="P20" s="30"/>
      <c r="Q20" s="6">
        <v>2</v>
      </c>
      <c r="R20" s="108">
        <v>1</v>
      </c>
      <c r="S20" s="108"/>
      <c r="T20" s="2">
        <v>180</v>
      </c>
      <c r="U20" s="2">
        <v>29</v>
      </c>
      <c r="V20" s="2">
        <v>12</v>
      </c>
    </row>
    <row r="21" spans="1:22" x14ac:dyDescent="0.25">
      <c r="A21" s="27">
        <v>24</v>
      </c>
      <c r="B21" s="27" t="s">
        <v>351</v>
      </c>
      <c r="C21" s="27" t="s">
        <v>353</v>
      </c>
      <c r="D21" s="145" t="s">
        <v>29</v>
      </c>
      <c r="E21" s="6">
        <v>124</v>
      </c>
      <c r="F21" s="6">
        <v>14</v>
      </c>
      <c r="G21" s="175"/>
      <c r="H21" s="30">
        <v>29</v>
      </c>
      <c r="I21" s="30">
        <v>4</v>
      </c>
      <c r="J21" s="30"/>
      <c r="K21" s="6">
        <v>19</v>
      </c>
      <c r="L21" s="6">
        <v>1</v>
      </c>
      <c r="M21" s="175"/>
      <c r="N21" s="30">
        <v>8</v>
      </c>
      <c r="O21" s="30">
        <v>0</v>
      </c>
      <c r="P21" s="30"/>
      <c r="Q21" s="6">
        <v>0</v>
      </c>
      <c r="R21" s="108">
        <v>0</v>
      </c>
      <c r="S21" s="108"/>
      <c r="T21" s="2">
        <v>180</v>
      </c>
      <c r="U21" s="2">
        <v>19</v>
      </c>
      <c r="V21" s="2">
        <v>31</v>
      </c>
    </row>
    <row r="22" spans="1:22" x14ac:dyDescent="0.25">
      <c r="A22" s="28">
        <v>19</v>
      </c>
      <c r="B22" s="28" t="s">
        <v>369</v>
      </c>
      <c r="C22" s="28" t="s">
        <v>354</v>
      </c>
      <c r="D22" s="37" t="s">
        <v>271</v>
      </c>
      <c r="E22" s="6">
        <v>123</v>
      </c>
      <c r="F22" s="6">
        <v>27</v>
      </c>
      <c r="G22" s="175"/>
      <c r="H22" s="31">
        <v>35</v>
      </c>
      <c r="I22" s="31">
        <v>7</v>
      </c>
      <c r="J22" s="31"/>
      <c r="K22" s="6">
        <v>5</v>
      </c>
      <c r="L22" s="6">
        <v>0</v>
      </c>
      <c r="M22" s="175"/>
      <c r="N22" s="31">
        <v>10</v>
      </c>
      <c r="O22" s="31">
        <v>1</v>
      </c>
      <c r="P22" s="31"/>
      <c r="Q22" s="6">
        <v>1</v>
      </c>
      <c r="R22" s="108">
        <v>1</v>
      </c>
      <c r="S22" s="108"/>
      <c r="T22" s="2">
        <v>174</v>
      </c>
      <c r="U22" s="2">
        <v>36</v>
      </c>
      <c r="V22" s="2">
        <v>8</v>
      </c>
    </row>
    <row r="23" spans="1:22" x14ac:dyDescent="0.25">
      <c r="A23" s="28">
        <v>14</v>
      </c>
      <c r="B23" s="28" t="s">
        <v>355</v>
      </c>
      <c r="C23" s="28" t="s">
        <v>354</v>
      </c>
      <c r="D23" s="37" t="s">
        <v>123</v>
      </c>
      <c r="E23" s="6">
        <v>116</v>
      </c>
      <c r="F23" s="6">
        <v>19</v>
      </c>
      <c r="G23" s="6"/>
      <c r="H23" s="56">
        <v>27</v>
      </c>
      <c r="I23" s="56">
        <v>6</v>
      </c>
      <c r="J23" s="56"/>
      <c r="K23" s="6">
        <v>11</v>
      </c>
      <c r="L23" s="6">
        <v>4</v>
      </c>
      <c r="M23" s="6"/>
      <c r="N23" s="56">
        <v>12</v>
      </c>
      <c r="O23" s="56">
        <v>9</v>
      </c>
      <c r="P23" s="56"/>
      <c r="Q23" s="6">
        <v>2</v>
      </c>
      <c r="R23" s="108">
        <v>0</v>
      </c>
      <c r="S23" s="108"/>
      <c r="T23" s="2">
        <v>168</v>
      </c>
      <c r="U23" s="2">
        <v>38</v>
      </c>
      <c r="V23" s="2">
        <v>40</v>
      </c>
    </row>
    <row r="24" spans="1:22" x14ac:dyDescent="0.25">
      <c r="A24" s="27">
        <v>7</v>
      </c>
      <c r="B24" s="27" t="s">
        <v>370</v>
      </c>
      <c r="C24" s="27" t="s">
        <v>354</v>
      </c>
      <c r="D24" s="35" t="s">
        <v>23</v>
      </c>
      <c r="E24" s="6">
        <v>122</v>
      </c>
      <c r="F24" s="6">
        <v>60</v>
      </c>
      <c r="G24" s="6"/>
      <c r="H24" s="7">
        <v>25</v>
      </c>
      <c r="I24" s="7">
        <v>11</v>
      </c>
      <c r="J24" s="7"/>
      <c r="K24" s="6">
        <v>14</v>
      </c>
      <c r="L24" s="6">
        <v>8</v>
      </c>
      <c r="M24" s="6"/>
      <c r="N24" s="7">
        <v>3</v>
      </c>
      <c r="O24" s="7">
        <v>1</v>
      </c>
      <c r="P24" s="7"/>
      <c r="Q24" s="6">
        <v>1</v>
      </c>
      <c r="R24" s="108">
        <v>0</v>
      </c>
      <c r="S24" s="108"/>
      <c r="T24" s="2">
        <v>165</v>
      </c>
      <c r="U24" s="2">
        <v>80</v>
      </c>
      <c r="V24" s="2">
        <v>6</v>
      </c>
    </row>
    <row r="25" spans="1:22" x14ac:dyDescent="0.25">
      <c r="A25" s="28">
        <v>5</v>
      </c>
      <c r="B25" s="28" t="s">
        <v>371</v>
      </c>
      <c r="C25" s="28" t="s">
        <v>353</v>
      </c>
      <c r="D25" s="37" t="s">
        <v>204</v>
      </c>
      <c r="E25" s="6">
        <v>129</v>
      </c>
      <c r="F25" s="6">
        <v>9</v>
      </c>
      <c r="G25" s="6"/>
      <c r="H25" s="56">
        <v>25</v>
      </c>
      <c r="I25" s="56">
        <v>0</v>
      </c>
      <c r="J25" s="56"/>
      <c r="K25" s="6">
        <v>3</v>
      </c>
      <c r="L25" s="6">
        <v>0</v>
      </c>
      <c r="M25" s="6"/>
      <c r="N25" s="56">
        <v>6</v>
      </c>
      <c r="O25" s="56">
        <v>0</v>
      </c>
      <c r="P25" s="56"/>
      <c r="Q25" s="6">
        <v>1</v>
      </c>
      <c r="R25" s="108">
        <v>0</v>
      </c>
      <c r="S25" s="108"/>
      <c r="T25" s="2">
        <v>164</v>
      </c>
      <c r="U25" s="2">
        <v>9</v>
      </c>
      <c r="V25" s="2">
        <v>20</v>
      </c>
    </row>
    <row r="26" spans="1:22" x14ac:dyDescent="0.25">
      <c r="A26" s="28">
        <v>14</v>
      </c>
      <c r="B26" s="28" t="s">
        <v>372</v>
      </c>
      <c r="C26" s="28" t="s">
        <v>354</v>
      </c>
      <c r="D26" s="37" t="s">
        <v>131</v>
      </c>
      <c r="E26" s="6">
        <v>128</v>
      </c>
      <c r="F26" s="6">
        <v>68</v>
      </c>
      <c r="G26" s="6"/>
      <c r="H26" s="56">
        <v>26</v>
      </c>
      <c r="I26" s="56">
        <v>14</v>
      </c>
      <c r="J26" s="56"/>
      <c r="K26" s="6">
        <v>4</v>
      </c>
      <c r="L26" s="6">
        <v>6</v>
      </c>
      <c r="M26" s="6"/>
      <c r="N26" s="56">
        <v>4</v>
      </c>
      <c r="O26" s="56">
        <v>3</v>
      </c>
      <c r="P26" s="56"/>
      <c r="Q26" s="6">
        <v>1</v>
      </c>
      <c r="R26" s="108">
        <v>1</v>
      </c>
      <c r="S26" s="108"/>
      <c r="T26" s="2">
        <v>163</v>
      </c>
      <c r="U26" s="2">
        <v>92</v>
      </c>
      <c r="V26" s="2">
        <v>8</v>
      </c>
    </row>
    <row r="27" spans="1:22" x14ac:dyDescent="0.25">
      <c r="A27" s="28">
        <v>25</v>
      </c>
      <c r="B27" s="28" t="s">
        <v>373</v>
      </c>
      <c r="C27" s="28" t="s">
        <v>353</v>
      </c>
      <c r="D27" s="37" t="s">
        <v>100</v>
      </c>
      <c r="E27" s="6">
        <v>91</v>
      </c>
      <c r="F27" s="6">
        <v>1</v>
      </c>
      <c r="G27" s="6"/>
      <c r="H27" s="56">
        <v>39</v>
      </c>
      <c r="I27" s="56">
        <v>4</v>
      </c>
      <c r="J27" s="56"/>
      <c r="K27" s="6">
        <v>11</v>
      </c>
      <c r="L27" s="6">
        <v>1</v>
      </c>
      <c r="M27" s="6"/>
      <c r="N27" s="56">
        <v>17</v>
      </c>
      <c r="O27" s="56">
        <v>0</v>
      </c>
      <c r="P27" s="56"/>
      <c r="Q27" s="6">
        <v>2</v>
      </c>
      <c r="R27" s="108">
        <v>0</v>
      </c>
      <c r="S27" s="108"/>
      <c r="T27" s="2">
        <v>161</v>
      </c>
      <c r="U27" s="2">
        <v>6</v>
      </c>
      <c r="V27" s="2">
        <v>1</v>
      </c>
    </row>
    <row r="28" spans="1:22" x14ac:dyDescent="0.25">
      <c r="A28" s="28">
        <v>16</v>
      </c>
      <c r="B28" s="28" t="s">
        <v>355</v>
      </c>
      <c r="C28" s="28" t="s">
        <v>352</v>
      </c>
      <c r="D28" s="37" t="s">
        <v>103</v>
      </c>
      <c r="E28" s="6">
        <v>98</v>
      </c>
      <c r="F28" s="6">
        <v>2</v>
      </c>
      <c r="G28" s="6"/>
      <c r="H28" s="56">
        <v>29</v>
      </c>
      <c r="I28" s="56">
        <v>2</v>
      </c>
      <c r="J28" s="56"/>
      <c r="K28" s="6">
        <v>14</v>
      </c>
      <c r="L28" s="6">
        <v>0</v>
      </c>
      <c r="M28" s="6"/>
      <c r="N28" s="56">
        <v>18</v>
      </c>
      <c r="O28" s="56">
        <v>1</v>
      </c>
      <c r="P28" s="56"/>
      <c r="Q28" s="6">
        <v>2</v>
      </c>
      <c r="R28" s="108">
        <v>0</v>
      </c>
      <c r="S28" s="108"/>
      <c r="T28" s="2">
        <v>161</v>
      </c>
      <c r="U28" s="2">
        <v>5</v>
      </c>
      <c r="V28" s="2">
        <v>2</v>
      </c>
    </row>
    <row r="29" spans="1:22" x14ac:dyDescent="0.25">
      <c r="A29" s="27">
        <v>34</v>
      </c>
      <c r="B29" s="27" t="s">
        <v>351</v>
      </c>
      <c r="C29" s="27" t="s">
        <v>353</v>
      </c>
      <c r="D29" s="39" t="s">
        <v>33</v>
      </c>
      <c r="E29" s="6">
        <v>105</v>
      </c>
      <c r="F29" s="6">
        <v>0</v>
      </c>
      <c r="G29" s="6"/>
      <c r="H29" s="4">
        <v>25</v>
      </c>
      <c r="I29" s="4">
        <v>0</v>
      </c>
      <c r="J29" s="4"/>
      <c r="K29" s="6">
        <v>16</v>
      </c>
      <c r="L29" s="6">
        <v>0</v>
      </c>
      <c r="M29" s="6"/>
      <c r="N29" s="4">
        <v>13</v>
      </c>
      <c r="O29" s="4">
        <v>0</v>
      </c>
      <c r="P29" s="4"/>
      <c r="Q29" s="6">
        <v>1</v>
      </c>
      <c r="R29" s="108">
        <v>0</v>
      </c>
      <c r="S29" s="108"/>
      <c r="T29" s="2">
        <v>160</v>
      </c>
      <c r="U29" s="2">
        <v>0</v>
      </c>
      <c r="V29" s="2">
        <v>4</v>
      </c>
    </row>
    <row r="30" spans="1:22" x14ac:dyDescent="0.25">
      <c r="A30" s="27">
        <v>20</v>
      </c>
      <c r="B30" s="27" t="s">
        <v>363</v>
      </c>
      <c r="C30" s="27" t="s">
        <v>352</v>
      </c>
      <c r="D30" s="39" t="s">
        <v>107</v>
      </c>
      <c r="E30" s="6">
        <v>102</v>
      </c>
      <c r="F30" s="6">
        <v>7</v>
      </c>
      <c r="G30" s="6"/>
      <c r="H30" s="4">
        <v>33</v>
      </c>
      <c r="I30" s="4">
        <v>2</v>
      </c>
      <c r="J30" s="4"/>
      <c r="K30" s="6">
        <v>8</v>
      </c>
      <c r="L30" s="6">
        <v>0</v>
      </c>
      <c r="M30" s="6"/>
      <c r="N30" s="4">
        <v>8</v>
      </c>
      <c r="O30" s="4">
        <v>0</v>
      </c>
      <c r="P30" s="4"/>
      <c r="Q30" s="6">
        <v>0</v>
      </c>
      <c r="R30" s="108">
        <v>0</v>
      </c>
      <c r="S30" s="108"/>
      <c r="T30" s="2">
        <v>151</v>
      </c>
      <c r="U30" s="2">
        <v>9</v>
      </c>
      <c r="V30" s="2">
        <v>7</v>
      </c>
    </row>
    <row r="31" spans="1:22" x14ac:dyDescent="0.25">
      <c r="A31" s="27">
        <v>8</v>
      </c>
      <c r="B31" s="27" t="s">
        <v>349</v>
      </c>
      <c r="C31" s="27" t="s">
        <v>353</v>
      </c>
      <c r="D31" s="39" t="s">
        <v>14</v>
      </c>
      <c r="E31" s="6">
        <v>110</v>
      </c>
      <c r="F31" s="6">
        <v>14</v>
      </c>
      <c r="G31" s="6"/>
      <c r="H31" s="7">
        <v>24</v>
      </c>
      <c r="I31" s="7">
        <v>1</v>
      </c>
      <c r="J31" s="7"/>
      <c r="K31" s="6">
        <v>10</v>
      </c>
      <c r="L31" s="6">
        <v>1</v>
      </c>
      <c r="M31" s="6"/>
      <c r="N31" s="7">
        <v>5</v>
      </c>
      <c r="O31" s="7">
        <v>0</v>
      </c>
      <c r="P31" s="7"/>
      <c r="Q31" s="6">
        <v>0</v>
      </c>
      <c r="R31" s="108">
        <v>0</v>
      </c>
      <c r="S31" s="108"/>
      <c r="T31" s="2">
        <v>149</v>
      </c>
      <c r="U31" s="2">
        <v>16</v>
      </c>
      <c r="V31" s="2">
        <v>22</v>
      </c>
    </row>
    <row r="32" spans="1:22" x14ac:dyDescent="0.25">
      <c r="A32" s="28">
        <v>17</v>
      </c>
      <c r="B32" s="28" t="s">
        <v>374</v>
      </c>
      <c r="C32" s="28" t="s">
        <v>353</v>
      </c>
      <c r="D32" s="40" t="s">
        <v>95</v>
      </c>
      <c r="E32" s="6">
        <v>100</v>
      </c>
      <c r="F32" s="6">
        <v>11</v>
      </c>
      <c r="G32" s="6"/>
      <c r="H32" s="4">
        <v>26</v>
      </c>
      <c r="I32" s="4">
        <v>3</v>
      </c>
      <c r="J32" s="4"/>
      <c r="K32" s="6">
        <v>11</v>
      </c>
      <c r="L32" s="6">
        <v>0</v>
      </c>
      <c r="M32" s="6"/>
      <c r="N32" s="4">
        <v>11</v>
      </c>
      <c r="O32" s="4">
        <v>0</v>
      </c>
      <c r="P32" s="4"/>
      <c r="Q32" s="6">
        <v>1</v>
      </c>
      <c r="R32" s="108">
        <v>0</v>
      </c>
      <c r="S32" s="108"/>
      <c r="T32" s="2">
        <v>149</v>
      </c>
      <c r="U32" s="2">
        <v>14</v>
      </c>
      <c r="V32" s="2">
        <v>14</v>
      </c>
    </row>
    <row r="33" spans="1:22" x14ac:dyDescent="0.25">
      <c r="A33" s="28">
        <v>3</v>
      </c>
      <c r="B33" s="28" t="s">
        <v>375</v>
      </c>
      <c r="C33" s="28" t="s">
        <v>352</v>
      </c>
      <c r="D33" s="37" t="s">
        <v>191</v>
      </c>
      <c r="E33" s="6">
        <v>104</v>
      </c>
      <c r="F33" s="6">
        <v>4</v>
      </c>
      <c r="G33" s="6"/>
      <c r="H33" s="56">
        <v>24</v>
      </c>
      <c r="I33" s="56">
        <v>2</v>
      </c>
      <c r="J33" s="56"/>
      <c r="K33" s="6">
        <v>8</v>
      </c>
      <c r="L33" s="6">
        <v>0</v>
      </c>
      <c r="M33" s="6"/>
      <c r="N33" s="56">
        <v>6</v>
      </c>
      <c r="O33" s="56">
        <v>0</v>
      </c>
      <c r="P33" s="56"/>
      <c r="Q33" s="6">
        <v>2</v>
      </c>
      <c r="R33" s="108">
        <v>0</v>
      </c>
      <c r="S33" s="108"/>
      <c r="T33" s="2">
        <v>144</v>
      </c>
      <c r="U33" s="2">
        <v>6</v>
      </c>
      <c r="V33" s="2">
        <v>0</v>
      </c>
    </row>
    <row r="34" spans="1:22" x14ac:dyDescent="0.25">
      <c r="A34" s="28">
        <v>1</v>
      </c>
      <c r="B34" s="28" t="s">
        <v>367</v>
      </c>
      <c r="C34" s="28" t="s">
        <v>350</v>
      </c>
      <c r="D34" s="40" t="s">
        <v>92</v>
      </c>
      <c r="E34" s="6">
        <v>110</v>
      </c>
      <c r="F34" s="6">
        <v>0</v>
      </c>
      <c r="G34" s="6"/>
      <c r="H34" s="4">
        <v>19</v>
      </c>
      <c r="I34" s="4">
        <v>0</v>
      </c>
      <c r="J34" s="4"/>
      <c r="K34" s="6">
        <v>5</v>
      </c>
      <c r="L34" s="6">
        <v>0</v>
      </c>
      <c r="M34" s="6"/>
      <c r="N34" s="4">
        <v>3</v>
      </c>
      <c r="O34" s="4">
        <v>0</v>
      </c>
      <c r="P34" s="4"/>
      <c r="Q34" s="6">
        <v>2</v>
      </c>
      <c r="R34" s="108">
        <v>0</v>
      </c>
      <c r="S34" s="108"/>
      <c r="T34" s="2">
        <v>139</v>
      </c>
      <c r="U34" s="2">
        <v>0</v>
      </c>
      <c r="V34" s="2">
        <v>7</v>
      </c>
    </row>
    <row r="35" spans="1:22" x14ac:dyDescent="0.25">
      <c r="A35" s="28">
        <v>15</v>
      </c>
      <c r="B35" s="28" t="s">
        <v>355</v>
      </c>
      <c r="C35" s="28" t="s">
        <v>352</v>
      </c>
      <c r="D35" s="37" t="s">
        <v>43</v>
      </c>
      <c r="E35" s="6">
        <v>72</v>
      </c>
      <c r="F35" s="6">
        <v>1</v>
      </c>
      <c r="G35" s="6"/>
      <c r="H35" s="56">
        <v>31</v>
      </c>
      <c r="I35" s="56">
        <v>1</v>
      </c>
      <c r="J35" s="56"/>
      <c r="K35" s="6">
        <v>13</v>
      </c>
      <c r="L35" s="6">
        <v>0</v>
      </c>
      <c r="M35" s="6"/>
      <c r="N35" s="56">
        <v>15</v>
      </c>
      <c r="O35" s="56">
        <v>1</v>
      </c>
      <c r="P35" s="56"/>
      <c r="Q35" s="6">
        <v>1</v>
      </c>
      <c r="R35" s="108">
        <v>0</v>
      </c>
      <c r="S35" s="108"/>
      <c r="T35" s="2">
        <v>132</v>
      </c>
      <c r="U35" s="2">
        <v>3</v>
      </c>
      <c r="V35" s="2">
        <v>0</v>
      </c>
    </row>
    <row r="36" spans="1:22" x14ac:dyDescent="0.25">
      <c r="A36" s="28">
        <v>1</v>
      </c>
      <c r="B36" s="28" t="s">
        <v>363</v>
      </c>
      <c r="C36" s="28" t="s">
        <v>350</v>
      </c>
      <c r="D36" s="37" t="s">
        <v>171</v>
      </c>
      <c r="E36" s="6">
        <v>101</v>
      </c>
      <c r="F36" s="6">
        <v>0</v>
      </c>
      <c r="G36" s="6"/>
      <c r="H36" s="56">
        <v>15</v>
      </c>
      <c r="I36" s="56">
        <v>0</v>
      </c>
      <c r="J36" s="56"/>
      <c r="K36" s="6">
        <v>3</v>
      </c>
      <c r="L36" s="6">
        <v>0</v>
      </c>
      <c r="M36" s="6"/>
      <c r="N36" s="56">
        <v>6</v>
      </c>
      <c r="O36" s="56">
        <v>0</v>
      </c>
      <c r="P36" s="56"/>
      <c r="Q36" s="6">
        <v>0</v>
      </c>
      <c r="R36" s="108">
        <v>0</v>
      </c>
      <c r="S36" s="108"/>
      <c r="T36" s="2">
        <v>125</v>
      </c>
      <c r="U36" s="2">
        <v>0</v>
      </c>
      <c r="V36" s="2">
        <v>14</v>
      </c>
    </row>
    <row r="37" spans="1:22" x14ac:dyDescent="0.25">
      <c r="A37" s="28">
        <v>23</v>
      </c>
      <c r="B37" s="28" t="s">
        <v>355</v>
      </c>
      <c r="C37" s="28" t="s">
        <v>354</v>
      </c>
      <c r="D37" s="40" t="s">
        <v>28</v>
      </c>
      <c r="E37" s="6">
        <v>88</v>
      </c>
      <c r="F37" s="6">
        <v>16</v>
      </c>
      <c r="G37" s="6"/>
      <c r="H37" s="4">
        <v>20</v>
      </c>
      <c r="I37" s="4">
        <v>8</v>
      </c>
      <c r="J37" s="4"/>
      <c r="K37" s="6">
        <v>10</v>
      </c>
      <c r="L37" s="6">
        <v>5</v>
      </c>
      <c r="M37" s="6"/>
      <c r="N37" s="4">
        <v>5</v>
      </c>
      <c r="O37" s="4">
        <v>3</v>
      </c>
      <c r="P37" s="4"/>
      <c r="Q37" s="6">
        <v>1</v>
      </c>
      <c r="R37" s="108">
        <v>0</v>
      </c>
      <c r="S37" s="108"/>
      <c r="T37" s="2">
        <v>124</v>
      </c>
      <c r="U37" s="2">
        <v>32</v>
      </c>
      <c r="V37" s="2">
        <v>8</v>
      </c>
    </row>
    <row r="38" spans="1:22" x14ac:dyDescent="0.25">
      <c r="A38" s="28">
        <v>21</v>
      </c>
      <c r="B38" s="28" t="s">
        <v>355</v>
      </c>
      <c r="C38" s="28" t="s">
        <v>352</v>
      </c>
      <c r="D38" s="37" t="s">
        <v>26</v>
      </c>
      <c r="E38" s="6">
        <v>74</v>
      </c>
      <c r="F38" s="6">
        <v>3</v>
      </c>
      <c r="G38" s="6"/>
      <c r="H38" s="56">
        <v>27</v>
      </c>
      <c r="I38" s="56">
        <v>0</v>
      </c>
      <c r="J38" s="56"/>
      <c r="K38" s="6">
        <v>10</v>
      </c>
      <c r="L38" s="6">
        <v>1</v>
      </c>
      <c r="M38" s="6"/>
      <c r="N38" s="56">
        <v>11</v>
      </c>
      <c r="O38" s="56">
        <v>1</v>
      </c>
      <c r="P38" s="56"/>
      <c r="Q38" s="6">
        <v>1</v>
      </c>
      <c r="R38" s="108">
        <v>0</v>
      </c>
      <c r="S38" s="108"/>
      <c r="T38" s="2">
        <v>123</v>
      </c>
      <c r="U38" s="2">
        <v>5</v>
      </c>
      <c r="V38" s="2">
        <v>13</v>
      </c>
    </row>
    <row r="39" spans="1:22" x14ac:dyDescent="0.25">
      <c r="A39" s="28">
        <v>9</v>
      </c>
      <c r="B39" s="28" t="s">
        <v>357</v>
      </c>
      <c r="C39" s="28" t="s">
        <v>354</v>
      </c>
      <c r="D39" s="37" t="s">
        <v>259</v>
      </c>
      <c r="E39" s="6">
        <v>84</v>
      </c>
      <c r="F39" s="6">
        <v>21</v>
      </c>
      <c r="G39" s="6">
        <v>11</v>
      </c>
      <c r="H39" s="56">
        <v>25</v>
      </c>
      <c r="I39" s="56">
        <v>6</v>
      </c>
      <c r="J39" s="56">
        <v>5</v>
      </c>
      <c r="K39" s="6">
        <v>5</v>
      </c>
      <c r="L39" s="6">
        <v>1</v>
      </c>
      <c r="M39" s="6">
        <v>1</v>
      </c>
      <c r="N39" s="56">
        <v>9</v>
      </c>
      <c r="O39" s="56">
        <v>4</v>
      </c>
      <c r="P39" s="56">
        <v>1</v>
      </c>
      <c r="Q39" s="6">
        <v>0</v>
      </c>
      <c r="R39" s="108">
        <v>0</v>
      </c>
      <c r="S39" s="108">
        <v>0</v>
      </c>
      <c r="T39" s="2">
        <v>123</v>
      </c>
      <c r="U39" s="2">
        <v>32</v>
      </c>
      <c r="V39" s="2">
        <v>12</v>
      </c>
    </row>
    <row r="40" spans="1:22" x14ac:dyDescent="0.25">
      <c r="A40" s="28">
        <v>31</v>
      </c>
      <c r="B40" s="28" t="s">
        <v>376</v>
      </c>
      <c r="C40" s="28" t="s">
        <v>352</v>
      </c>
      <c r="D40" s="37" t="s">
        <v>114</v>
      </c>
      <c r="E40" s="6">
        <v>80</v>
      </c>
      <c r="F40" s="6">
        <v>2</v>
      </c>
      <c r="G40" s="6"/>
      <c r="H40" s="56">
        <v>20</v>
      </c>
      <c r="I40" s="56">
        <v>2</v>
      </c>
      <c r="J40" s="56"/>
      <c r="K40" s="6">
        <v>7</v>
      </c>
      <c r="L40" s="6">
        <v>0</v>
      </c>
      <c r="M40" s="6"/>
      <c r="N40" s="56">
        <v>9</v>
      </c>
      <c r="O40" s="56">
        <v>0</v>
      </c>
      <c r="P40" s="56"/>
      <c r="Q40" s="6">
        <v>2</v>
      </c>
      <c r="R40" s="108">
        <v>1</v>
      </c>
      <c r="S40" s="108"/>
      <c r="T40" s="2">
        <v>118</v>
      </c>
      <c r="U40" s="2">
        <v>5</v>
      </c>
      <c r="V40" s="2">
        <v>21</v>
      </c>
    </row>
    <row r="41" spans="1:22" x14ac:dyDescent="0.25">
      <c r="A41" s="28">
        <v>10</v>
      </c>
      <c r="B41" s="28" t="s">
        <v>355</v>
      </c>
      <c r="C41" s="28" t="s">
        <v>353</v>
      </c>
      <c r="D41" s="37" t="s">
        <v>174</v>
      </c>
      <c r="E41" s="6">
        <v>81</v>
      </c>
      <c r="F41" s="6">
        <v>12</v>
      </c>
      <c r="G41" s="6"/>
      <c r="H41" s="56">
        <v>22</v>
      </c>
      <c r="I41" s="56">
        <v>3</v>
      </c>
      <c r="J41" s="56"/>
      <c r="K41" s="6">
        <v>4</v>
      </c>
      <c r="L41" s="6">
        <v>1</v>
      </c>
      <c r="M41" s="6"/>
      <c r="N41" s="56">
        <v>9</v>
      </c>
      <c r="O41" s="56">
        <v>2</v>
      </c>
      <c r="P41" s="56"/>
      <c r="Q41" s="6">
        <v>1</v>
      </c>
      <c r="R41" s="108">
        <v>0</v>
      </c>
      <c r="S41" s="108"/>
      <c r="T41" s="2">
        <v>117</v>
      </c>
      <c r="U41" s="2">
        <v>18</v>
      </c>
      <c r="V41" s="2">
        <v>5</v>
      </c>
    </row>
    <row r="42" spans="1:22" x14ac:dyDescent="0.25">
      <c r="A42" s="28">
        <v>19</v>
      </c>
      <c r="B42" s="28" t="s">
        <v>377</v>
      </c>
      <c r="C42" s="28" t="s">
        <v>354</v>
      </c>
      <c r="D42" s="37" t="s">
        <v>189</v>
      </c>
      <c r="E42" s="6">
        <v>80</v>
      </c>
      <c r="F42" s="6">
        <v>16</v>
      </c>
      <c r="G42" s="6"/>
      <c r="H42" s="56">
        <v>19</v>
      </c>
      <c r="I42" s="56">
        <v>8</v>
      </c>
      <c r="J42" s="56"/>
      <c r="K42" s="6">
        <v>7</v>
      </c>
      <c r="L42" s="6">
        <v>1</v>
      </c>
      <c r="M42" s="6"/>
      <c r="N42" s="56">
        <v>6</v>
      </c>
      <c r="O42" s="56">
        <v>2</v>
      </c>
      <c r="P42" s="56"/>
      <c r="Q42" s="6">
        <v>0</v>
      </c>
      <c r="R42" s="108">
        <v>0</v>
      </c>
      <c r="S42" s="108"/>
      <c r="T42" s="2">
        <v>112</v>
      </c>
      <c r="U42" s="2">
        <v>27</v>
      </c>
      <c r="V42" s="2">
        <v>0</v>
      </c>
    </row>
    <row r="43" spans="1:22" x14ac:dyDescent="0.25">
      <c r="A43" s="28">
        <v>17</v>
      </c>
      <c r="B43" s="28" t="s">
        <v>378</v>
      </c>
      <c r="C43" s="28" t="s">
        <v>352</v>
      </c>
      <c r="D43" s="37" t="s">
        <v>261</v>
      </c>
      <c r="E43" s="6">
        <v>69</v>
      </c>
      <c r="F43" s="6">
        <v>2</v>
      </c>
      <c r="G43" s="6"/>
      <c r="H43" s="56">
        <v>15</v>
      </c>
      <c r="I43" s="56">
        <v>1</v>
      </c>
      <c r="J43" s="56"/>
      <c r="K43" s="6">
        <v>2</v>
      </c>
      <c r="L43" s="6">
        <v>0</v>
      </c>
      <c r="M43" s="6"/>
      <c r="N43" s="56">
        <v>5</v>
      </c>
      <c r="O43" s="56">
        <v>0</v>
      </c>
      <c r="P43" s="56"/>
      <c r="Q43" s="6">
        <v>0</v>
      </c>
      <c r="R43" s="108">
        <v>0</v>
      </c>
      <c r="S43" s="108"/>
      <c r="T43" s="2">
        <v>91</v>
      </c>
      <c r="U43" s="2">
        <v>3</v>
      </c>
      <c r="V43" s="2">
        <v>5</v>
      </c>
    </row>
    <row r="44" spans="1:22" x14ac:dyDescent="0.25">
      <c r="A44" s="28">
        <v>24</v>
      </c>
      <c r="B44" s="28" t="s">
        <v>355</v>
      </c>
      <c r="C44" s="28" t="s">
        <v>354</v>
      </c>
      <c r="D44" s="37" t="s">
        <v>115</v>
      </c>
      <c r="E44" s="6">
        <v>50</v>
      </c>
      <c r="F44" s="6">
        <v>4</v>
      </c>
      <c r="G44" s="6">
        <v>2</v>
      </c>
      <c r="H44" s="56">
        <v>25</v>
      </c>
      <c r="I44" s="56">
        <v>1</v>
      </c>
      <c r="J44" s="56">
        <v>4</v>
      </c>
      <c r="K44" s="6">
        <v>5</v>
      </c>
      <c r="L44" s="6">
        <v>1</v>
      </c>
      <c r="M44" s="6">
        <v>1</v>
      </c>
      <c r="N44" s="56">
        <v>8</v>
      </c>
      <c r="O44" s="56">
        <v>2</v>
      </c>
      <c r="P44" s="56">
        <v>1</v>
      </c>
      <c r="Q44" s="6">
        <v>2</v>
      </c>
      <c r="R44" s="108">
        <v>0</v>
      </c>
      <c r="S44" s="108">
        <v>0</v>
      </c>
      <c r="T44" s="2">
        <v>90</v>
      </c>
      <c r="U44" s="2">
        <v>8</v>
      </c>
      <c r="V44" s="2">
        <v>6</v>
      </c>
    </row>
    <row r="45" spans="1:22" x14ac:dyDescent="0.25">
      <c r="A45" s="28">
        <v>1</v>
      </c>
      <c r="B45" s="28" t="s">
        <v>355</v>
      </c>
      <c r="C45" s="28" t="s">
        <v>350</v>
      </c>
      <c r="D45" s="37" t="s">
        <v>224</v>
      </c>
      <c r="E45" s="6">
        <v>78</v>
      </c>
      <c r="F45" s="6">
        <v>0</v>
      </c>
      <c r="G45" s="6"/>
      <c r="H45" s="56">
        <v>4</v>
      </c>
      <c r="I45" s="56">
        <v>0</v>
      </c>
      <c r="J45" s="56"/>
      <c r="K45" s="6">
        <v>1</v>
      </c>
      <c r="L45" s="6">
        <v>0</v>
      </c>
      <c r="M45" s="6"/>
      <c r="N45" s="56">
        <v>5</v>
      </c>
      <c r="O45" s="56">
        <v>0</v>
      </c>
      <c r="P45" s="56"/>
      <c r="Q45" s="6">
        <v>1</v>
      </c>
      <c r="R45" s="108">
        <v>0</v>
      </c>
      <c r="S45" s="108"/>
      <c r="T45" s="2">
        <v>89</v>
      </c>
      <c r="U45" s="2">
        <v>0</v>
      </c>
      <c r="V45" s="2">
        <v>4</v>
      </c>
    </row>
    <row r="46" spans="1:22" x14ac:dyDescent="0.25">
      <c r="A46" s="28">
        <v>11</v>
      </c>
      <c r="B46" s="28" t="s">
        <v>379</v>
      </c>
      <c r="C46" s="28" t="s">
        <v>352</v>
      </c>
      <c r="D46" s="37" t="s">
        <v>169</v>
      </c>
      <c r="E46" s="6">
        <v>63</v>
      </c>
      <c r="F46" s="6">
        <v>3</v>
      </c>
      <c r="G46" s="6"/>
      <c r="H46" s="56">
        <v>18</v>
      </c>
      <c r="I46" s="56">
        <v>0</v>
      </c>
      <c r="J46" s="56"/>
      <c r="K46" s="6">
        <v>2</v>
      </c>
      <c r="L46" s="6">
        <v>0</v>
      </c>
      <c r="M46" s="6"/>
      <c r="N46" s="56">
        <v>5</v>
      </c>
      <c r="O46" s="56">
        <v>1</v>
      </c>
      <c r="P46" s="56"/>
      <c r="Q46" s="6">
        <v>0</v>
      </c>
      <c r="R46" s="108">
        <v>0</v>
      </c>
      <c r="S46" s="108"/>
      <c r="T46" s="2">
        <v>88</v>
      </c>
      <c r="U46" s="2">
        <v>4</v>
      </c>
      <c r="V46" s="61">
        <v>12</v>
      </c>
    </row>
    <row r="47" spans="1:22" x14ac:dyDescent="0.25">
      <c r="A47" s="28">
        <v>18</v>
      </c>
      <c r="B47" s="28" t="s">
        <v>391</v>
      </c>
      <c r="C47" s="28" t="s">
        <v>352</v>
      </c>
      <c r="D47" s="37" t="s">
        <v>225</v>
      </c>
      <c r="E47" s="6">
        <v>65</v>
      </c>
      <c r="F47" s="6">
        <v>2</v>
      </c>
      <c r="G47" s="6"/>
      <c r="H47" s="56">
        <v>13</v>
      </c>
      <c r="I47" s="56">
        <v>1</v>
      </c>
      <c r="J47" s="56"/>
      <c r="K47" s="6">
        <v>2</v>
      </c>
      <c r="L47" s="6">
        <v>0</v>
      </c>
      <c r="M47" s="6"/>
      <c r="N47" s="56">
        <v>3</v>
      </c>
      <c r="O47" s="56">
        <v>0</v>
      </c>
      <c r="P47" s="56"/>
      <c r="Q47" s="6">
        <v>0</v>
      </c>
      <c r="R47" s="108">
        <v>0</v>
      </c>
      <c r="S47" s="108"/>
      <c r="T47" s="2">
        <v>83</v>
      </c>
      <c r="U47" s="2">
        <v>3</v>
      </c>
      <c r="V47" s="2">
        <v>5</v>
      </c>
    </row>
    <row r="48" spans="1:22" x14ac:dyDescent="0.25">
      <c r="A48" s="28">
        <v>29</v>
      </c>
      <c r="B48" s="28" t="s">
        <v>351</v>
      </c>
      <c r="C48" s="28" t="s">
        <v>353</v>
      </c>
      <c r="D48" s="37" t="s">
        <v>172</v>
      </c>
      <c r="E48" s="6">
        <v>57</v>
      </c>
      <c r="F48" s="6">
        <v>0</v>
      </c>
      <c r="G48" s="6"/>
      <c r="H48" s="56">
        <v>17</v>
      </c>
      <c r="I48" s="56">
        <v>1</v>
      </c>
      <c r="J48" s="56"/>
      <c r="K48" s="6">
        <v>4</v>
      </c>
      <c r="L48" s="6">
        <v>0</v>
      </c>
      <c r="M48" s="6"/>
      <c r="N48" s="56">
        <v>4</v>
      </c>
      <c r="O48" s="56">
        <v>0</v>
      </c>
      <c r="P48" s="56"/>
      <c r="Q48" s="6">
        <v>0</v>
      </c>
      <c r="R48" s="6">
        <v>0</v>
      </c>
      <c r="S48" s="6"/>
      <c r="T48" s="2">
        <v>82</v>
      </c>
      <c r="U48" s="2">
        <v>1</v>
      </c>
      <c r="V48" s="2">
        <v>2</v>
      </c>
    </row>
    <row r="49" spans="1:22" x14ac:dyDescent="0.25">
      <c r="A49" s="27">
        <v>9</v>
      </c>
      <c r="B49" s="27" t="s">
        <v>363</v>
      </c>
      <c r="C49" s="27" t="s">
        <v>354</v>
      </c>
      <c r="D49" s="145" t="s">
        <v>15</v>
      </c>
      <c r="E49" s="6">
        <v>60</v>
      </c>
      <c r="F49" s="6">
        <v>19</v>
      </c>
      <c r="G49" s="6"/>
      <c r="H49" s="7">
        <v>14</v>
      </c>
      <c r="I49" s="7">
        <v>8</v>
      </c>
      <c r="J49" s="7"/>
      <c r="K49" s="6">
        <v>3</v>
      </c>
      <c r="L49" s="6">
        <v>2</v>
      </c>
      <c r="M49" s="6"/>
      <c r="N49" s="7">
        <v>3</v>
      </c>
      <c r="O49" s="7">
        <v>2</v>
      </c>
      <c r="P49" s="7"/>
      <c r="Q49" s="6">
        <v>2</v>
      </c>
      <c r="R49" s="6">
        <v>0</v>
      </c>
      <c r="S49" s="6"/>
      <c r="T49" s="61">
        <v>82</v>
      </c>
      <c r="U49" s="61">
        <v>31</v>
      </c>
      <c r="V49" s="2">
        <v>4</v>
      </c>
    </row>
    <row r="50" spans="1:22" x14ac:dyDescent="0.25">
      <c r="A50" s="28">
        <v>8</v>
      </c>
      <c r="B50" s="28" t="s">
        <v>349</v>
      </c>
      <c r="C50" s="28" t="s">
        <v>353</v>
      </c>
      <c r="D50" s="37" t="s">
        <v>187</v>
      </c>
      <c r="E50" s="6">
        <v>48</v>
      </c>
      <c r="F50" s="6">
        <v>0</v>
      </c>
      <c r="G50" s="6"/>
      <c r="H50" s="56">
        <v>18</v>
      </c>
      <c r="I50" s="56">
        <v>1</v>
      </c>
      <c r="J50" s="56"/>
      <c r="K50" s="6">
        <v>5</v>
      </c>
      <c r="L50" s="6">
        <v>1</v>
      </c>
      <c r="M50" s="6"/>
      <c r="N50" s="56">
        <v>5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2</v>
      </c>
      <c r="V50" s="2">
        <v>1</v>
      </c>
    </row>
    <row r="51" spans="1:22" x14ac:dyDescent="0.25">
      <c r="A51" s="56">
        <v>20</v>
      </c>
      <c r="B51" s="56" t="s">
        <v>364</v>
      </c>
      <c r="C51" s="56" t="s">
        <v>353</v>
      </c>
      <c r="D51" s="37" t="s">
        <v>272</v>
      </c>
      <c r="E51" s="6">
        <v>53</v>
      </c>
      <c r="F51" s="6">
        <v>0</v>
      </c>
      <c r="G51" s="6"/>
      <c r="H51" s="56">
        <v>14</v>
      </c>
      <c r="I51" s="56">
        <v>1</v>
      </c>
      <c r="J51" s="56"/>
      <c r="K51" s="6">
        <v>2</v>
      </c>
      <c r="L51" s="6">
        <v>0</v>
      </c>
      <c r="M51" s="6"/>
      <c r="N51" s="56">
        <v>7</v>
      </c>
      <c r="O51" s="56">
        <v>0</v>
      </c>
      <c r="P51" s="56"/>
      <c r="Q51" s="6">
        <v>0</v>
      </c>
      <c r="R51" s="6">
        <v>0</v>
      </c>
      <c r="S51" s="6"/>
      <c r="T51" s="2">
        <v>76</v>
      </c>
      <c r="U51" s="2">
        <v>1</v>
      </c>
      <c r="V51" s="2">
        <v>4</v>
      </c>
    </row>
    <row r="52" spans="1:22" x14ac:dyDescent="0.25">
      <c r="A52" s="56">
        <v>28</v>
      </c>
      <c r="B52" s="56" t="s">
        <v>355</v>
      </c>
      <c r="C52" s="56" t="s">
        <v>353</v>
      </c>
      <c r="D52" s="37" t="s">
        <v>117</v>
      </c>
      <c r="E52" s="6">
        <v>40</v>
      </c>
      <c r="F52" s="6">
        <v>1</v>
      </c>
      <c r="G52" s="6"/>
      <c r="H52" s="56">
        <v>20</v>
      </c>
      <c r="I52" s="56">
        <v>6</v>
      </c>
      <c r="J52" s="56"/>
      <c r="K52" s="6">
        <v>7</v>
      </c>
      <c r="L52" s="6">
        <v>2</v>
      </c>
      <c r="M52" s="6"/>
      <c r="N52" s="56">
        <v>8</v>
      </c>
      <c r="O52" s="56">
        <v>2</v>
      </c>
      <c r="P52" s="56"/>
      <c r="Q52" s="6">
        <v>1</v>
      </c>
      <c r="R52" s="6">
        <v>0</v>
      </c>
      <c r="S52" s="6"/>
      <c r="T52" s="2">
        <v>76</v>
      </c>
      <c r="U52" s="2">
        <v>11</v>
      </c>
      <c r="V52" s="2">
        <v>0</v>
      </c>
    </row>
    <row r="53" spans="1:22" x14ac:dyDescent="0.25">
      <c r="A53" s="56">
        <v>23</v>
      </c>
      <c r="B53" s="56" t="s">
        <v>357</v>
      </c>
      <c r="C53" s="56" t="s">
        <v>352</v>
      </c>
      <c r="D53" s="37" t="s">
        <v>190</v>
      </c>
      <c r="E53" s="6">
        <v>53</v>
      </c>
      <c r="F53" s="6">
        <v>3</v>
      </c>
      <c r="G53" s="6"/>
      <c r="H53" s="56">
        <v>12</v>
      </c>
      <c r="I53" s="56">
        <v>1</v>
      </c>
      <c r="J53" s="56"/>
      <c r="K53" s="6">
        <v>6</v>
      </c>
      <c r="L53" s="6">
        <v>0</v>
      </c>
      <c r="M53" s="6"/>
      <c r="N53" s="56">
        <v>1</v>
      </c>
      <c r="O53" s="56">
        <v>0</v>
      </c>
      <c r="P53" s="56"/>
      <c r="Q53" s="6">
        <v>1</v>
      </c>
      <c r="R53" s="6">
        <v>0</v>
      </c>
      <c r="S53" s="6"/>
      <c r="T53" s="2">
        <v>73</v>
      </c>
      <c r="U53" s="2">
        <v>4</v>
      </c>
      <c r="V53" s="2">
        <v>2</v>
      </c>
    </row>
    <row r="54" spans="1:22" x14ac:dyDescent="0.25">
      <c r="A54" s="56">
        <v>25</v>
      </c>
      <c r="B54" s="56" t="s">
        <v>355</v>
      </c>
      <c r="C54" s="56" t="s">
        <v>352</v>
      </c>
      <c r="D54" s="40" t="s">
        <v>41</v>
      </c>
      <c r="E54" s="6">
        <v>41</v>
      </c>
      <c r="F54" s="6">
        <v>1</v>
      </c>
      <c r="G54" s="6"/>
      <c r="H54" s="4">
        <v>17</v>
      </c>
      <c r="I54" s="4">
        <v>0</v>
      </c>
      <c r="J54" s="4"/>
      <c r="K54" s="6">
        <v>5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1</v>
      </c>
      <c r="V54" s="2">
        <v>5</v>
      </c>
    </row>
    <row r="55" spans="1:22" x14ac:dyDescent="0.25">
      <c r="A55" s="56">
        <v>13</v>
      </c>
      <c r="B55" s="56" t="s">
        <v>380</v>
      </c>
      <c r="C55" s="56" t="s">
        <v>350</v>
      </c>
      <c r="D55" s="40" t="s">
        <v>21</v>
      </c>
      <c r="E55" s="6">
        <v>29</v>
      </c>
      <c r="F55" s="6">
        <v>0</v>
      </c>
      <c r="G55" s="6"/>
      <c r="H55" s="4">
        <v>24</v>
      </c>
      <c r="I55" s="4">
        <v>0</v>
      </c>
      <c r="J55" s="4"/>
      <c r="K55" s="6">
        <v>10</v>
      </c>
      <c r="L55" s="6">
        <v>0</v>
      </c>
      <c r="M55" s="6"/>
      <c r="N55" s="4">
        <v>7</v>
      </c>
      <c r="O55" s="4">
        <v>0</v>
      </c>
      <c r="P55" s="4"/>
      <c r="Q55" s="6">
        <v>0</v>
      </c>
      <c r="R55" s="6">
        <v>0</v>
      </c>
      <c r="S55" s="6"/>
      <c r="T55" s="2">
        <v>70</v>
      </c>
      <c r="U55" s="2">
        <v>0</v>
      </c>
      <c r="V55" s="2">
        <v>0</v>
      </c>
    </row>
    <row r="56" spans="1:22" x14ac:dyDescent="0.25">
      <c r="A56" s="4">
        <v>5</v>
      </c>
      <c r="B56" s="4" t="s">
        <v>361</v>
      </c>
      <c r="C56" s="4" t="s">
        <v>352</v>
      </c>
      <c r="D56" s="39" t="s">
        <v>203</v>
      </c>
      <c r="E56" s="6">
        <v>44</v>
      </c>
      <c r="F56" s="6">
        <v>3</v>
      </c>
      <c r="G56" s="6"/>
      <c r="H56" s="4">
        <v>17</v>
      </c>
      <c r="I56" s="4">
        <v>2</v>
      </c>
      <c r="J56" s="4"/>
      <c r="K56" s="6">
        <v>7</v>
      </c>
      <c r="L56" s="6">
        <v>1</v>
      </c>
      <c r="M56" s="6"/>
      <c r="N56" s="4">
        <v>1</v>
      </c>
      <c r="O56" s="4">
        <v>0</v>
      </c>
      <c r="P56" s="4"/>
      <c r="Q56" s="6">
        <v>0</v>
      </c>
      <c r="R56" s="6">
        <v>0</v>
      </c>
      <c r="S56" s="6"/>
      <c r="T56" s="2">
        <v>69</v>
      </c>
      <c r="U56" s="2">
        <v>6</v>
      </c>
      <c r="V56" s="2">
        <v>5</v>
      </c>
    </row>
    <row r="57" spans="1:22" x14ac:dyDescent="0.25">
      <c r="A57" s="56">
        <v>15</v>
      </c>
      <c r="B57" s="56" t="s">
        <v>368</v>
      </c>
      <c r="C57" s="56" t="s">
        <v>352</v>
      </c>
      <c r="D57" s="37" t="s">
        <v>273</v>
      </c>
      <c r="E57" s="6">
        <v>44</v>
      </c>
      <c r="F57" s="6">
        <v>3</v>
      </c>
      <c r="G57" s="6"/>
      <c r="H57" s="56">
        <v>18</v>
      </c>
      <c r="I57" s="56">
        <v>0</v>
      </c>
      <c r="J57" s="56"/>
      <c r="K57" s="6">
        <v>1</v>
      </c>
      <c r="L57" s="6">
        <v>0</v>
      </c>
      <c r="M57" s="6"/>
      <c r="N57" s="56">
        <v>5</v>
      </c>
      <c r="O57" s="56">
        <v>0</v>
      </c>
      <c r="P57" s="56"/>
      <c r="Q57" s="6">
        <v>0</v>
      </c>
      <c r="R57" s="6">
        <v>0</v>
      </c>
      <c r="S57" s="6"/>
      <c r="T57" s="2">
        <v>68</v>
      </c>
      <c r="U57" s="2">
        <v>3</v>
      </c>
      <c r="V57" s="2">
        <v>12</v>
      </c>
    </row>
    <row r="58" spans="1:22" x14ac:dyDescent="0.25">
      <c r="A58" s="4">
        <v>5</v>
      </c>
      <c r="B58" s="4" t="s">
        <v>357</v>
      </c>
      <c r="C58" s="4" t="s">
        <v>352</v>
      </c>
      <c r="D58" s="34" t="s">
        <v>84</v>
      </c>
      <c r="E58" s="6">
        <v>46</v>
      </c>
      <c r="F58" s="6">
        <v>1</v>
      </c>
      <c r="G58" s="6"/>
      <c r="H58" s="7">
        <v>6</v>
      </c>
      <c r="I58" s="7">
        <v>0</v>
      </c>
      <c r="J58" s="7"/>
      <c r="K58" s="6">
        <v>9</v>
      </c>
      <c r="L58" s="6">
        <v>0</v>
      </c>
      <c r="M58" s="6"/>
      <c r="N58" s="7">
        <v>3</v>
      </c>
      <c r="O58" s="7">
        <v>0</v>
      </c>
      <c r="P58" s="7"/>
      <c r="Q58" s="6">
        <v>0</v>
      </c>
      <c r="R58" s="6">
        <v>0</v>
      </c>
      <c r="S58" s="6"/>
      <c r="T58" s="2">
        <v>64</v>
      </c>
      <c r="U58" s="2">
        <v>1</v>
      </c>
      <c r="V58" s="2">
        <v>5</v>
      </c>
    </row>
    <row r="59" spans="1:22" x14ac:dyDescent="0.25">
      <c r="A59" s="56">
        <v>17</v>
      </c>
      <c r="B59" s="56" t="s">
        <v>362</v>
      </c>
      <c r="C59" s="56" t="s">
        <v>352</v>
      </c>
      <c r="D59" s="37" t="s">
        <v>192</v>
      </c>
      <c r="E59" s="6">
        <v>41</v>
      </c>
      <c r="F59" s="6">
        <v>2</v>
      </c>
      <c r="G59" s="6"/>
      <c r="H59" s="56">
        <v>11</v>
      </c>
      <c r="I59" s="56">
        <v>0</v>
      </c>
      <c r="J59" s="56"/>
      <c r="K59" s="6">
        <v>3</v>
      </c>
      <c r="L59" s="6">
        <v>0</v>
      </c>
      <c r="M59" s="6"/>
      <c r="N59" s="56">
        <v>8</v>
      </c>
      <c r="O59" s="56">
        <v>0</v>
      </c>
      <c r="P59" s="56"/>
      <c r="Q59" s="6">
        <v>1</v>
      </c>
      <c r="R59" s="6">
        <v>0</v>
      </c>
      <c r="S59" s="6"/>
      <c r="T59" s="2">
        <v>64</v>
      </c>
      <c r="U59" s="2">
        <v>2</v>
      </c>
      <c r="V59" s="2">
        <v>0</v>
      </c>
    </row>
    <row r="60" spans="1:22" x14ac:dyDescent="0.25">
      <c r="A60" s="56">
        <v>7</v>
      </c>
      <c r="B60" s="56" t="s">
        <v>381</v>
      </c>
      <c r="C60" s="56" t="s">
        <v>354</v>
      </c>
      <c r="D60" s="40" t="s">
        <v>130</v>
      </c>
      <c r="E60" s="6">
        <v>38</v>
      </c>
      <c r="F60" s="6">
        <v>8</v>
      </c>
      <c r="G60" s="6"/>
      <c r="H60" s="4">
        <v>17</v>
      </c>
      <c r="I60" s="4">
        <v>1</v>
      </c>
      <c r="J60" s="4"/>
      <c r="K60" s="6">
        <v>0</v>
      </c>
      <c r="L60" s="6">
        <v>0</v>
      </c>
      <c r="M60" s="6"/>
      <c r="N60" s="4">
        <v>3</v>
      </c>
      <c r="O60" s="4">
        <v>0</v>
      </c>
      <c r="P60" s="4"/>
      <c r="Q60" s="6">
        <v>0</v>
      </c>
      <c r="R60" s="6">
        <v>0</v>
      </c>
      <c r="S60" s="6"/>
      <c r="T60" s="2">
        <v>58</v>
      </c>
      <c r="U60" s="2">
        <v>9</v>
      </c>
      <c r="V60" s="2">
        <v>0</v>
      </c>
    </row>
    <row r="61" spans="1:22" x14ac:dyDescent="0.25">
      <c r="A61" s="56">
        <v>21</v>
      </c>
      <c r="B61" s="56" t="s">
        <v>362</v>
      </c>
      <c r="C61" s="56" t="s">
        <v>353</v>
      </c>
      <c r="D61" s="37" t="s">
        <v>258</v>
      </c>
      <c r="E61" s="6">
        <v>33</v>
      </c>
      <c r="F61" s="6">
        <v>2</v>
      </c>
      <c r="G61" s="6">
        <v>4</v>
      </c>
      <c r="H61" s="56">
        <v>11</v>
      </c>
      <c r="I61" s="56">
        <v>1</v>
      </c>
      <c r="J61" s="56">
        <v>2</v>
      </c>
      <c r="K61" s="6">
        <v>2</v>
      </c>
      <c r="L61" s="6">
        <v>0</v>
      </c>
      <c r="M61" s="6">
        <v>2</v>
      </c>
      <c r="N61" s="56">
        <v>2</v>
      </c>
      <c r="O61" s="56">
        <v>0</v>
      </c>
      <c r="P61" s="56">
        <v>1</v>
      </c>
      <c r="Q61" s="6">
        <v>1</v>
      </c>
      <c r="R61" s="6">
        <v>0</v>
      </c>
      <c r="S61" s="6">
        <v>0</v>
      </c>
      <c r="T61" s="2">
        <v>49</v>
      </c>
      <c r="U61" s="2">
        <v>3</v>
      </c>
      <c r="V61" s="2">
        <v>7</v>
      </c>
    </row>
    <row r="62" spans="1:22" x14ac:dyDescent="0.25">
      <c r="A62" s="56">
        <v>28</v>
      </c>
      <c r="B62" s="56" t="s">
        <v>382</v>
      </c>
      <c r="C62" s="56" t="s">
        <v>354</v>
      </c>
      <c r="D62" s="40" t="s">
        <v>32</v>
      </c>
      <c r="E62" s="6">
        <v>23</v>
      </c>
      <c r="F62" s="6">
        <v>3</v>
      </c>
      <c r="G62" s="6"/>
      <c r="H62" s="4">
        <v>8</v>
      </c>
      <c r="I62" s="4">
        <v>0</v>
      </c>
      <c r="J62" s="4"/>
      <c r="K62" s="6">
        <v>4</v>
      </c>
      <c r="L62" s="6">
        <v>1</v>
      </c>
      <c r="M62" s="6"/>
      <c r="N62" s="4">
        <v>3</v>
      </c>
      <c r="O62" s="4">
        <v>0</v>
      </c>
      <c r="P62" s="4"/>
      <c r="Q62" s="6">
        <v>1</v>
      </c>
      <c r="R62" s="6">
        <v>0</v>
      </c>
      <c r="S62" s="6"/>
      <c r="T62" s="2">
        <v>39</v>
      </c>
      <c r="U62" s="2">
        <v>4</v>
      </c>
      <c r="V62" s="2">
        <v>1</v>
      </c>
    </row>
    <row r="63" spans="1:22" x14ac:dyDescent="0.25">
      <c r="A63" s="56">
        <v>28</v>
      </c>
      <c r="B63" s="56" t="s">
        <v>369</v>
      </c>
      <c r="C63" s="56" t="s">
        <v>353</v>
      </c>
      <c r="D63" s="37" t="s">
        <v>223</v>
      </c>
      <c r="E63" s="6">
        <v>25</v>
      </c>
      <c r="F63" s="6">
        <v>0</v>
      </c>
      <c r="G63" s="6"/>
      <c r="H63" s="56">
        <v>6</v>
      </c>
      <c r="I63" s="56">
        <v>0</v>
      </c>
      <c r="J63" s="56"/>
      <c r="K63" s="6">
        <v>3</v>
      </c>
      <c r="L63" s="6">
        <v>0</v>
      </c>
      <c r="M63" s="6"/>
      <c r="N63" s="56">
        <v>5</v>
      </c>
      <c r="O63" s="56">
        <v>0</v>
      </c>
      <c r="P63" s="56"/>
      <c r="Q63" s="6">
        <v>0</v>
      </c>
      <c r="R63" s="6">
        <v>0</v>
      </c>
      <c r="S63" s="6"/>
      <c r="T63" s="2">
        <v>39</v>
      </c>
      <c r="U63" s="2">
        <v>0</v>
      </c>
      <c r="V63" s="2">
        <v>5</v>
      </c>
    </row>
    <row r="64" spans="1:22" x14ac:dyDescent="0.25">
      <c r="A64" s="56">
        <v>26</v>
      </c>
      <c r="B64" s="56" t="s">
        <v>383</v>
      </c>
      <c r="C64" s="56" t="s">
        <v>350</v>
      </c>
      <c r="D64" s="37" t="s">
        <v>30</v>
      </c>
      <c r="E64" s="6">
        <v>15</v>
      </c>
      <c r="F64" s="6">
        <v>0</v>
      </c>
      <c r="G64" s="6"/>
      <c r="H64" s="56">
        <v>9</v>
      </c>
      <c r="I64" s="56">
        <v>0</v>
      </c>
      <c r="J64" s="56"/>
      <c r="K64" s="6">
        <v>6</v>
      </c>
      <c r="L64" s="6">
        <v>0</v>
      </c>
      <c r="M64" s="6"/>
      <c r="N64" s="56">
        <v>7</v>
      </c>
      <c r="O64" s="56">
        <v>0</v>
      </c>
      <c r="P64" s="56"/>
      <c r="Q64" s="6">
        <v>1</v>
      </c>
      <c r="R64" s="6">
        <v>0</v>
      </c>
      <c r="S64" s="6"/>
      <c r="T64" s="2">
        <v>38</v>
      </c>
      <c r="U64" s="2">
        <v>0</v>
      </c>
      <c r="V64" s="2">
        <v>2</v>
      </c>
    </row>
    <row r="65" spans="1:22" x14ac:dyDescent="0.25">
      <c r="A65" s="56">
        <v>12</v>
      </c>
      <c r="B65" s="56" t="s">
        <v>357</v>
      </c>
      <c r="C65" s="56" t="s">
        <v>354</v>
      </c>
      <c r="D65" s="37" t="s">
        <v>197</v>
      </c>
      <c r="E65" s="6">
        <v>25</v>
      </c>
      <c r="F65" s="6">
        <v>1</v>
      </c>
      <c r="G65" s="6"/>
      <c r="H65" s="56">
        <v>9</v>
      </c>
      <c r="I65" s="56">
        <v>0</v>
      </c>
      <c r="J65" s="56"/>
      <c r="K65" s="6">
        <v>2</v>
      </c>
      <c r="L65" s="6">
        <v>0</v>
      </c>
      <c r="M65" s="6"/>
      <c r="N65" s="56">
        <v>1</v>
      </c>
      <c r="O65" s="56">
        <v>0</v>
      </c>
      <c r="P65" s="56"/>
      <c r="Q65" s="6">
        <v>0</v>
      </c>
      <c r="R65" s="6">
        <v>0</v>
      </c>
      <c r="S65" s="6"/>
      <c r="T65" s="2">
        <v>37</v>
      </c>
      <c r="U65" s="2">
        <v>1</v>
      </c>
      <c r="V65" s="2">
        <v>1</v>
      </c>
    </row>
    <row r="66" spans="1:22" x14ac:dyDescent="0.25">
      <c r="A66" s="56">
        <v>2</v>
      </c>
      <c r="B66" s="56" t="s">
        <v>351</v>
      </c>
      <c r="C66" s="56" t="s">
        <v>352</v>
      </c>
      <c r="D66" s="40" t="s">
        <v>9</v>
      </c>
      <c r="E66" s="6">
        <v>13</v>
      </c>
      <c r="F66" s="6">
        <v>1</v>
      </c>
      <c r="G66" s="6"/>
      <c r="H66" s="4">
        <v>10</v>
      </c>
      <c r="I66" s="4">
        <v>1</v>
      </c>
      <c r="J66" s="4"/>
      <c r="K66" s="6">
        <v>2</v>
      </c>
      <c r="L66" s="6">
        <v>0</v>
      </c>
      <c r="M66" s="6"/>
      <c r="N66" s="4">
        <v>4</v>
      </c>
      <c r="O66" s="4">
        <v>0</v>
      </c>
      <c r="P66" s="4"/>
      <c r="Q66" s="6">
        <v>1</v>
      </c>
      <c r="R66" s="6">
        <v>0</v>
      </c>
      <c r="S66" s="6"/>
      <c r="T66" s="2">
        <v>30</v>
      </c>
      <c r="U66" s="2">
        <v>2</v>
      </c>
      <c r="V66" s="2">
        <v>0</v>
      </c>
    </row>
    <row r="67" spans="1:22" x14ac:dyDescent="0.25">
      <c r="A67" s="56">
        <v>30</v>
      </c>
      <c r="B67" s="56" t="s">
        <v>355</v>
      </c>
      <c r="C67" s="56" t="s">
        <v>354</v>
      </c>
      <c r="D67" s="37" t="s">
        <v>294</v>
      </c>
      <c r="E67" s="6">
        <v>17</v>
      </c>
      <c r="F67" s="6">
        <v>0</v>
      </c>
      <c r="G67" s="6"/>
      <c r="H67" s="56">
        <v>5</v>
      </c>
      <c r="I67" s="56">
        <v>0</v>
      </c>
      <c r="J67" s="56"/>
      <c r="K67" s="6">
        <v>1</v>
      </c>
      <c r="L67" s="6">
        <v>0</v>
      </c>
      <c r="M67" s="6"/>
      <c r="N67" s="56">
        <v>4</v>
      </c>
      <c r="O67" s="56">
        <v>1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20</v>
      </c>
      <c r="B68" s="56" t="s">
        <v>362</v>
      </c>
      <c r="C68" s="56" t="s">
        <v>352</v>
      </c>
      <c r="D68" s="37" t="s">
        <v>222</v>
      </c>
      <c r="E68" s="6">
        <v>22</v>
      </c>
      <c r="F68" s="6">
        <v>1</v>
      </c>
      <c r="G68" s="6"/>
      <c r="H68" s="56">
        <v>0</v>
      </c>
      <c r="I68" s="56">
        <v>0</v>
      </c>
      <c r="J68" s="56"/>
      <c r="K68" s="6">
        <v>1</v>
      </c>
      <c r="L68" s="6">
        <v>0</v>
      </c>
      <c r="M68" s="6"/>
      <c r="N68" s="56">
        <v>5</v>
      </c>
      <c r="O68" s="56">
        <v>0</v>
      </c>
      <c r="P68" s="56"/>
      <c r="Q68" s="6">
        <v>0</v>
      </c>
      <c r="R68" s="6">
        <v>0</v>
      </c>
      <c r="S68" s="6"/>
      <c r="T68" s="2">
        <v>28</v>
      </c>
      <c r="U68" s="2">
        <v>1</v>
      </c>
      <c r="V68" s="2">
        <v>1</v>
      </c>
    </row>
    <row r="69" spans="1:22" x14ac:dyDescent="0.25">
      <c r="A69" s="56">
        <v>12</v>
      </c>
      <c r="B69" s="56" t="s">
        <v>366</v>
      </c>
      <c r="C69" s="56" t="s">
        <v>352</v>
      </c>
      <c r="D69" s="40" t="s">
        <v>170</v>
      </c>
      <c r="E69" s="6">
        <v>14</v>
      </c>
      <c r="F69" s="6">
        <v>0</v>
      </c>
      <c r="G69" s="6"/>
      <c r="H69" s="4">
        <v>6</v>
      </c>
      <c r="I69" s="4">
        <v>0</v>
      </c>
      <c r="J69" s="4"/>
      <c r="K69" s="6">
        <v>1</v>
      </c>
      <c r="L69" s="6">
        <v>0</v>
      </c>
      <c r="M69" s="6"/>
      <c r="N69" s="4">
        <v>2</v>
      </c>
      <c r="O69" s="4">
        <v>1</v>
      </c>
      <c r="P69" s="4"/>
      <c r="Q69" s="6">
        <v>0</v>
      </c>
      <c r="R69" s="6">
        <v>0</v>
      </c>
      <c r="S69" s="6"/>
      <c r="T69" s="2">
        <v>23</v>
      </c>
      <c r="U69" s="2">
        <v>1</v>
      </c>
      <c r="V69" s="2">
        <v>2</v>
      </c>
    </row>
    <row r="70" spans="1:22" x14ac:dyDescent="0.25">
      <c r="A70" s="56">
        <v>22</v>
      </c>
      <c r="B70" s="56" t="s">
        <v>349</v>
      </c>
      <c r="C70" s="56" t="s">
        <v>352</v>
      </c>
      <c r="D70" s="37" t="s">
        <v>193</v>
      </c>
      <c r="E70" s="6">
        <v>14</v>
      </c>
      <c r="F70" s="6">
        <v>0</v>
      </c>
      <c r="G70" s="6"/>
      <c r="H70" s="56">
        <v>5</v>
      </c>
      <c r="I70" s="56">
        <v>1</v>
      </c>
      <c r="J70" s="56"/>
      <c r="K70" s="6">
        <v>3</v>
      </c>
      <c r="L70" s="6">
        <v>0</v>
      </c>
      <c r="M70" s="6"/>
      <c r="N70" s="56">
        <v>1</v>
      </c>
      <c r="O70" s="56">
        <v>0</v>
      </c>
      <c r="P70" s="56"/>
      <c r="Q70" s="6">
        <v>0</v>
      </c>
      <c r="R70" s="6">
        <v>0</v>
      </c>
      <c r="S70" s="6"/>
      <c r="T70" s="2">
        <v>22</v>
      </c>
      <c r="U70" s="2">
        <v>1</v>
      </c>
      <c r="V70" s="2">
        <v>1</v>
      </c>
    </row>
    <row r="71" spans="1:22" x14ac:dyDescent="0.25">
      <c r="A71" s="56">
        <v>28</v>
      </c>
      <c r="B71" s="56" t="s">
        <v>349</v>
      </c>
      <c r="C71" s="56" t="s">
        <v>354</v>
      </c>
      <c r="D71" s="40" t="s">
        <v>106</v>
      </c>
      <c r="E71" s="6">
        <v>12</v>
      </c>
      <c r="F71" s="6">
        <v>1</v>
      </c>
      <c r="G71" s="6"/>
      <c r="H71" s="4">
        <v>3</v>
      </c>
      <c r="I71" s="4">
        <v>3</v>
      </c>
      <c r="J71" s="4"/>
      <c r="K71" s="6">
        <v>4</v>
      </c>
      <c r="L71" s="6">
        <v>1</v>
      </c>
      <c r="M71" s="6"/>
      <c r="N71" s="4">
        <v>3</v>
      </c>
      <c r="O71" s="4">
        <v>2</v>
      </c>
      <c r="P71" s="4"/>
      <c r="Q71" s="6">
        <v>0</v>
      </c>
      <c r="R71" s="6">
        <v>0</v>
      </c>
      <c r="S71" s="6"/>
      <c r="T71" s="2">
        <v>22</v>
      </c>
      <c r="U71" s="2">
        <v>7</v>
      </c>
      <c r="V71" s="2">
        <v>0</v>
      </c>
    </row>
    <row r="72" spans="1:22" x14ac:dyDescent="0.25">
      <c r="A72" s="4">
        <v>22</v>
      </c>
      <c r="B72" s="4" t="s">
        <v>351</v>
      </c>
      <c r="C72" s="4" t="s">
        <v>354</v>
      </c>
      <c r="D72" s="35" t="s">
        <v>27</v>
      </c>
      <c r="E72" s="6">
        <v>11</v>
      </c>
      <c r="F72" s="6">
        <v>0</v>
      </c>
      <c r="G72" s="6"/>
      <c r="H72" s="4">
        <v>4</v>
      </c>
      <c r="I72" s="4">
        <v>1</v>
      </c>
      <c r="J72" s="4"/>
      <c r="K72" s="6">
        <v>4</v>
      </c>
      <c r="L72" s="6">
        <v>0</v>
      </c>
      <c r="M72" s="6"/>
      <c r="N72" s="4">
        <v>0</v>
      </c>
      <c r="O72" s="4">
        <v>0</v>
      </c>
      <c r="P72" s="4"/>
      <c r="Q72" s="6">
        <v>1</v>
      </c>
      <c r="R72" s="6">
        <v>0</v>
      </c>
      <c r="S72" s="6"/>
      <c r="T72" s="2">
        <v>20</v>
      </c>
      <c r="U72" s="2">
        <v>1</v>
      </c>
      <c r="V72" s="2">
        <v>1</v>
      </c>
    </row>
    <row r="73" spans="1:22" x14ac:dyDescent="0.25">
      <c r="A73" s="56">
        <v>16</v>
      </c>
      <c r="B73" s="56" t="s">
        <v>384</v>
      </c>
      <c r="C73" s="56" t="s">
        <v>353</v>
      </c>
      <c r="D73" s="37" t="s">
        <v>314</v>
      </c>
      <c r="E73" s="6">
        <v>7</v>
      </c>
      <c r="F73" s="6">
        <v>0</v>
      </c>
      <c r="G73" s="6"/>
      <c r="H73" s="56">
        <v>6</v>
      </c>
      <c r="I73" s="56">
        <v>0</v>
      </c>
      <c r="J73" s="56"/>
      <c r="K73" s="6">
        <v>4</v>
      </c>
      <c r="L73" s="6">
        <v>0</v>
      </c>
      <c r="M73" s="6"/>
      <c r="N73" s="56">
        <v>3</v>
      </c>
      <c r="O73" s="56">
        <v>0</v>
      </c>
      <c r="P73" s="56"/>
      <c r="Q73" s="6">
        <v>0</v>
      </c>
      <c r="R73" s="6">
        <v>0</v>
      </c>
      <c r="S73" s="6"/>
      <c r="T73" s="2">
        <v>20</v>
      </c>
      <c r="U73" s="2">
        <v>0</v>
      </c>
      <c r="V73" s="2">
        <v>0</v>
      </c>
    </row>
    <row r="74" spans="1:22" x14ac:dyDescent="0.25">
      <c r="A74" s="4">
        <v>27</v>
      </c>
      <c r="B74" s="4" t="s">
        <v>363</v>
      </c>
      <c r="C74" s="4" t="s">
        <v>354</v>
      </c>
      <c r="D74" s="35" t="s">
        <v>31</v>
      </c>
      <c r="E74" s="6">
        <v>10</v>
      </c>
      <c r="F74" s="6">
        <v>1</v>
      </c>
      <c r="G74" s="6"/>
      <c r="H74" s="4">
        <v>3</v>
      </c>
      <c r="I74" s="4">
        <v>0</v>
      </c>
      <c r="J74" s="4"/>
      <c r="K74" s="6">
        <v>2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18</v>
      </c>
      <c r="U74" s="2">
        <v>1</v>
      </c>
      <c r="V74" s="2">
        <v>0</v>
      </c>
    </row>
    <row r="75" spans="1:22" x14ac:dyDescent="0.25">
      <c r="A75" s="56">
        <v>32</v>
      </c>
      <c r="B75" s="28" t="s">
        <v>355</v>
      </c>
      <c r="C75" s="56" t="s">
        <v>354</v>
      </c>
      <c r="D75" s="40" t="s">
        <v>35</v>
      </c>
      <c r="E75" s="6">
        <v>4</v>
      </c>
      <c r="F75" s="6">
        <v>0</v>
      </c>
      <c r="G75" s="6"/>
      <c r="H75" s="4">
        <v>0</v>
      </c>
      <c r="I75" s="4">
        <v>0</v>
      </c>
      <c r="J75" s="4"/>
      <c r="K75" s="6">
        <v>4</v>
      </c>
      <c r="L75" s="6">
        <v>0</v>
      </c>
      <c r="M75" s="6"/>
      <c r="N75" s="4">
        <v>4</v>
      </c>
      <c r="O75" s="4">
        <v>0</v>
      </c>
      <c r="P75" s="4"/>
      <c r="Q75" s="6">
        <v>0</v>
      </c>
      <c r="R75" s="6">
        <v>0</v>
      </c>
      <c r="S75" s="6"/>
      <c r="T75" s="2">
        <v>12</v>
      </c>
      <c r="U75" s="2">
        <v>0</v>
      </c>
      <c r="V75" s="2">
        <v>0</v>
      </c>
    </row>
    <row r="76" spans="1:22" x14ac:dyDescent="0.25">
      <c r="A76" s="56">
        <v>26</v>
      </c>
      <c r="B76" s="56" t="s">
        <v>385</v>
      </c>
      <c r="C76" s="56" t="s">
        <v>354</v>
      </c>
      <c r="D76" s="37" t="s">
        <v>206</v>
      </c>
      <c r="E76" s="6">
        <v>2</v>
      </c>
      <c r="F76" s="6">
        <v>0</v>
      </c>
      <c r="G76" s="6"/>
      <c r="H76" s="56">
        <v>5</v>
      </c>
      <c r="I76" s="56">
        <v>2</v>
      </c>
      <c r="J76" s="56"/>
      <c r="K76" s="6">
        <v>1</v>
      </c>
      <c r="L76" s="6">
        <v>0</v>
      </c>
      <c r="M76" s="6"/>
      <c r="N76" s="56">
        <v>3</v>
      </c>
      <c r="O76" s="56">
        <v>0</v>
      </c>
      <c r="P76" s="56"/>
      <c r="Q76" s="6">
        <v>0</v>
      </c>
      <c r="R76" s="6">
        <v>0</v>
      </c>
      <c r="S76" s="6"/>
      <c r="T76" s="2">
        <v>11</v>
      </c>
      <c r="U76" s="2">
        <v>2</v>
      </c>
      <c r="V76" s="2">
        <v>0</v>
      </c>
    </row>
    <row r="77" spans="1:22" x14ac:dyDescent="0.25">
      <c r="A77" s="56">
        <v>27</v>
      </c>
      <c r="B77" s="56" t="s">
        <v>361</v>
      </c>
      <c r="C77" s="56" t="s">
        <v>352</v>
      </c>
      <c r="D77" s="37" t="s">
        <v>167</v>
      </c>
      <c r="E77" s="6">
        <v>7</v>
      </c>
      <c r="F77" s="6">
        <v>0</v>
      </c>
      <c r="G77" s="6"/>
      <c r="H77" s="56">
        <v>1</v>
      </c>
      <c r="I77" s="56">
        <v>0</v>
      </c>
      <c r="J77" s="56"/>
      <c r="K77" s="6">
        <v>0</v>
      </c>
      <c r="L77" s="6">
        <v>0</v>
      </c>
      <c r="M77" s="6"/>
      <c r="N77" s="56">
        <v>0</v>
      </c>
      <c r="O77" s="56">
        <v>0</v>
      </c>
      <c r="P77" s="56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56">
        <v>22</v>
      </c>
      <c r="B78" s="56" t="s">
        <v>351</v>
      </c>
      <c r="C78" s="56" t="s">
        <v>353</v>
      </c>
      <c r="D78" s="40" t="s">
        <v>105</v>
      </c>
      <c r="E78" s="6">
        <v>0</v>
      </c>
      <c r="F78" s="6">
        <v>0</v>
      </c>
      <c r="G78" s="6"/>
      <c r="H78" s="4">
        <v>0</v>
      </c>
      <c r="I78" s="4">
        <v>0</v>
      </c>
      <c r="J78" s="4"/>
      <c r="K78" s="6">
        <v>5</v>
      </c>
      <c r="L78" s="6">
        <v>0</v>
      </c>
      <c r="M78" s="6"/>
      <c r="N78" s="4">
        <v>3</v>
      </c>
      <c r="O78" s="4">
        <v>0</v>
      </c>
      <c r="P78" s="4"/>
      <c r="Q78" s="6">
        <v>0</v>
      </c>
      <c r="R78" s="6">
        <v>0</v>
      </c>
      <c r="S78" s="6"/>
      <c r="T78" s="2">
        <v>8</v>
      </c>
      <c r="U78" s="2">
        <v>0</v>
      </c>
      <c r="V78" s="2">
        <v>0</v>
      </c>
    </row>
    <row r="79" spans="1:22" x14ac:dyDescent="0.25">
      <c r="A79" s="4">
        <v>31</v>
      </c>
      <c r="B79" s="56" t="s">
        <v>391</v>
      </c>
      <c r="C79" s="4" t="s">
        <v>354</v>
      </c>
      <c r="D79" s="145" t="s">
        <v>40</v>
      </c>
      <c r="E79" s="6">
        <v>1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2</v>
      </c>
      <c r="O79" s="4">
        <v>0</v>
      </c>
      <c r="P79" s="4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30</v>
      </c>
      <c r="B80" s="56" t="s">
        <v>385</v>
      </c>
      <c r="C80" s="56" t="s">
        <v>350</v>
      </c>
      <c r="D80" s="37" t="s">
        <v>260</v>
      </c>
      <c r="E80" s="6">
        <v>0</v>
      </c>
      <c r="F80" s="6">
        <v>0</v>
      </c>
      <c r="G80" s="6"/>
      <c r="H80" s="56">
        <v>5</v>
      </c>
      <c r="I80" s="56">
        <v>0</v>
      </c>
      <c r="J80" s="56"/>
      <c r="K80" s="6">
        <v>2</v>
      </c>
      <c r="L80" s="6">
        <v>0</v>
      </c>
      <c r="M80" s="6"/>
      <c r="N80" s="56">
        <v>0</v>
      </c>
      <c r="O80" s="56">
        <v>0</v>
      </c>
      <c r="P80" s="56"/>
      <c r="Q80" s="6">
        <v>0</v>
      </c>
      <c r="R80" s="6">
        <v>0</v>
      </c>
      <c r="S80" s="6"/>
      <c r="T80" s="2">
        <v>7</v>
      </c>
      <c r="U80" s="2">
        <v>0</v>
      </c>
      <c r="V80" s="2">
        <v>0</v>
      </c>
    </row>
    <row r="81" spans="1:22" x14ac:dyDescent="0.25">
      <c r="A81" s="56">
        <v>27</v>
      </c>
      <c r="B81" s="56" t="s">
        <v>357</v>
      </c>
      <c r="C81" s="56" t="s">
        <v>354</v>
      </c>
      <c r="D81" s="37" t="s">
        <v>262</v>
      </c>
      <c r="E81" s="6">
        <v>1</v>
      </c>
      <c r="F81" s="6">
        <v>0</v>
      </c>
      <c r="G81" s="6"/>
      <c r="H81" s="56">
        <v>3</v>
      </c>
      <c r="I81" s="56">
        <v>1</v>
      </c>
      <c r="J81" s="56"/>
      <c r="K81" s="6">
        <v>1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1</v>
      </c>
      <c r="V81" s="2">
        <v>0</v>
      </c>
    </row>
    <row r="82" spans="1:22" x14ac:dyDescent="0.25">
      <c r="A82" s="56">
        <v>13</v>
      </c>
      <c r="B82" s="56" t="s">
        <v>386</v>
      </c>
      <c r="C82" s="56" t="s">
        <v>350</v>
      </c>
      <c r="D82" s="37" t="s">
        <v>205</v>
      </c>
      <c r="E82" s="6">
        <v>1</v>
      </c>
      <c r="F82" s="6">
        <v>0</v>
      </c>
      <c r="G82" s="6"/>
      <c r="H82" s="56">
        <v>4</v>
      </c>
      <c r="I82" s="56">
        <v>0</v>
      </c>
      <c r="J82" s="56"/>
      <c r="K82" s="6">
        <v>0</v>
      </c>
      <c r="L82" s="6">
        <v>0</v>
      </c>
      <c r="M82" s="6"/>
      <c r="N82" s="56">
        <v>1</v>
      </c>
      <c r="O82" s="56">
        <v>0</v>
      </c>
      <c r="P82" s="56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22</v>
      </c>
      <c r="B83" s="56" t="s">
        <v>349</v>
      </c>
      <c r="C83" s="56" t="s">
        <v>353</v>
      </c>
      <c r="D83" s="40" t="s">
        <v>185</v>
      </c>
      <c r="E83" s="6">
        <v>4</v>
      </c>
      <c r="F83" s="6">
        <v>0</v>
      </c>
      <c r="G83" s="6"/>
      <c r="H83" s="4">
        <v>2</v>
      </c>
      <c r="I83" s="4">
        <v>0</v>
      </c>
      <c r="J83" s="4"/>
      <c r="K83" s="6">
        <v>0</v>
      </c>
      <c r="L83" s="6">
        <v>0</v>
      </c>
      <c r="M83" s="6"/>
      <c r="N83" s="4">
        <v>0</v>
      </c>
      <c r="O83" s="4">
        <v>0</v>
      </c>
      <c r="P83" s="4"/>
      <c r="Q83" s="6">
        <v>0</v>
      </c>
      <c r="R83" s="6">
        <v>0</v>
      </c>
      <c r="S83" s="6"/>
      <c r="T83" s="2">
        <v>6</v>
      </c>
      <c r="U83" s="2">
        <v>0</v>
      </c>
      <c r="V83" s="2">
        <v>0</v>
      </c>
    </row>
    <row r="84" spans="1:22" x14ac:dyDescent="0.25">
      <c r="A84" s="56">
        <v>40</v>
      </c>
      <c r="B84" s="56" t="s">
        <v>385</v>
      </c>
      <c r="C84" s="56" t="s">
        <v>353</v>
      </c>
      <c r="D84" s="37" t="s">
        <v>34</v>
      </c>
      <c r="E84" s="6">
        <v>0</v>
      </c>
      <c r="F84" s="6">
        <v>0</v>
      </c>
      <c r="G84" s="6"/>
      <c r="H84" s="56">
        <v>1</v>
      </c>
      <c r="I84" s="56">
        <v>0</v>
      </c>
      <c r="J84" s="56"/>
      <c r="K84" s="6">
        <v>1</v>
      </c>
      <c r="L84" s="6">
        <v>0</v>
      </c>
      <c r="M84" s="6"/>
      <c r="N84" s="56">
        <v>2</v>
      </c>
      <c r="O84" s="56">
        <v>0</v>
      </c>
      <c r="P84" s="56"/>
      <c r="Q84" s="6">
        <v>0</v>
      </c>
      <c r="R84" s="6">
        <v>0</v>
      </c>
      <c r="S84" s="6"/>
      <c r="T84" s="2">
        <v>4</v>
      </c>
      <c r="U84" s="2">
        <v>0</v>
      </c>
      <c r="V84" s="2">
        <v>0</v>
      </c>
    </row>
    <row r="85" spans="1:22" x14ac:dyDescent="0.25">
      <c r="A85" s="56">
        <v>43</v>
      </c>
      <c r="B85" s="56" t="s">
        <v>355</v>
      </c>
      <c r="C85" s="56" t="s">
        <v>353</v>
      </c>
      <c r="D85" s="40" t="s">
        <v>118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3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58</v>
      </c>
      <c r="B86" s="56" t="s">
        <v>355</v>
      </c>
      <c r="C86" s="56" t="s">
        <v>353</v>
      </c>
      <c r="D86" s="40" t="s">
        <v>122</v>
      </c>
      <c r="E86" s="6">
        <v>0</v>
      </c>
      <c r="F86" s="6">
        <v>0</v>
      </c>
      <c r="G86" s="6"/>
      <c r="H86" s="4">
        <v>3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47</v>
      </c>
      <c r="B87" s="56" t="s">
        <v>355</v>
      </c>
      <c r="C87" s="56" t="s">
        <v>352</v>
      </c>
      <c r="D87" s="37" t="s">
        <v>178</v>
      </c>
      <c r="E87" s="6">
        <v>0</v>
      </c>
      <c r="F87" s="6">
        <v>0</v>
      </c>
      <c r="G87" s="6"/>
      <c r="H87" s="56">
        <v>2</v>
      </c>
      <c r="I87" s="56">
        <v>0</v>
      </c>
      <c r="J87" s="56"/>
      <c r="K87" s="6">
        <v>1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33</v>
      </c>
      <c r="B88" s="56" t="s">
        <v>392</v>
      </c>
      <c r="C88" s="56" t="s">
        <v>350</v>
      </c>
      <c r="D88" s="37" t="s">
        <v>217</v>
      </c>
      <c r="E88" s="6">
        <v>3</v>
      </c>
      <c r="F88" s="6">
        <v>0</v>
      </c>
      <c r="G88" s="6"/>
      <c r="H88" s="56">
        <v>0</v>
      </c>
      <c r="I88" s="56">
        <v>0</v>
      </c>
      <c r="J88" s="56"/>
      <c r="K88" s="6">
        <v>0</v>
      </c>
      <c r="L88" s="6">
        <v>0</v>
      </c>
      <c r="M88" s="6"/>
      <c r="N88" s="56">
        <v>0</v>
      </c>
      <c r="O88" s="56">
        <v>0</v>
      </c>
      <c r="P88" s="56"/>
      <c r="Q88" s="6">
        <v>0</v>
      </c>
      <c r="R88" s="6">
        <v>0</v>
      </c>
      <c r="S88" s="6"/>
      <c r="T88" s="2">
        <v>3</v>
      </c>
      <c r="U88" s="2">
        <v>0</v>
      </c>
      <c r="V88" s="2">
        <v>0</v>
      </c>
    </row>
    <row r="89" spans="1:22" x14ac:dyDescent="0.25">
      <c r="A89" s="56">
        <v>37</v>
      </c>
      <c r="B89" s="56" t="s">
        <v>368</v>
      </c>
      <c r="C89" s="56" t="s">
        <v>352</v>
      </c>
      <c r="D89" s="40" t="s">
        <v>85</v>
      </c>
      <c r="E89" s="6">
        <v>0</v>
      </c>
      <c r="F89" s="6">
        <v>0</v>
      </c>
      <c r="G89" s="6"/>
      <c r="H89" s="4">
        <v>0</v>
      </c>
      <c r="I89" s="4">
        <v>0</v>
      </c>
      <c r="J89" s="4"/>
      <c r="K89" s="6">
        <v>0</v>
      </c>
      <c r="L89" s="6">
        <v>0</v>
      </c>
      <c r="M89" s="6"/>
      <c r="N89" s="4">
        <v>2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43</v>
      </c>
      <c r="B90" s="56" t="s">
        <v>375</v>
      </c>
      <c r="C90" s="56" t="s">
        <v>353</v>
      </c>
      <c r="D90" s="40" t="s">
        <v>179</v>
      </c>
      <c r="E90" s="6">
        <v>0</v>
      </c>
      <c r="F90" s="6">
        <v>0</v>
      </c>
      <c r="G90" s="6"/>
      <c r="H90" s="4">
        <v>2</v>
      </c>
      <c r="I90" s="4">
        <v>0</v>
      </c>
      <c r="J90" s="4"/>
      <c r="K90" s="6">
        <v>0</v>
      </c>
      <c r="L90" s="6">
        <v>0</v>
      </c>
      <c r="M90" s="6"/>
      <c r="N90" s="4">
        <v>0</v>
      </c>
      <c r="O90" s="4">
        <v>0</v>
      </c>
      <c r="P90" s="4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42</v>
      </c>
      <c r="B91" s="56" t="s">
        <v>355</v>
      </c>
      <c r="C91" s="56" t="s">
        <v>353</v>
      </c>
      <c r="D91" s="37" t="s">
        <v>37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0</v>
      </c>
      <c r="L91" s="6">
        <v>0</v>
      </c>
      <c r="M91" s="6"/>
      <c r="N91" s="56">
        <v>2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87</v>
      </c>
      <c r="B92" s="56" t="s">
        <v>355</v>
      </c>
      <c r="C92" s="56" t="s">
        <v>353</v>
      </c>
      <c r="D92" s="37" t="s">
        <v>226</v>
      </c>
      <c r="E92" s="6">
        <v>0</v>
      </c>
      <c r="F92" s="6">
        <v>0</v>
      </c>
      <c r="G92" s="6"/>
      <c r="H92" s="56">
        <v>0</v>
      </c>
      <c r="I92" s="56">
        <v>0</v>
      </c>
      <c r="J92" s="56"/>
      <c r="K92" s="6">
        <v>1</v>
      </c>
      <c r="L92" s="6">
        <v>0</v>
      </c>
      <c r="M92" s="6"/>
      <c r="N92" s="56">
        <v>1</v>
      </c>
      <c r="O92" s="56">
        <v>1</v>
      </c>
      <c r="P92" s="56"/>
      <c r="Q92" s="6">
        <v>0</v>
      </c>
      <c r="R92" s="6">
        <v>0</v>
      </c>
      <c r="S92" s="6"/>
      <c r="T92" s="2">
        <v>2</v>
      </c>
      <c r="U92" s="2">
        <v>1</v>
      </c>
      <c r="V92" s="2">
        <v>0</v>
      </c>
    </row>
    <row r="93" spans="1:22" x14ac:dyDescent="0.25">
      <c r="A93" s="56">
        <v>65</v>
      </c>
      <c r="B93" s="56" t="s">
        <v>355</v>
      </c>
      <c r="C93" s="56" t="s">
        <v>353</v>
      </c>
      <c r="D93" s="37" t="s">
        <v>121</v>
      </c>
      <c r="E93" s="6">
        <v>0</v>
      </c>
      <c r="F93" s="6">
        <v>0</v>
      </c>
      <c r="G93" s="6"/>
      <c r="H93" s="56">
        <v>1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68</v>
      </c>
      <c r="B94" s="56" t="s">
        <v>355</v>
      </c>
      <c r="C94" s="56" t="s">
        <v>354</v>
      </c>
      <c r="D94" s="37" t="s">
        <v>109</v>
      </c>
      <c r="E94" s="6">
        <v>0</v>
      </c>
      <c r="F94" s="6">
        <v>0</v>
      </c>
      <c r="G94" s="6"/>
      <c r="H94" s="56">
        <v>0</v>
      </c>
      <c r="I94" s="56">
        <v>0</v>
      </c>
      <c r="J94" s="56"/>
      <c r="K94" s="6">
        <v>0</v>
      </c>
      <c r="L94" s="6">
        <v>0</v>
      </c>
      <c r="M94" s="6"/>
      <c r="N94" s="56">
        <v>2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37</v>
      </c>
      <c r="B95" s="56" t="s">
        <v>355</v>
      </c>
      <c r="C95" s="56" t="s">
        <v>354</v>
      </c>
      <c r="D95" s="37" t="s">
        <v>307</v>
      </c>
      <c r="E95" s="6">
        <v>1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2</v>
      </c>
      <c r="U95" s="2">
        <v>0</v>
      </c>
      <c r="V95" s="2">
        <v>0</v>
      </c>
    </row>
    <row r="96" spans="1:22" x14ac:dyDescent="0.25">
      <c r="A96" s="56">
        <v>66</v>
      </c>
      <c r="B96" s="56" t="s">
        <v>355</v>
      </c>
      <c r="C96" s="56" t="s">
        <v>353</v>
      </c>
      <c r="D96" s="37" t="s">
        <v>208</v>
      </c>
      <c r="E96" s="6">
        <v>0</v>
      </c>
      <c r="F96" s="6">
        <v>0</v>
      </c>
      <c r="G96" s="6"/>
      <c r="H96" s="56">
        <v>1</v>
      </c>
      <c r="I96" s="56">
        <v>0</v>
      </c>
      <c r="J96" s="56"/>
      <c r="K96" s="6">
        <v>0</v>
      </c>
      <c r="L96" s="6">
        <v>0</v>
      </c>
      <c r="M96" s="6"/>
      <c r="N96" s="56">
        <v>0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36</v>
      </c>
      <c r="B97" s="56" t="s">
        <v>387</v>
      </c>
      <c r="C97" s="56" t="s">
        <v>353</v>
      </c>
      <c r="D97" s="40" t="s">
        <v>94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1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42</v>
      </c>
      <c r="B98" s="56" t="s">
        <v>355</v>
      </c>
      <c r="C98" s="56" t="s">
        <v>353</v>
      </c>
      <c r="D98" s="37" t="s">
        <v>207</v>
      </c>
      <c r="E98" s="6">
        <v>0</v>
      </c>
      <c r="F98" s="6">
        <v>0</v>
      </c>
      <c r="G98" s="6"/>
      <c r="H98" s="56">
        <v>1</v>
      </c>
      <c r="I98" s="56">
        <v>0</v>
      </c>
      <c r="J98" s="56"/>
      <c r="K98" s="6">
        <v>0</v>
      </c>
      <c r="L98" s="6">
        <v>0</v>
      </c>
      <c r="M98" s="6"/>
      <c r="N98" s="56">
        <v>0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388</v>
      </c>
      <c r="C99" s="56" t="s">
        <v>353</v>
      </c>
      <c r="D99" s="37" t="s">
        <v>96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33</v>
      </c>
      <c r="B100" s="56" t="s">
        <v>355</v>
      </c>
      <c r="C100" s="56" t="s">
        <v>350</v>
      </c>
      <c r="D100" s="37" t="s">
        <v>124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73</v>
      </c>
      <c r="B101" s="56" t="s">
        <v>355</v>
      </c>
      <c r="C101" s="56" t="s">
        <v>352</v>
      </c>
      <c r="D101" s="37" t="s">
        <v>42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0</v>
      </c>
      <c r="O101" s="56">
        <v>0</v>
      </c>
      <c r="P101" s="56"/>
      <c r="Q101" s="6">
        <v>1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76</v>
      </c>
      <c r="B102" s="56" t="s">
        <v>355</v>
      </c>
      <c r="C102" s="56" t="s">
        <v>352</v>
      </c>
      <c r="D102" s="37" t="s">
        <v>304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47</v>
      </c>
      <c r="B103" s="56" t="s">
        <v>389</v>
      </c>
      <c r="C103" s="56" t="s">
        <v>352</v>
      </c>
      <c r="D103" s="37" t="s">
        <v>299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31</v>
      </c>
      <c r="B104" s="56" t="s">
        <v>390</v>
      </c>
      <c r="C104" s="56" t="s">
        <v>350</v>
      </c>
      <c r="D104" s="37" t="s">
        <v>270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51</v>
      </c>
      <c r="B105" s="56" t="s">
        <v>355</v>
      </c>
      <c r="C105" s="56" t="s">
        <v>352</v>
      </c>
      <c r="D105" s="37" t="s">
        <v>300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53</v>
      </c>
      <c r="B106" s="56" t="s">
        <v>349</v>
      </c>
      <c r="C106" s="56" t="s">
        <v>352</v>
      </c>
      <c r="D106" s="37" t="s">
        <v>177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1</v>
      </c>
      <c r="O106" s="56">
        <v>0</v>
      </c>
      <c r="P106" s="56"/>
      <c r="Q106" s="6">
        <v>0</v>
      </c>
      <c r="R106" s="6">
        <v>0</v>
      </c>
      <c r="S106" s="6"/>
      <c r="T106" s="2">
        <v>1</v>
      </c>
      <c r="U106" s="2">
        <v>0</v>
      </c>
      <c r="V106" s="2">
        <v>8</v>
      </c>
    </row>
    <row r="107" spans="1:22" x14ac:dyDescent="0.25">
      <c r="A107" s="56">
        <v>32</v>
      </c>
      <c r="B107" s="56" t="s">
        <v>357</v>
      </c>
      <c r="C107" s="56" t="s">
        <v>350</v>
      </c>
      <c r="D107" s="37" t="s">
        <v>295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>
        <v>33</v>
      </c>
      <c r="B108" s="56" t="s">
        <v>374</v>
      </c>
      <c r="C108" s="56" t="s">
        <v>350</v>
      </c>
      <c r="D108" s="37" t="s">
        <v>221</v>
      </c>
      <c r="E108" s="6">
        <v>0</v>
      </c>
      <c r="F108" s="6">
        <v>0</v>
      </c>
      <c r="G108" s="6"/>
      <c r="H108" s="56">
        <v>0</v>
      </c>
      <c r="I108" s="56">
        <v>0</v>
      </c>
      <c r="J108" s="56"/>
      <c r="K108" s="6">
        <v>0</v>
      </c>
      <c r="L108" s="6">
        <v>0</v>
      </c>
      <c r="M108" s="6"/>
      <c r="N108" s="56">
        <v>0</v>
      </c>
      <c r="O108" s="56">
        <v>0</v>
      </c>
      <c r="P108" s="56"/>
      <c r="Q108" s="6">
        <v>0</v>
      </c>
      <c r="R108" s="6">
        <v>0</v>
      </c>
      <c r="S108" s="6"/>
      <c r="T108" s="2">
        <v>0</v>
      </c>
      <c r="U108" s="2">
        <v>0</v>
      </c>
      <c r="V108" s="2">
        <v>36</v>
      </c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8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39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W28" sqref="W28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5">
        <v>1</v>
      </c>
      <c r="G1" s="216"/>
      <c r="H1" s="217"/>
      <c r="I1" s="215">
        <v>2</v>
      </c>
      <c r="J1" s="216"/>
      <c r="K1" s="217"/>
      <c r="L1" s="215">
        <v>3</v>
      </c>
      <c r="M1" s="216"/>
      <c r="N1" s="217"/>
      <c r="O1" s="215">
        <v>4</v>
      </c>
      <c r="P1" s="216"/>
      <c r="Q1" s="217"/>
      <c r="R1" s="215">
        <v>5</v>
      </c>
      <c r="S1" s="216"/>
      <c r="T1" s="217"/>
      <c r="U1" s="215">
        <v>6</v>
      </c>
      <c r="V1" s="216"/>
      <c r="W1" s="217"/>
      <c r="X1" s="215">
        <v>7</v>
      </c>
      <c r="Y1" s="216"/>
      <c r="Z1" s="217"/>
      <c r="AA1" s="215">
        <v>8</v>
      </c>
      <c r="AB1" s="216"/>
      <c r="AC1" s="217"/>
      <c r="AD1" s="215">
        <v>9</v>
      </c>
      <c r="AE1" s="216"/>
      <c r="AF1" s="217"/>
      <c r="AG1" s="215">
        <v>10</v>
      </c>
      <c r="AH1" s="216"/>
      <c r="AI1" s="217"/>
      <c r="AJ1" s="215">
        <v>11</v>
      </c>
      <c r="AK1" s="216"/>
      <c r="AL1" s="217"/>
      <c r="AM1" s="215">
        <v>12</v>
      </c>
      <c r="AN1" s="216"/>
      <c r="AO1" s="217"/>
      <c r="AP1" s="215">
        <v>13</v>
      </c>
      <c r="AQ1" s="216"/>
      <c r="AR1" s="217"/>
      <c r="AS1" s="215">
        <v>14</v>
      </c>
      <c r="AT1" s="216"/>
      <c r="AU1" s="217"/>
      <c r="AV1" s="215">
        <v>15</v>
      </c>
      <c r="AW1" s="216"/>
      <c r="AX1" s="217"/>
      <c r="AY1" s="215">
        <v>16</v>
      </c>
      <c r="AZ1" s="216"/>
      <c r="BA1" s="217"/>
      <c r="BB1" s="215">
        <v>17</v>
      </c>
      <c r="BC1" s="216"/>
      <c r="BD1" s="217"/>
      <c r="BE1" s="215">
        <v>18</v>
      </c>
      <c r="BF1" s="216"/>
      <c r="BG1" s="217"/>
      <c r="BH1" s="215">
        <v>19</v>
      </c>
      <c r="BI1" s="216"/>
      <c r="BJ1" s="217"/>
      <c r="BK1" s="215">
        <v>20</v>
      </c>
      <c r="BL1" s="216"/>
      <c r="BM1" s="217"/>
      <c r="BN1" s="215">
        <v>21</v>
      </c>
      <c r="BO1" s="216"/>
      <c r="BP1" s="217"/>
      <c r="BQ1" s="215">
        <v>22</v>
      </c>
      <c r="BR1" s="216"/>
      <c r="BS1" s="217"/>
      <c r="BT1" s="215">
        <v>23</v>
      </c>
      <c r="BU1" s="216"/>
      <c r="BV1" s="217"/>
      <c r="BW1" s="215">
        <v>24</v>
      </c>
      <c r="BX1" s="216"/>
      <c r="BY1" s="217"/>
      <c r="BZ1" s="215">
        <v>25</v>
      </c>
      <c r="CA1" s="216"/>
      <c r="CB1" s="217"/>
      <c r="CC1" s="215">
        <v>26</v>
      </c>
      <c r="CD1" s="216"/>
      <c r="CE1" s="217"/>
      <c r="CF1" s="215">
        <v>27</v>
      </c>
      <c r="CG1" s="216"/>
      <c r="CH1" s="217"/>
      <c r="CI1" s="215">
        <v>28</v>
      </c>
      <c r="CJ1" s="216"/>
      <c r="CK1" s="217"/>
      <c r="CL1" s="215">
        <v>29</v>
      </c>
      <c r="CM1" s="216"/>
      <c r="CN1" s="217"/>
      <c r="CO1" s="215">
        <v>30</v>
      </c>
      <c r="CP1" s="216"/>
      <c r="CQ1" s="217"/>
      <c r="CR1" s="215">
        <v>31</v>
      </c>
      <c r="CS1" s="216"/>
      <c r="CT1" s="217"/>
      <c r="CU1" s="215">
        <v>32</v>
      </c>
      <c r="CV1" s="216"/>
      <c r="CW1" s="217"/>
      <c r="CX1" s="215">
        <v>33</v>
      </c>
      <c r="CY1" s="216"/>
      <c r="CZ1" s="217"/>
      <c r="DA1" s="215">
        <v>34</v>
      </c>
      <c r="DB1" s="216"/>
      <c r="DC1" s="217"/>
      <c r="DD1" s="215">
        <v>35</v>
      </c>
      <c r="DE1" s="216"/>
      <c r="DF1" s="217"/>
      <c r="DG1" s="215">
        <v>36</v>
      </c>
      <c r="DH1" s="216"/>
      <c r="DI1" s="217"/>
      <c r="DJ1" s="215">
        <v>37</v>
      </c>
      <c r="DK1" s="216"/>
      <c r="DL1" s="217"/>
      <c r="DM1" s="215">
        <v>38</v>
      </c>
      <c r="DN1" s="216"/>
      <c r="DO1" s="217"/>
    </row>
    <row r="2" spans="1:119" ht="15.75" thickBot="1" x14ac:dyDescent="0.3">
      <c r="A2" s="3"/>
      <c r="B2" s="17"/>
      <c r="C2" s="221" t="s">
        <v>396</v>
      </c>
      <c r="D2" s="221" t="s">
        <v>397</v>
      </c>
      <c r="E2" s="221" t="s">
        <v>398</v>
      </c>
      <c r="F2" s="218" t="s">
        <v>346</v>
      </c>
      <c r="G2" s="219"/>
      <c r="H2" s="220"/>
      <c r="I2" s="218" t="s">
        <v>331</v>
      </c>
      <c r="J2" s="219"/>
      <c r="K2" s="220"/>
      <c r="L2" s="218" t="s">
        <v>330</v>
      </c>
      <c r="M2" s="219"/>
      <c r="N2" s="220"/>
      <c r="O2" s="218" t="s">
        <v>328</v>
      </c>
      <c r="P2" s="219"/>
      <c r="Q2" s="220"/>
      <c r="R2" s="218" t="s">
        <v>335</v>
      </c>
      <c r="S2" s="219"/>
      <c r="T2" s="220"/>
      <c r="U2" s="218" t="s">
        <v>320</v>
      </c>
      <c r="V2" s="219"/>
      <c r="W2" s="220"/>
      <c r="X2" s="218" t="s">
        <v>337</v>
      </c>
      <c r="Y2" s="219"/>
      <c r="Z2" s="220"/>
      <c r="AA2" s="218" t="s">
        <v>334</v>
      </c>
      <c r="AB2" s="219"/>
      <c r="AC2" s="220"/>
      <c r="AD2" s="218" t="s">
        <v>321</v>
      </c>
      <c r="AE2" s="219"/>
      <c r="AF2" s="220"/>
      <c r="AG2" s="218" t="s">
        <v>347</v>
      </c>
      <c r="AH2" s="219"/>
      <c r="AI2" s="220"/>
      <c r="AJ2" s="218" t="s">
        <v>324</v>
      </c>
      <c r="AK2" s="219"/>
      <c r="AL2" s="220"/>
      <c r="AM2" s="218" t="s">
        <v>323</v>
      </c>
      <c r="AN2" s="219"/>
      <c r="AO2" s="220"/>
      <c r="AP2" s="218" t="s">
        <v>332</v>
      </c>
      <c r="AQ2" s="219"/>
      <c r="AR2" s="220"/>
      <c r="AS2" s="218" t="s">
        <v>329</v>
      </c>
      <c r="AT2" s="219"/>
      <c r="AU2" s="220"/>
      <c r="AV2" s="218" t="s">
        <v>336</v>
      </c>
      <c r="AW2" s="219"/>
      <c r="AX2" s="220"/>
      <c r="AY2" s="218" t="s">
        <v>305</v>
      </c>
      <c r="AZ2" s="219"/>
      <c r="BA2" s="220"/>
      <c r="BB2" s="218" t="s">
        <v>326</v>
      </c>
      <c r="BC2" s="219"/>
      <c r="BD2" s="220"/>
      <c r="BE2" s="218" t="s">
        <v>325</v>
      </c>
      <c r="BF2" s="219"/>
      <c r="BG2" s="220"/>
      <c r="BH2" s="218" t="s">
        <v>348</v>
      </c>
      <c r="BI2" s="219"/>
      <c r="BJ2" s="220"/>
      <c r="BK2" s="218" t="s">
        <v>332</v>
      </c>
      <c r="BL2" s="219"/>
      <c r="BM2" s="220"/>
      <c r="BN2" s="218" t="s">
        <v>347</v>
      </c>
      <c r="BO2" s="219"/>
      <c r="BP2" s="220"/>
      <c r="BQ2" s="218" t="s">
        <v>324</v>
      </c>
      <c r="BR2" s="219"/>
      <c r="BS2" s="220"/>
      <c r="BT2" s="218" t="s">
        <v>323</v>
      </c>
      <c r="BU2" s="219"/>
      <c r="BV2" s="220"/>
      <c r="BW2" s="218" t="s">
        <v>321</v>
      </c>
      <c r="BX2" s="219"/>
      <c r="BY2" s="220"/>
      <c r="BZ2" s="218" t="s">
        <v>348</v>
      </c>
      <c r="CA2" s="219"/>
      <c r="CB2" s="220"/>
      <c r="CC2" s="218" t="s">
        <v>325</v>
      </c>
      <c r="CD2" s="219"/>
      <c r="CE2" s="220"/>
      <c r="CF2" s="218" t="s">
        <v>305</v>
      </c>
      <c r="CG2" s="219"/>
      <c r="CH2" s="220"/>
      <c r="CI2" s="218" t="s">
        <v>326</v>
      </c>
      <c r="CJ2" s="219"/>
      <c r="CK2" s="220"/>
      <c r="CL2" s="218" t="s">
        <v>330</v>
      </c>
      <c r="CM2" s="219"/>
      <c r="CN2" s="220"/>
      <c r="CO2" s="218" t="s">
        <v>328</v>
      </c>
      <c r="CP2" s="219"/>
      <c r="CQ2" s="220"/>
      <c r="CR2" s="218" t="s">
        <v>346</v>
      </c>
      <c r="CS2" s="219"/>
      <c r="CT2" s="220"/>
      <c r="CU2" s="218" t="s">
        <v>331</v>
      </c>
      <c r="CV2" s="219"/>
      <c r="CW2" s="220"/>
      <c r="CX2" s="218" t="s">
        <v>336</v>
      </c>
      <c r="CY2" s="219"/>
      <c r="CZ2" s="220"/>
      <c r="DA2" s="218" t="s">
        <v>329</v>
      </c>
      <c r="DB2" s="219"/>
      <c r="DC2" s="220"/>
      <c r="DD2" s="218" t="s">
        <v>320</v>
      </c>
      <c r="DE2" s="219"/>
      <c r="DF2" s="220"/>
      <c r="DG2" s="218" t="s">
        <v>337</v>
      </c>
      <c r="DH2" s="219"/>
      <c r="DI2" s="220"/>
      <c r="DJ2" s="218" t="s">
        <v>334</v>
      </c>
      <c r="DK2" s="219"/>
      <c r="DL2" s="220"/>
      <c r="DM2" s="218" t="s">
        <v>335</v>
      </c>
      <c r="DN2" s="219"/>
      <c r="DO2" s="220"/>
    </row>
    <row r="3" spans="1:119" x14ac:dyDescent="0.25">
      <c r="A3" s="3" t="s">
        <v>48</v>
      </c>
      <c r="B3" s="17" t="s">
        <v>1</v>
      </c>
      <c r="C3" s="223"/>
      <c r="D3" s="223"/>
      <c r="E3" s="222"/>
      <c r="F3" s="160" t="s">
        <v>393</v>
      </c>
      <c r="G3" s="161" t="s">
        <v>394</v>
      </c>
      <c r="H3" s="200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200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6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1">
        <f t="shared" si="0"/>
        <v>0</v>
      </c>
      <c r="F4" s="52">
        <v>1</v>
      </c>
      <c r="G4" s="36"/>
      <c r="H4" s="167"/>
      <c r="I4" s="52">
        <v>1</v>
      </c>
      <c r="J4" s="36"/>
      <c r="K4" s="53"/>
      <c r="L4" s="52">
        <v>1</v>
      </c>
      <c r="M4" s="36"/>
      <c r="N4" s="167"/>
      <c r="O4" s="52">
        <v>1</v>
      </c>
      <c r="P4" s="36"/>
      <c r="Q4" s="53"/>
      <c r="R4" s="52">
        <v>1</v>
      </c>
      <c r="S4" s="36"/>
      <c r="T4" s="53"/>
      <c r="U4" s="52">
        <v>1</v>
      </c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5" si="1">SUM(F5,I5,L5,O5,R5,U5,X5,AA5,AD5,AG5,AJ5,AM5,AP5,AS5,AV5,AY5,BB5,BE5,BH5,BK5,BN5,BQ5,BT5,BW5,BZ5,CC5,CF5,CI5,CL5,CO5,CR5,CU5,CX5,DA5,DD5,DG5,DJ5,DM5)</f>
        <v>0</v>
      </c>
      <c r="D5" s="58">
        <f t="shared" ref="D5:D15" si="2">SUM(G5,J5,M5,P5,S5,V5,Y5,AB5,AE5,AH5,AK5,AN5,AQ5,AT5,AW5,AZ5,BC5,BF5,BI5,BL5,BO5,BR5,BU5,BX5,CA5,CD5,CG5,CJ5,CM5,CP5,CS5,CV5,CY5,DB5,DE5,DH5,DK5,DN5)</f>
        <v>0</v>
      </c>
      <c r="E5" s="51">
        <f t="shared" ref="E5:E15" si="3">SUM(H5,K5,N5,Q5,T5,W5,Z5,AC5,AF5,AI5,AL5,AO5,AR5,AU5,AX5,BA5,BD5,BG5,BJ5,BM5,BP5,BS5,BV5,BY5,CB5,CE5,CH5,CK5,CN5,CQ5,CT5,CW5,CZ5,DC5,DF5,DI5,DL5,DO5)</f>
        <v>0</v>
      </c>
      <c r="F5" s="52"/>
      <c r="G5" s="36"/>
      <c r="H5" s="167"/>
      <c r="I5" s="52"/>
      <c r="J5" s="36"/>
      <c r="K5" s="53"/>
      <c r="L5" s="52"/>
      <c r="M5" s="36"/>
      <c r="N5" s="167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1">
        <f t="shared" si="3"/>
        <v>0</v>
      </c>
      <c r="F6" s="52">
        <v>1</v>
      </c>
      <c r="G6" s="36"/>
      <c r="H6" s="167"/>
      <c r="I6" s="52">
        <v>1</v>
      </c>
      <c r="J6" s="36"/>
      <c r="K6" s="53"/>
      <c r="L6" s="52"/>
      <c r="M6" s="36"/>
      <c r="N6" s="167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5</v>
      </c>
      <c r="D7" s="58">
        <f t="shared" si="2"/>
        <v>0</v>
      </c>
      <c r="E7" s="51">
        <f t="shared" si="3"/>
        <v>2</v>
      </c>
      <c r="F7" s="52">
        <v>1</v>
      </c>
      <c r="G7" s="36"/>
      <c r="H7" s="167">
        <v>1</v>
      </c>
      <c r="I7" s="52">
        <v>1</v>
      </c>
      <c r="J7" s="36"/>
      <c r="K7" s="53"/>
      <c r="L7" s="52">
        <v>1</v>
      </c>
      <c r="M7" s="36"/>
      <c r="N7" s="167"/>
      <c r="O7" s="52">
        <v>1</v>
      </c>
      <c r="P7" s="36"/>
      <c r="Q7" s="53"/>
      <c r="R7" s="52"/>
      <c r="S7" s="36"/>
      <c r="T7" s="53"/>
      <c r="U7" s="52">
        <v>1</v>
      </c>
      <c r="V7" s="36"/>
      <c r="W7" s="53">
        <v>1</v>
      </c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3</v>
      </c>
      <c r="D8" s="58">
        <f t="shared" si="2"/>
        <v>0</v>
      </c>
      <c r="E8" s="51">
        <f t="shared" si="3"/>
        <v>0</v>
      </c>
      <c r="F8" s="52">
        <v>1</v>
      </c>
      <c r="G8" s="36"/>
      <c r="H8" s="167"/>
      <c r="I8" s="52"/>
      <c r="J8" s="36"/>
      <c r="K8" s="53"/>
      <c r="L8" s="52">
        <v>1</v>
      </c>
      <c r="M8" s="36"/>
      <c r="N8" s="167"/>
      <c r="O8" s="52"/>
      <c r="P8" s="36"/>
      <c r="Q8" s="53"/>
      <c r="R8" s="52"/>
      <c r="S8" s="36"/>
      <c r="T8" s="53"/>
      <c r="U8" s="52">
        <v>1</v>
      </c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6</v>
      </c>
      <c r="D9" s="58">
        <f t="shared" si="2"/>
        <v>0</v>
      </c>
      <c r="E9" s="51">
        <f t="shared" si="3"/>
        <v>0</v>
      </c>
      <c r="F9" s="52">
        <v>1</v>
      </c>
      <c r="G9" s="36"/>
      <c r="H9" s="167"/>
      <c r="I9" s="52">
        <v>1</v>
      </c>
      <c r="J9" s="36"/>
      <c r="K9" s="53"/>
      <c r="L9" s="52">
        <v>1</v>
      </c>
      <c r="M9" s="36"/>
      <c r="N9" s="167"/>
      <c r="O9" s="52">
        <v>1</v>
      </c>
      <c r="P9" s="36"/>
      <c r="Q9" s="53"/>
      <c r="R9" s="52">
        <v>1</v>
      </c>
      <c r="S9" s="36"/>
      <c r="T9" s="53"/>
      <c r="U9" s="52">
        <v>1</v>
      </c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6</v>
      </c>
      <c r="D10" s="58">
        <f t="shared" si="2"/>
        <v>3</v>
      </c>
      <c r="E10" s="51">
        <f t="shared" si="3"/>
        <v>0</v>
      </c>
      <c r="F10" s="52">
        <v>1</v>
      </c>
      <c r="G10" s="36">
        <v>1</v>
      </c>
      <c r="H10" s="167"/>
      <c r="I10" s="52">
        <v>1</v>
      </c>
      <c r="J10" s="36">
        <v>1</v>
      </c>
      <c r="K10" s="53"/>
      <c r="L10" s="52">
        <v>1</v>
      </c>
      <c r="M10" s="36"/>
      <c r="N10" s="167"/>
      <c r="O10" s="52">
        <v>1</v>
      </c>
      <c r="P10" s="36">
        <v>1</v>
      </c>
      <c r="Q10" s="53"/>
      <c r="R10" s="52">
        <v>1</v>
      </c>
      <c r="S10" s="36"/>
      <c r="T10" s="53"/>
      <c r="U10" s="52">
        <v>1</v>
      </c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6</v>
      </c>
      <c r="D11" s="58">
        <f t="shared" si="2"/>
        <v>2</v>
      </c>
      <c r="E11" s="51">
        <f t="shared" si="3"/>
        <v>0</v>
      </c>
      <c r="F11" s="52">
        <v>1</v>
      </c>
      <c r="G11" s="36">
        <v>1</v>
      </c>
      <c r="H11" s="167"/>
      <c r="I11" s="52">
        <v>1</v>
      </c>
      <c r="J11" s="36"/>
      <c r="K11" s="53"/>
      <c r="L11" s="52">
        <v>1</v>
      </c>
      <c r="M11" s="36">
        <v>1</v>
      </c>
      <c r="N11" s="167"/>
      <c r="O11" s="52">
        <v>1</v>
      </c>
      <c r="P11" s="36"/>
      <c r="Q11" s="53"/>
      <c r="R11" s="52">
        <v>1</v>
      </c>
      <c r="S11" s="36"/>
      <c r="T11" s="53"/>
      <c r="U11" s="52">
        <v>1</v>
      </c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4</v>
      </c>
      <c r="D12" s="58">
        <f t="shared" si="2"/>
        <v>0</v>
      </c>
      <c r="E12" s="51">
        <f t="shared" si="3"/>
        <v>0</v>
      </c>
      <c r="F12" s="52">
        <v>1</v>
      </c>
      <c r="G12" s="36"/>
      <c r="H12" s="167"/>
      <c r="I12" s="52">
        <v>1</v>
      </c>
      <c r="J12" s="36"/>
      <c r="K12" s="53"/>
      <c r="L12" s="52"/>
      <c r="M12" s="36"/>
      <c r="N12" s="167"/>
      <c r="O12" s="52">
        <v>1</v>
      </c>
      <c r="P12" s="36"/>
      <c r="Q12" s="53"/>
      <c r="R12" s="52">
        <v>1</v>
      </c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ht="14.25" customHeight="1" x14ac:dyDescent="0.25">
      <c r="A13" s="27">
        <v>12</v>
      </c>
      <c r="B13" s="35" t="s">
        <v>276</v>
      </c>
      <c r="C13" s="58">
        <f t="shared" si="1"/>
        <v>3</v>
      </c>
      <c r="D13" s="58">
        <f t="shared" si="2"/>
        <v>0</v>
      </c>
      <c r="E13" s="51">
        <f t="shared" si="3"/>
        <v>0</v>
      </c>
      <c r="F13" s="52"/>
      <c r="G13" s="36"/>
      <c r="H13" s="167"/>
      <c r="I13" s="52"/>
      <c r="J13" s="36"/>
      <c r="K13" s="53"/>
      <c r="L13" s="52"/>
      <c r="M13" s="36"/>
      <c r="N13" s="167"/>
      <c r="O13" s="52">
        <v>1</v>
      </c>
      <c r="P13" s="36"/>
      <c r="Q13" s="53"/>
      <c r="R13" s="52">
        <v>1</v>
      </c>
      <c r="S13" s="36"/>
      <c r="T13" s="53"/>
      <c r="U13" s="52">
        <v>1</v>
      </c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1">
        <f t="shared" si="3"/>
        <v>0</v>
      </c>
      <c r="F14" s="52"/>
      <c r="G14" s="36"/>
      <c r="H14" s="167"/>
      <c r="I14" s="52"/>
      <c r="J14" s="36"/>
      <c r="K14" s="53"/>
      <c r="L14" s="52"/>
      <c r="M14" s="36"/>
      <c r="N14" s="167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14</v>
      </c>
      <c r="B15" s="149" t="s">
        <v>317</v>
      </c>
      <c r="C15" s="58">
        <f t="shared" si="1"/>
        <v>3</v>
      </c>
      <c r="D15" s="58">
        <f t="shared" si="2"/>
        <v>0</v>
      </c>
      <c r="E15" s="51">
        <f t="shared" si="3"/>
        <v>0</v>
      </c>
      <c r="F15" s="52"/>
      <c r="G15" s="36"/>
      <c r="H15" s="167"/>
      <c r="I15" s="52"/>
      <c r="J15" s="36"/>
      <c r="K15" s="53"/>
      <c r="L15" s="52">
        <v>1</v>
      </c>
      <c r="M15" s="36"/>
      <c r="N15" s="167"/>
      <c r="O15" s="52"/>
      <c r="P15" s="36"/>
      <c r="Q15" s="53"/>
      <c r="R15" s="52">
        <v>1</v>
      </c>
      <c r="S15" s="36"/>
      <c r="T15" s="53"/>
      <c r="U15" s="52">
        <v>1</v>
      </c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15</v>
      </c>
      <c r="B16" s="149" t="s">
        <v>431</v>
      </c>
      <c r="C16" s="58">
        <f t="shared" ref="C16:C28" si="4">SUM(F16,I16,L16,O16,R16,U16,X16,AA16,AD16,AG16,AJ16,AM16,AP16,AS16,AV16,AY16,BB16,BE16,BH16,BK16,BN16,BQ16,BT16,BW16,BZ16,CC16,CF16,CI16,CL16,CO16,CR16,CU16,CX16,DA16,DD16,DG16,DJ16,DM16)</f>
        <v>5</v>
      </c>
      <c r="D16" s="58">
        <f t="shared" ref="D16:D28" si="5">SUM(G16,J16,M16,P16,S16,V16,Y16,AB16,AE16,AH16,AK16,AN16,AQ16,AT16,AW16,AZ16,BC16,BF16,BI16,BL16,BO16,BR16,BU16,BX16,CA16,CD16,CG16,CJ16,CM16,CP16,CS16,CV16,CY16,DB16,DE16,DH16,DK16,DN16)</f>
        <v>0</v>
      </c>
      <c r="E16" s="51">
        <f t="shared" ref="E16:E28" si="6">SUM(H16,K16,N16,Q16,T16,W16,Z16,AC16,AF16,AI16,AL16,AO16,AR16,AU16,AX16,BA16,BD16,BG16,BJ16,BM16,BP16,BS16,BV16,BY16,CB16,CE16,CH16,CK16,CN16,CQ16,CT16,CW16,CZ16,DC16,DF16,DI16,DL16,DO16)</f>
        <v>0</v>
      </c>
      <c r="F16" s="52"/>
      <c r="G16" s="36"/>
      <c r="H16" s="167"/>
      <c r="I16" s="52">
        <v>1</v>
      </c>
      <c r="J16" s="36"/>
      <c r="K16" s="53"/>
      <c r="L16" s="52">
        <v>1</v>
      </c>
      <c r="M16" s="36"/>
      <c r="N16" s="167"/>
      <c r="O16" s="52">
        <v>1</v>
      </c>
      <c r="P16" s="36"/>
      <c r="Q16" s="53"/>
      <c r="R16" s="52">
        <v>1</v>
      </c>
      <c r="S16" s="36"/>
      <c r="T16" s="53"/>
      <c r="U16" s="52">
        <v>1</v>
      </c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x14ac:dyDescent="0.25">
      <c r="A17" s="27">
        <v>17</v>
      </c>
      <c r="B17" s="148" t="s">
        <v>343</v>
      </c>
      <c r="C17" s="58">
        <f t="shared" si="4"/>
        <v>5</v>
      </c>
      <c r="D17" s="58">
        <f t="shared" si="5"/>
        <v>0</v>
      </c>
      <c r="E17" s="51">
        <f t="shared" si="6"/>
        <v>1</v>
      </c>
      <c r="F17" s="52">
        <v>1</v>
      </c>
      <c r="G17" s="36"/>
      <c r="H17" s="167"/>
      <c r="I17" s="52">
        <v>1</v>
      </c>
      <c r="J17" s="36"/>
      <c r="K17" s="53"/>
      <c r="L17" s="52">
        <v>1</v>
      </c>
      <c r="M17" s="36"/>
      <c r="N17" s="167">
        <v>1</v>
      </c>
      <c r="O17" s="52">
        <v>1</v>
      </c>
      <c r="P17" s="36"/>
      <c r="Q17" s="53"/>
      <c r="R17" s="52">
        <v>1</v>
      </c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20</v>
      </c>
      <c r="B18" s="148" t="s">
        <v>315</v>
      </c>
      <c r="C18" s="58">
        <f t="shared" si="4"/>
        <v>3</v>
      </c>
      <c r="D18" s="58">
        <f t="shared" si="5"/>
        <v>0</v>
      </c>
      <c r="E18" s="51">
        <f t="shared" si="6"/>
        <v>0</v>
      </c>
      <c r="F18" s="52">
        <v>1</v>
      </c>
      <c r="G18" s="36"/>
      <c r="H18" s="167"/>
      <c r="I18" s="52"/>
      <c r="J18" s="36"/>
      <c r="K18" s="53"/>
      <c r="L18" s="52">
        <v>1</v>
      </c>
      <c r="M18" s="36"/>
      <c r="N18" s="167"/>
      <c r="O18" s="52"/>
      <c r="P18" s="36"/>
      <c r="Q18" s="53"/>
      <c r="R18" s="52"/>
      <c r="S18" s="36"/>
      <c r="T18" s="53"/>
      <c r="U18" s="52">
        <v>1</v>
      </c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1">
        <f t="shared" si="6"/>
        <v>0</v>
      </c>
      <c r="F19" s="52"/>
      <c r="G19" s="36"/>
      <c r="H19" s="167"/>
      <c r="I19" s="52"/>
      <c r="J19" s="36"/>
      <c r="K19" s="53"/>
      <c r="L19" s="52"/>
      <c r="M19" s="36"/>
      <c r="N19" s="167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23</v>
      </c>
      <c r="B20" s="37" t="s">
        <v>293</v>
      </c>
      <c r="C20" s="58">
        <f t="shared" si="4"/>
        <v>6</v>
      </c>
      <c r="D20" s="58">
        <f t="shared" si="5"/>
        <v>0</v>
      </c>
      <c r="E20" s="51">
        <f t="shared" si="6"/>
        <v>0</v>
      </c>
      <c r="F20" s="52">
        <v>1</v>
      </c>
      <c r="G20" s="36"/>
      <c r="H20" s="167"/>
      <c r="I20" s="52">
        <v>1</v>
      </c>
      <c r="J20" s="36"/>
      <c r="K20" s="53"/>
      <c r="L20" s="52">
        <v>1</v>
      </c>
      <c r="M20" s="36"/>
      <c r="N20" s="167"/>
      <c r="O20" s="52">
        <v>1</v>
      </c>
      <c r="P20" s="36"/>
      <c r="Q20" s="53"/>
      <c r="R20" s="52">
        <v>1</v>
      </c>
      <c r="S20" s="36"/>
      <c r="T20" s="53"/>
      <c r="U20" s="52">
        <v>1</v>
      </c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29</v>
      </c>
      <c r="B21" s="148" t="s">
        <v>275</v>
      </c>
      <c r="C21" s="58">
        <f t="shared" si="4"/>
        <v>6</v>
      </c>
      <c r="D21" s="58">
        <f t="shared" si="5"/>
        <v>2</v>
      </c>
      <c r="E21" s="51">
        <f t="shared" si="6"/>
        <v>0</v>
      </c>
      <c r="F21" s="52">
        <v>1</v>
      </c>
      <c r="G21" s="36">
        <v>1</v>
      </c>
      <c r="H21" s="167"/>
      <c r="I21" s="52">
        <v>1</v>
      </c>
      <c r="J21" s="36"/>
      <c r="K21" s="53"/>
      <c r="L21" s="52">
        <v>1</v>
      </c>
      <c r="M21" s="36">
        <v>1</v>
      </c>
      <c r="N21" s="167"/>
      <c r="O21" s="52">
        <v>1</v>
      </c>
      <c r="P21" s="36"/>
      <c r="Q21" s="53"/>
      <c r="R21" s="52">
        <v>1</v>
      </c>
      <c r="S21" s="36"/>
      <c r="T21" s="53"/>
      <c r="U21" s="52">
        <v>1</v>
      </c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1">
        <f t="shared" si="6"/>
        <v>0</v>
      </c>
      <c r="F22" s="52"/>
      <c r="G22" s="36"/>
      <c r="H22" s="167"/>
      <c r="I22" s="52"/>
      <c r="J22" s="36"/>
      <c r="K22" s="53"/>
      <c r="L22" s="52"/>
      <c r="M22" s="36"/>
      <c r="N22" s="167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33</v>
      </c>
      <c r="B23" s="148" t="s">
        <v>291</v>
      </c>
      <c r="C23" s="58">
        <f t="shared" si="4"/>
        <v>6</v>
      </c>
      <c r="D23" s="58">
        <f t="shared" si="5"/>
        <v>1</v>
      </c>
      <c r="E23" s="51">
        <f t="shared" si="6"/>
        <v>2</v>
      </c>
      <c r="F23" s="52">
        <v>1</v>
      </c>
      <c r="G23" s="36"/>
      <c r="H23" s="167">
        <v>1</v>
      </c>
      <c r="I23" s="52">
        <v>1</v>
      </c>
      <c r="J23" s="36"/>
      <c r="K23" s="53">
        <v>1</v>
      </c>
      <c r="L23" s="52">
        <v>1</v>
      </c>
      <c r="M23" s="36"/>
      <c r="N23" s="167"/>
      <c r="O23" s="52">
        <v>1</v>
      </c>
      <c r="P23" s="36"/>
      <c r="Q23" s="53"/>
      <c r="R23" s="52">
        <v>1</v>
      </c>
      <c r="S23" s="36"/>
      <c r="T23" s="53"/>
      <c r="U23" s="52">
        <v>1</v>
      </c>
      <c r="V23" s="36">
        <v>1</v>
      </c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1">
        <f t="shared" si="6"/>
        <v>0</v>
      </c>
      <c r="F24" s="52"/>
      <c r="G24" s="36"/>
      <c r="H24" s="167"/>
      <c r="I24" s="52"/>
      <c r="J24" s="36"/>
      <c r="K24" s="53"/>
      <c r="L24" s="52"/>
      <c r="M24" s="36"/>
      <c r="N24" s="167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36</v>
      </c>
      <c r="B25" s="148" t="s">
        <v>313</v>
      </c>
      <c r="C25" s="58">
        <f t="shared" si="4"/>
        <v>5</v>
      </c>
      <c r="D25" s="58">
        <f t="shared" si="5"/>
        <v>0</v>
      </c>
      <c r="E25" s="51">
        <f t="shared" si="6"/>
        <v>0</v>
      </c>
      <c r="F25" s="52">
        <v>1</v>
      </c>
      <c r="G25" s="36"/>
      <c r="H25" s="167"/>
      <c r="I25" s="52">
        <v>1</v>
      </c>
      <c r="J25" s="36"/>
      <c r="K25" s="53"/>
      <c r="L25" s="52">
        <v>1</v>
      </c>
      <c r="M25" s="36"/>
      <c r="N25" s="167"/>
      <c r="O25" s="52">
        <v>1</v>
      </c>
      <c r="P25" s="36"/>
      <c r="Q25" s="53"/>
      <c r="R25" s="52">
        <v>1</v>
      </c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39</v>
      </c>
      <c r="B26" s="148" t="s">
        <v>345</v>
      </c>
      <c r="C26" s="58">
        <f t="shared" si="4"/>
        <v>4</v>
      </c>
      <c r="D26" s="58">
        <f t="shared" si="5"/>
        <v>2</v>
      </c>
      <c r="E26" s="51">
        <f t="shared" si="6"/>
        <v>0</v>
      </c>
      <c r="F26" s="52"/>
      <c r="G26" s="36"/>
      <c r="H26" s="167"/>
      <c r="I26" s="52">
        <v>1</v>
      </c>
      <c r="J26" s="36"/>
      <c r="K26" s="53"/>
      <c r="L26" s="52"/>
      <c r="M26" s="36"/>
      <c r="N26" s="167"/>
      <c r="O26" s="52">
        <v>1</v>
      </c>
      <c r="P26" s="36">
        <v>1</v>
      </c>
      <c r="Q26" s="53"/>
      <c r="R26" s="52">
        <v>1</v>
      </c>
      <c r="S26" s="36"/>
      <c r="T26" s="53"/>
      <c r="U26" s="52">
        <v>1</v>
      </c>
      <c r="V26" s="36">
        <v>1</v>
      </c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7">
        <v>40</v>
      </c>
      <c r="B27" s="149" t="s">
        <v>341</v>
      </c>
      <c r="C27" s="58">
        <f>SUM(F27,I27,L27,O27,R27,U27,X27,AA27,AD27,AG27,AJ27,AM27,AP27,AS27,AV27,AY27,BB27,BE27,BH27,BK27,BN27,BQ27,BT27,BW27,BZ27,CC27,CF27,CI27,CL27,CO27,CR27,CU27,CX27,DA27,DD27,DG27,DJ27,DM27)</f>
        <v>0</v>
      </c>
      <c r="D27" s="58">
        <f>SUM(G27,J27,M27,P27,S27,V27,Y27,AB27,AE27,AH27,AK27,AN27,AQ27,AT27,AW27,AZ27,BC27,BF27,BI27,BL27,BO27,BR27,BU27,BX27,CA27,CD27,CG27,CJ27,CM27,CP27,CS27,CV27,CY27,DB27,DE27,DH27,DK27,DN27)</f>
        <v>0</v>
      </c>
      <c r="E27" s="51">
        <f>SUM(H27,K27,N27,Q27,T27,W27,Z27,AC27,AF27,AI27,AL27,AO27,AR27,AU27,AX27,BA27,BD27,BG27,BJ27,BM27,BP27,BS27,BV27,BY27,CB27,CE27,CH27,CK27,CN27,CQ27,CT27,CW27,CZ27,DC27,DF27,DI27,DL27,DO27)</f>
        <v>0</v>
      </c>
      <c r="F27" s="52"/>
      <c r="G27" s="36"/>
      <c r="H27" s="167"/>
      <c r="I27" s="52"/>
      <c r="J27" s="36"/>
      <c r="K27" s="53"/>
      <c r="L27" s="52"/>
      <c r="M27" s="36"/>
      <c r="N27" s="167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41</v>
      </c>
      <c r="B28" s="35" t="s">
        <v>277</v>
      </c>
      <c r="C28" s="58">
        <f t="shared" si="4"/>
        <v>6</v>
      </c>
      <c r="D28" s="58">
        <f t="shared" si="5"/>
        <v>0</v>
      </c>
      <c r="E28" s="51">
        <f t="shared" si="6"/>
        <v>3</v>
      </c>
      <c r="F28" s="52">
        <v>1</v>
      </c>
      <c r="G28" s="36"/>
      <c r="H28" s="167"/>
      <c r="I28" s="52">
        <v>1</v>
      </c>
      <c r="J28" s="36"/>
      <c r="K28" s="53"/>
      <c r="L28" s="52">
        <v>1</v>
      </c>
      <c r="M28" s="36"/>
      <c r="N28" s="167">
        <v>1</v>
      </c>
      <c r="O28" s="52">
        <v>1</v>
      </c>
      <c r="P28" s="36"/>
      <c r="Q28" s="53">
        <v>1</v>
      </c>
      <c r="R28" s="52">
        <v>1</v>
      </c>
      <c r="S28" s="36"/>
      <c r="T28" s="53"/>
      <c r="U28" s="52">
        <v>1</v>
      </c>
      <c r="V28" s="36"/>
      <c r="W28" s="53">
        <v>1</v>
      </c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56">
        <v>43</v>
      </c>
      <c r="B29" s="148" t="s">
        <v>327</v>
      </c>
      <c r="C29" s="58">
        <f t="shared" ref="C29:E30" si="7">SUM(F29,I29,L29,O29,R29,U29,X29,AA29,AD29,AG29,AJ29,AM29,AP29,AS29,AV29,AY29,BB29,BE29,BH29,BK29,BN29,BQ29,BT29,BW29,BZ29,CC29,CF29,CI29,CL29,CO29,CR29,CU29,CX29,DA29,DD29,DG29,DJ29,DM29)</f>
        <v>0</v>
      </c>
      <c r="D29" s="58">
        <f t="shared" si="7"/>
        <v>0</v>
      </c>
      <c r="E29" s="51">
        <f t="shared" si="7"/>
        <v>0</v>
      </c>
      <c r="F29" s="52"/>
      <c r="G29" s="36"/>
      <c r="H29" s="167"/>
      <c r="I29" s="52"/>
      <c r="J29" s="36"/>
      <c r="K29" s="53"/>
      <c r="L29" s="52"/>
      <c r="M29" s="36"/>
      <c r="N29" s="167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1">
        <f t="shared" si="7"/>
        <v>0</v>
      </c>
      <c r="F30" s="52"/>
      <c r="G30" s="36"/>
      <c r="H30" s="167"/>
      <c r="I30" s="52"/>
      <c r="J30" s="36"/>
      <c r="K30" s="53"/>
      <c r="L30" s="52"/>
      <c r="M30" s="36"/>
      <c r="N30" s="167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8">
        <v>45</v>
      </c>
      <c r="B31" s="148" t="s">
        <v>468</v>
      </c>
      <c r="C31" s="58">
        <f t="shared" ref="C31:C38" si="8">SUM(F31,I31,L31,O31,R31,U31,X31,AA31,AD31,AG31,AJ31,AM31,AP31,AS31,AV31,AY31,BB31,BE31,BH31,BK31,BN31,BQ31,BT31,BW31,BZ31,CC31,CF31,CI31,CL31,CO31,CR31,CU31,CX31,DA31,DD31,DG31,DJ31,DM31)</f>
        <v>0</v>
      </c>
      <c r="D31" s="58">
        <f t="shared" ref="D31:D38" si="9">SUM(G31,J31,M31,P31,S31,V31,Y31,AB31,AE31,AH31,AK31,AN31,AQ31,AT31,AW31,AZ31,BC31,BF31,BI31,BL31,BO31,BR31,BU31,BX31,CA31,CD31,CG31,CJ31,CM31,CP31,CS31,CV31,CY31,DB31,DE31,DH31,DK31,DN31)</f>
        <v>0</v>
      </c>
      <c r="E31" s="51">
        <f t="shared" ref="E31:E38" si="10">SUM(H31,K31,N31,Q31,T31,W31,Z31,AC31,AF31,AI31,AL31,AO31,AR31,AU31,AX31,BA31,BD31,BG31,BJ31,BM31,BP31,BS31,BV31,BY31,CB31,CE31,CH31,CK31,CN31,CQ31,CT31,CW31,CZ31,DC31,DF31,DI31,DL31,DO31)</f>
        <v>0</v>
      </c>
      <c r="F31" s="52"/>
      <c r="G31" s="36"/>
      <c r="H31" s="167"/>
      <c r="I31" s="52"/>
      <c r="J31" s="36"/>
      <c r="K31" s="53"/>
      <c r="L31" s="52"/>
      <c r="M31" s="36"/>
      <c r="N31" s="167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1">
        <f t="shared" si="10"/>
        <v>0</v>
      </c>
      <c r="F32" s="52"/>
      <c r="G32" s="36"/>
      <c r="H32" s="167"/>
      <c r="I32" s="52"/>
      <c r="J32" s="36"/>
      <c r="K32" s="53"/>
      <c r="L32" s="52"/>
      <c r="M32" s="36"/>
      <c r="N32" s="167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49</v>
      </c>
      <c r="B33" s="35" t="s">
        <v>297</v>
      </c>
      <c r="C33" s="58">
        <f t="shared" si="8"/>
        <v>5</v>
      </c>
      <c r="D33" s="58">
        <f t="shared" si="9"/>
        <v>0</v>
      </c>
      <c r="E33" s="51">
        <f t="shared" si="10"/>
        <v>0</v>
      </c>
      <c r="F33" s="52">
        <v>1</v>
      </c>
      <c r="G33" s="36"/>
      <c r="H33" s="167"/>
      <c r="I33" s="52">
        <v>1</v>
      </c>
      <c r="J33" s="36"/>
      <c r="K33" s="53"/>
      <c r="L33" s="52">
        <v>1</v>
      </c>
      <c r="M33" s="36"/>
      <c r="N33" s="167"/>
      <c r="O33" s="52">
        <v>1</v>
      </c>
      <c r="P33" s="36"/>
      <c r="Q33" s="53"/>
      <c r="R33" s="52"/>
      <c r="S33" s="36"/>
      <c r="T33" s="53"/>
      <c r="U33" s="52">
        <v>1</v>
      </c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53</v>
      </c>
      <c r="B34" s="148" t="s">
        <v>292</v>
      </c>
      <c r="C34" s="58">
        <f t="shared" si="8"/>
        <v>0</v>
      </c>
      <c r="D34" s="58">
        <f t="shared" si="9"/>
        <v>0</v>
      </c>
      <c r="E34" s="51">
        <f t="shared" si="10"/>
        <v>0</v>
      </c>
      <c r="F34" s="52"/>
      <c r="G34" s="36"/>
      <c r="H34" s="167"/>
      <c r="I34" s="52"/>
      <c r="J34" s="36"/>
      <c r="K34" s="53"/>
      <c r="L34" s="52"/>
      <c r="M34" s="36"/>
      <c r="N34" s="167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8">
        <v>55</v>
      </c>
      <c r="B35" s="37" t="s">
        <v>301</v>
      </c>
      <c r="C35" s="58">
        <f t="shared" si="8"/>
        <v>0</v>
      </c>
      <c r="D35" s="58">
        <f t="shared" si="9"/>
        <v>0</v>
      </c>
      <c r="E35" s="51">
        <f t="shared" si="10"/>
        <v>0</v>
      </c>
      <c r="F35" s="52"/>
      <c r="G35" s="36"/>
      <c r="H35" s="167"/>
      <c r="I35" s="52"/>
      <c r="J35" s="36"/>
      <c r="K35" s="53"/>
      <c r="L35" s="52"/>
      <c r="M35" s="36"/>
      <c r="N35" s="167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7">
        <v>56</v>
      </c>
      <c r="B36" s="149" t="s">
        <v>322</v>
      </c>
      <c r="C36" s="58">
        <f t="shared" si="8"/>
        <v>1</v>
      </c>
      <c r="D36" s="58">
        <f t="shared" si="9"/>
        <v>0</v>
      </c>
      <c r="E36" s="51">
        <f t="shared" si="10"/>
        <v>0</v>
      </c>
      <c r="F36" s="52"/>
      <c r="G36" s="36"/>
      <c r="H36" s="167"/>
      <c r="I36" s="52"/>
      <c r="J36" s="36"/>
      <c r="K36" s="53"/>
      <c r="L36" s="52"/>
      <c r="M36" s="36"/>
      <c r="N36" s="167"/>
      <c r="O36" s="52"/>
      <c r="P36" s="36"/>
      <c r="Q36" s="53"/>
      <c r="R36" s="52">
        <v>1</v>
      </c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71</v>
      </c>
      <c r="B37" s="148" t="s">
        <v>339</v>
      </c>
      <c r="C37" s="58">
        <f t="shared" si="8"/>
        <v>0</v>
      </c>
      <c r="D37" s="58">
        <f t="shared" si="9"/>
        <v>0</v>
      </c>
      <c r="E37" s="51">
        <f t="shared" si="10"/>
        <v>0</v>
      </c>
      <c r="F37" s="52"/>
      <c r="G37" s="36"/>
      <c r="H37" s="167"/>
      <c r="I37" s="52"/>
      <c r="J37" s="36"/>
      <c r="K37" s="53"/>
      <c r="L37" s="52"/>
      <c r="M37" s="36"/>
      <c r="N37" s="167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ht="15.75" thickBot="1" x14ac:dyDescent="0.3">
      <c r="A38" s="28">
        <v>89</v>
      </c>
      <c r="B38" s="148" t="s">
        <v>333</v>
      </c>
      <c r="C38" s="58">
        <f t="shared" si="8"/>
        <v>0</v>
      </c>
      <c r="D38" s="58">
        <f t="shared" si="9"/>
        <v>0</v>
      </c>
      <c r="E38" s="51">
        <f t="shared" si="10"/>
        <v>0</v>
      </c>
      <c r="F38" s="146"/>
      <c r="G38" s="163"/>
      <c r="H38" s="201"/>
      <c r="I38" s="146"/>
      <c r="J38" s="163"/>
      <c r="K38" s="147"/>
      <c r="L38" s="146"/>
      <c r="M38" s="163"/>
      <c r="N38" s="201"/>
      <c r="O38" s="146"/>
      <c r="P38" s="163"/>
      <c r="Q38" s="147"/>
      <c r="R38" s="146"/>
      <c r="S38" s="163"/>
      <c r="T38" s="147"/>
      <c r="U38" s="146"/>
      <c r="V38" s="163"/>
      <c r="W38" s="147"/>
      <c r="X38" s="146"/>
      <c r="Y38" s="163"/>
      <c r="Z38" s="147"/>
      <c r="AA38" s="146"/>
      <c r="AB38" s="163"/>
      <c r="AC38" s="147"/>
      <c r="AD38" s="146"/>
      <c r="AE38" s="163"/>
      <c r="AF38" s="147"/>
      <c r="AG38" s="146"/>
      <c r="AH38" s="163"/>
      <c r="AI38" s="147"/>
      <c r="AJ38" s="146"/>
      <c r="AK38" s="163"/>
      <c r="AL38" s="147"/>
      <c r="AM38" s="146"/>
      <c r="AN38" s="163"/>
      <c r="AO38" s="147"/>
      <c r="AP38" s="146"/>
      <c r="AQ38" s="163"/>
      <c r="AR38" s="147"/>
      <c r="AS38" s="146"/>
      <c r="AT38" s="163"/>
      <c r="AU38" s="147"/>
      <c r="AV38" s="146"/>
      <c r="AW38" s="163"/>
      <c r="AX38" s="147"/>
      <c r="AY38" s="146"/>
      <c r="AZ38" s="163"/>
      <c r="BA38" s="147"/>
      <c r="BB38" s="146"/>
      <c r="BC38" s="163"/>
      <c r="BD38" s="147"/>
      <c r="BE38" s="146"/>
      <c r="BF38" s="163"/>
      <c r="BG38" s="147"/>
      <c r="BH38" s="146"/>
      <c r="BI38" s="163"/>
      <c r="BJ38" s="147"/>
      <c r="BK38" s="146"/>
      <c r="BL38" s="163"/>
      <c r="BM38" s="147"/>
      <c r="BN38" s="146"/>
      <c r="BO38" s="163"/>
      <c r="BP38" s="147"/>
      <c r="BQ38" s="146"/>
      <c r="BR38" s="163"/>
      <c r="BS38" s="147"/>
      <c r="BT38" s="146"/>
      <c r="BU38" s="163"/>
      <c r="BV38" s="147"/>
      <c r="BW38" s="146"/>
      <c r="BX38" s="163"/>
      <c r="BY38" s="147"/>
      <c r="BZ38" s="146"/>
      <c r="CA38" s="163"/>
      <c r="CB38" s="147"/>
      <c r="CC38" s="146"/>
      <c r="CD38" s="163"/>
      <c r="CE38" s="147"/>
      <c r="CF38" s="146"/>
      <c r="CG38" s="163"/>
      <c r="CH38" s="147"/>
      <c r="CI38" s="146"/>
      <c r="CJ38" s="163"/>
      <c r="CK38" s="147"/>
      <c r="CL38" s="146"/>
      <c r="CM38" s="163"/>
      <c r="CN38" s="147"/>
      <c r="CO38" s="146"/>
      <c r="CP38" s="163"/>
      <c r="CQ38" s="147"/>
      <c r="CR38" s="146"/>
      <c r="CS38" s="163"/>
      <c r="CT38" s="147"/>
      <c r="CU38" s="146"/>
      <c r="CV38" s="163"/>
      <c r="CW38" s="147"/>
      <c r="CX38" s="146"/>
      <c r="CY38" s="163"/>
      <c r="CZ38" s="147"/>
      <c r="DA38" s="146"/>
      <c r="DB38" s="163"/>
      <c r="DC38" s="147"/>
      <c r="DD38" s="146"/>
      <c r="DE38" s="163"/>
      <c r="DF38" s="147"/>
      <c r="DG38" s="146"/>
      <c r="DH38" s="163"/>
      <c r="DI38" s="147"/>
      <c r="DJ38" s="146"/>
      <c r="DK38" s="163"/>
      <c r="DL38" s="147"/>
      <c r="DM38" s="146"/>
      <c r="DN38" s="163"/>
      <c r="DO38" s="147"/>
    </row>
    <row r="39" spans="1:119" s="54" customFormat="1" x14ac:dyDescent="0.25">
      <c r="A39"/>
      <c r="B39"/>
      <c r="C39"/>
      <c r="D39"/>
      <c r="E39"/>
      <c r="F39" s="73">
        <f t="shared" ref="F39:AK39" si="11">SUM(F4:F38)</f>
        <v>16</v>
      </c>
      <c r="G39" s="73">
        <f t="shared" si="11"/>
        <v>3</v>
      </c>
      <c r="H39" s="73">
        <f t="shared" si="11"/>
        <v>2</v>
      </c>
      <c r="I39" s="73">
        <f t="shared" si="11"/>
        <v>16</v>
      </c>
      <c r="J39" s="73">
        <f t="shared" si="11"/>
        <v>1</v>
      </c>
      <c r="K39" s="73">
        <f t="shared" si="11"/>
        <v>1</v>
      </c>
      <c r="L39" s="73">
        <f t="shared" si="11"/>
        <v>16</v>
      </c>
      <c r="M39" s="73">
        <f t="shared" si="11"/>
        <v>2</v>
      </c>
      <c r="N39" s="73">
        <f t="shared" si="11"/>
        <v>2</v>
      </c>
      <c r="O39" s="73">
        <f t="shared" si="11"/>
        <v>16</v>
      </c>
      <c r="P39" s="73">
        <f t="shared" si="11"/>
        <v>2</v>
      </c>
      <c r="Q39" s="73">
        <f t="shared" si="11"/>
        <v>1</v>
      </c>
      <c r="R39" s="73">
        <f t="shared" si="11"/>
        <v>16</v>
      </c>
      <c r="S39" s="73">
        <f t="shared" si="11"/>
        <v>0</v>
      </c>
      <c r="T39" s="73">
        <f t="shared" si="11"/>
        <v>0</v>
      </c>
      <c r="U39" s="73">
        <f t="shared" si="11"/>
        <v>16</v>
      </c>
      <c r="V39" s="73">
        <f t="shared" si="11"/>
        <v>2</v>
      </c>
      <c r="W39" s="73">
        <f t="shared" si="11"/>
        <v>2</v>
      </c>
      <c r="X39" s="73">
        <f t="shared" si="11"/>
        <v>0</v>
      </c>
      <c r="Y39" s="73">
        <f t="shared" si="11"/>
        <v>0</v>
      </c>
      <c r="Z39" s="73">
        <f t="shared" si="11"/>
        <v>0</v>
      </c>
      <c r="AA39" s="73">
        <f t="shared" si="11"/>
        <v>0</v>
      </c>
      <c r="AB39" s="73">
        <f t="shared" si="11"/>
        <v>0</v>
      </c>
      <c r="AC39" s="73">
        <f t="shared" si="11"/>
        <v>0</v>
      </c>
      <c r="AD39" s="73">
        <f t="shared" si="11"/>
        <v>0</v>
      </c>
      <c r="AE39" s="73">
        <f t="shared" si="11"/>
        <v>0</v>
      </c>
      <c r="AF39" s="73">
        <f t="shared" si="11"/>
        <v>0</v>
      </c>
      <c r="AG39" s="73">
        <f t="shared" si="11"/>
        <v>0</v>
      </c>
      <c r="AH39" s="73">
        <f t="shared" si="11"/>
        <v>0</v>
      </c>
      <c r="AI39" s="73">
        <f t="shared" si="11"/>
        <v>0</v>
      </c>
      <c r="AJ39" s="73">
        <f t="shared" si="11"/>
        <v>0</v>
      </c>
      <c r="AK39" s="73">
        <f t="shared" si="11"/>
        <v>0</v>
      </c>
      <c r="AL39" s="73">
        <f t="shared" ref="AL39:BQ39" si="12">SUM(AL4:AL38)</f>
        <v>0</v>
      </c>
      <c r="AM39" s="73">
        <f t="shared" si="12"/>
        <v>0</v>
      </c>
      <c r="AN39" s="73">
        <f t="shared" si="12"/>
        <v>0</v>
      </c>
      <c r="AO39" s="73">
        <f t="shared" si="12"/>
        <v>0</v>
      </c>
      <c r="AP39" s="73">
        <f t="shared" si="12"/>
        <v>0</v>
      </c>
      <c r="AQ39" s="73">
        <f t="shared" si="12"/>
        <v>0</v>
      </c>
      <c r="AR39" s="73">
        <f t="shared" si="12"/>
        <v>0</v>
      </c>
      <c r="AS39" s="73">
        <f t="shared" si="12"/>
        <v>0</v>
      </c>
      <c r="AT39" s="73">
        <f t="shared" si="12"/>
        <v>0</v>
      </c>
      <c r="AU39" s="73">
        <f t="shared" si="12"/>
        <v>0</v>
      </c>
      <c r="AV39" s="73">
        <f t="shared" si="12"/>
        <v>0</v>
      </c>
      <c r="AW39" s="73">
        <f t="shared" si="12"/>
        <v>0</v>
      </c>
      <c r="AX39" s="73">
        <f t="shared" si="12"/>
        <v>0</v>
      </c>
      <c r="AY39" s="73">
        <f t="shared" si="12"/>
        <v>0</v>
      </c>
      <c r="AZ39" s="73">
        <f t="shared" si="12"/>
        <v>0</v>
      </c>
      <c r="BA39" s="73">
        <f t="shared" si="12"/>
        <v>0</v>
      </c>
      <c r="BB39" s="73">
        <f t="shared" si="12"/>
        <v>0</v>
      </c>
      <c r="BC39" s="73">
        <f t="shared" si="12"/>
        <v>0</v>
      </c>
      <c r="BD39" s="73">
        <f t="shared" si="12"/>
        <v>0</v>
      </c>
      <c r="BE39" s="73">
        <f t="shared" si="12"/>
        <v>0</v>
      </c>
      <c r="BF39" s="73">
        <f t="shared" si="12"/>
        <v>0</v>
      </c>
      <c r="BG39" s="73">
        <f t="shared" si="12"/>
        <v>0</v>
      </c>
      <c r="BH39" s="73">
        <f t="shared" si="12"/>
        <v>0</v>
      </c>
      <c r="BI39" s="73">
        <f t="shared" si="12"/>
        <v>0</v>
      </c>
      <c r="BJ39" s="73">
        <f t="shared" si="12"/>
        <v>0</v>
      </c>
      <c r="BK39" s="73">
        <f t="shared" si="12"/>
        <v>0</v>
      </c>
      <c r="BL39" s="73">
        <f t="shared" si="12"/>
        <v>0</v>
      </c>
      <c r="BM39" s="73">
        <f t="shared" si="12"/>
        <v>0</v>
      </c>
      <c r="BN39" s="73">
        <f t="shared" si="12"/>
        <v>0</v>
      </c>
      <c r="BO39" s="73">
        <f t="shared" si="12"/>
        <v>0</v>
      </c>
      <c r="BP39" s="73">
        <f t="shared" si="12"/>
        <v>0</v>
      </c>
      <c r="BQ39" s="73">
        <f t="shared" si="12"/>
        <v>0</v>
      </c>
      <c r="BR39" s="73">
        <f t="shared" ref="BR39:CW39" si="13">SUM(BR4:BR38)</f>
        <v>0</v>
      </c>
      <c r="BS39" s="73">
        <f t="shared" si="13"/>
        <v>0</v>
      </c>
      <c r="BT39" s="73">
        <f t="shared" si="13"/>
        <v>0</v>
      </c>
      <c r="BU39" s="73">
        <f t="shared" si="13"/>
        <v>0</v>
      </c>
      <c r="BV39" s="73">
        <f t="shared" si="13"/>
        <v>0</v>
      </c>
      <c r="BW39" s="73">
        <f t="shared" si="13"/>
        <v>0</v>
      </c>
      <c r="BX39" s="73">
        <f t="shared" si="13"/>
        <v>0</v>
      </c>
      <c r="BY39" s="73">
        <f t="shared" si="13"/>
        <v>0</v>
      </c>
      <c r="BZ39" s="73">
        <f t="shared" si="13"/>
        <v>0</v>
      </c>
      <c r="CA39" s="73">
        <f t="shared" si="13"/>
        <v>0</v>
      </c>
      <c r="CB39" s="73">
        <f t="shared" si="13"/>
        <v>0</v>
      </c>
      <c r="CC39" s="73">
        <f t="shared" si="13"/>
        <v>0</v>
      </c>
      <c r="CD39" s="73">
        <f t="shared" si="13"/>
        <v>0</v>
      </c>
      <c r="CE39" s="73">
        <f t="shared" si="13"/>
        <v>0</v>
      </c>
      <c r="CF39" s="73">
        <f t="shared" si="13"/>
        <v>0</v>
      </c>
      <c r="CG39" s="73">
        <f t="shared" si="13"/>
        <v>0</v>
      </c>
      <c r="CH39" s="73">
        <f t="shared" si="13"/>
        <v>0</v>
      </c>
      <c r="CI39" s="73">
        <f t="shared" si="13"/>
        <v>0</v>
      </c>
      <c r="CJ39" s="73">
        <f t="shared" si="13"/>
        <v>0</v>
      </c>
      <c r="CK39" s="73">
        <f t="shared" si="13"/>
        <v>0</v>
      </c>
      <c r="CL39" s="73">
        <f t="shared" si="13"/>
        <v>0</v>
      </c>
      <c r="CM39" s="73">
        <f t="shared" si="13"/>
        <v>0</v>
      </c>
      <c r="CN39" s="73">
        <f t="shared" si="13"/>
        <v>0</v>
      </c>
      <c r="CO39" s="73">
        <f t="shared" si="13"/>
        <v>0</v>
      </c>
      <c r="CP39" s="73">
        <f t="shared" si="13"/>
        <v>0</v>
      </c>
      <c r="CQ39" s="73">
        <f t="shared" si="13"/>
        <v>0</v>
      </c>
      <c r="CR39" s="73">
        <f t="shared" si="13"/>
        <v>0</v>
      </c>
      <c r="CS39" s="73">
        <f t="shared" si="13"/>
        <v>0</v>
      </c>
      <c r="CT39" s="73">
        <f t="shared" si="13"/>
        <v>0</v>
      </c>
      <c r="CU39" s="73">
        <f t="shared" si="13"/>
        <v>0</v>
      </c>
      <c r="CV39" s="73">
        <f t="shared" si="13"/>
        <v>0</v>
      </c>
      <c r="CW39" s="73">
        <f t="shared" si="13"/>
        <v>0</v>
      </c>
      <c r="CX39" s="73">
        <f t="shared" ref="CX39:DO39" si="14">SUM(CX4:CX38)</f>
        <v>0</v>
      </c>
      <c r="CY39" s="73">
        <f t="shared" si="14"/>
        <v>0</v>
      </c>
      <c r="CZ39" s="73">
        <f t="shared" si="14"/>
        <v>0</v>
      </c>
      <c r="DA39" s="73">
        <f t="shared" si="14"/>
        <v>0</v>
      </c>
      <c r="DB39" s="73">
        <f t="shared" si="14"/>
        <v>0</v>
      </c>
      <c r="DC39" s="73">
        <f t="shared" si="14"/>
        <v>0</v>
      </c>
      <c r="DD39" s="73">
        <f t="shared" si="14"/>
        <v>0</v>
      </c>
      <c r="DE39" s="73">
        <f t="shared" si="14"/>
        <v>0</v>
      </c>
      <c r="DF39" s="73">
        <f t="shared" si="14"/>
        <v>0</v>
      </c>
      <c r="DG39" s="73">
        <f t="shared" si="14"/>
        <v>0</v>
      </c>
      <c r="DH39" s="73">
        <f t="shared" si="14"/>
        <v>0</v>
      </c>
      <c r="DI39" s="73">
        <f t="shared" si="14"/>
        <v>0</v>
      </c>
      <c r="DJ39" s="73">
        <f t="shared" si="14"/>
        <v>0</v>
      </c>
      <c r="DK39" s="73">
        <f t="shared" si="14"/>
        <v>0</v>
      </c>
      <c r="DL39" s="73">
        <f t="shared" si="14"/>
        <v>0</v>
      </c>
      <c r="DM39" s="73">
        <f t="shared" si="14"/>
        <v>0</v>
      </c>
      <c r="DN39" s="73">
        <f t="shared" si="14"/>
        <v>0</v>
      </c>
      <c r="DO39" s="73">
        <f t="shared" si="14"/>
        <v>0</v>
      </c>
    </row>
  </sheetData>
  <mergeCells count="79"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  <mergeCell ref="AA2:AC2"/>
    <mergeCell ref="L2:N2"/>
    <mergeCell ref="O2:Q2"/>
    <mergeCell ref="R2:T2"/>
    <mergeCell ref="U2:W2"/>
    <mergeCell ref="X2:Z2"/>
    <mergeCell ref="E2:E3"/>
    <mergeCell ref="F1:H1"/>
    <mergeCell ref="I1:K1"/>
    <mergeCell ref="I2:K2"/>
    <mergeCell ref="F2:H2"/>
    <mergeCell ref="AJ1:AL1"/>
    <mergeCell ref="AJ2:AL2"/>
    <mergeCell ref="AM1:AO1"/>
    <mergeCell ref="AM2:AO2"/>
    <mergeCell ref="AP2:AR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BK1:BM1"/>
    <mergeCell ref="BK2:BM2"/>
    <mergeCell ref="BN1:BP1"/>
    <mergeCell ref="BN2:BP2"/>
    <mergeCell ref="BQ1:BS1"/>
    <mergeCell ref="BQ2:BS2"/>
    <mergeCell ref="BT1:BV1"/>
    <mergeCell ref="BT2:BV2"/>
    <mergeCell ref="BW1:BY1"/>
    <mergeCell ref="BW2:BY2"/>
    <mergeCell ref="BZ1:CB1"/>
    <mergeCell ref="BZ2:CB2"/>
    <mergeCell ref="CC1:CE1"/>
    <mergeCell ref="CC2:CE2"/>
    <mergeCell ref="CF1:CH1"/>
    <mergeCell ref="CF2:CH2"/>
    <mergeCell ref="CI1:CK1"/>
    <mergeCell ref="CI2:CK2"/>
    <mergeCell ref="CL1:CN1"/>
    <mergeCell ref="CL2:CN2"/>
    <mergeCell ref="CO1:CQ1"/>
    <mergeCell ref="CO2:CQ2"/>
    <mergeCell ref="CR1:CT1"/>
    <mergeCell ref="CR2:CT2"/>
    <mergeCell ref="CU1:CW1"/>
    <mergeCell ref="CU2:CW2"/>
    <mergeCell ref="CX1:CZ1"/>
    <mergeCell ref="CX2:CZ2"/>
    <mergeCell ref="DJ1:DL1"/>
    <mergeCell ref="DJ2:DL2"/>
    <mergeCell ref="DM1:DO1"/>
    <mergeCell ref="DM2:DO2"/>
    <mergeCell ref="DA1:DC1"/>
    <mergeCell ref="DA2:DC2"/>
    <mergeCell ref="DD1:DF1"/>
    <mergeCell ref="DD2:DF2"/>
    <mergeCell ref="DG1:DI1"/>
    <mergeCell ref="DG2:DI2"/>
  </mergeCells>
  <conditionalFormatting sqref="F4:DO38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39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39"/>
  <sheetViews>
    <sheetView zoomScale="85" zoomScaleNormal="85" workbookViewId="0">
      <selection activeCell="C30" sqref="C30:E38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3" t="s">
        <v>396</v>
      </c>
      <c r="D1" s="233" t="s">
        <v>397</v>
      </c>
      <c r="E1" s="233" t="s">
        <v>398</v>
      </c>
      <c r="F1" s="224" t="s">
        <v>302</v>
      </c>
      <c r="G1" s="225"/>
      <c r="H1" s="225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  <c r="AA1" s="225"/>
      <c r="AB1" s="225"/>
      <c r="AC1" s="226"/>
      <c r="AD1" s="239" t="s">
        <v>281</v>
      </c>
      <c r="AE1" s="240"/>
      <c r="AF1" s="240"/>
      <c r="AG1" s="240"/>
      <c r="AH1" s="240"/>
      <c r="AI1" s="241"/>
      <c r="AJ1" s="224" t="s">
        <v>282</v>
      </c>
      <c r="AK1" s="225"/>
      <c r="AL1" s="225"/>
      <c r="AM1" s="225"/>
      <c r="AN1" s="225"/>
      <c r="AO1" s="226"/>
      <c r="AP1" s="227" t="s">
        <v>283</v>
      </c>
      <c r="AQ1" s="228"/>
      <c r="AR1" s="228"/>
      <c r="AS1" s="228"/>
      <c r="AT1" s="228"/>
      <c r="AU1" s="229"/>
      <c r="AV1" s="230" t="s">
        <v>86</v>
      </c>
      <c r="AW1" s="231"/>
      <c r="AX1" s="232"/>
    </row>
    <row r="2" spans="1:50" x14ac:dyDescent="0.25">
      <c r="A2" s="3"/>
      <c r="B2" s="5"/>
      <c r="C2" s="234"/>
      <c r="D2" s="234"/>
      <c r="E2" s="234"/>
      <c r="F2" s="236" t="s">
        <v>458</v>
      </c>
      <c r="G2" s="237"/>
      <c r="H2" s="238"/>
      <c r="I2" s="236" t="s">
        <v>461</v>
      </c>
      <c r="J2" s="237"/>
      <c r="K2" s="238"/>
      <c r="L2" s="236" t="s">
        <v>462</v>
      </c>
      <c r="M2" s="237"/>
      <c r="N2" s="238"/>
      <c r="O2" s="236" t="s">
        <v>463</v>
      </c>
      <c r="P2" s="237"/>
      <c r="Q2" s="238"/>
      <c r="R2" s="236" t="s">
        <v>464</v>
      </c>
      <c r="S2" s="237"/>
      <c r="T2" s="238"/>
      <c r="U2" s="236" t="s">
        <v>465</v>
      </c>
      <c r="V2" s="237"/>
      <c r="W2" s="238"/>
      <c r="X2" s="236" t="s">
        <v>466</v>
      </c>
      <c r="Y2" s="237"/>
      <c r="Z2" s="238"/>
      <c r="AA2" s="236" t="s">
        <v>467</v>
      </c>
      <c r="AB2" s="237"/>
      <c r="AC2" s="237"/>
      <c r="AD2" s="236"/>
      <c r="AE2" s="237"/>
      <c r="AF2" s="238"/>
      <c r="AG2" s="236"/>
      <c r="AH2" s="237"/>
      <c r="AI2" s="238"/>
      <c r="AJ2" s="236"/>
      <c r="AK2" s="237"/>
      <c r="AL2" s="238"/>
      <c r="AM2" s="236"/>
      <c r="AN2" s="237"/>
      <c r="AO2" s="238"/>
      <c r="AP2" s="236"/>
      <c r="AQ2" s="237"/>
      <c r="AR2" s="238"/>
      <c r="AS2" s="236"/>
      <c r="AT2" s="237"/>
      <c r="AU2" s="238"/>
      <c r="AV2" s="236"/>
      <c r="AW2" s="237"/>
      <c r="AX2" s="238"/>
    </row>
    <row r="3" spans="1:50" x14ac:dyDescent="0.25">
      <c r="A3" s="3" t="s">
        <v>48</v>
      </c>
      <c r="B3" s="5" t="s">
        <v>1</v>
      </c>
      <c r="C3" s="235"/>
      <c r="D3" s="235"/>
      <c r="E3" s="235"/>
      <c r="F3" s="169" t="s">
        <v>393</v>
      </c>
      <c r="G3" s="164" t="s">
        <v>394</v>
      </c>
      <c r="H3" s="170" t="s">
        <v>395</v>
      </c>
      <c r="I3" s="169" t="s">
        <v>393</v>
      </c>
      <c r="J3" s="164" t="s">
        <v>394</v>
      </c>
      <c r="K3" s="170" t="s">
        <v>395</v>
      </c>
      <c r="L3" s="169" t="s">
        <v>393</v>
      </c>
      <c r="M3" s="164" t="s">
        <v>394</v>
      </c>
      <c r="N3" s="170" t="s">
        <v>395</v>
      </c>
      <c r="O3" s="169" t="s">
        <v>393</v>
      </c>
      <c r="P3" s="164" t="s">
        <v>394</v>
      </c>
      <c r="Q3" s="170" t="s">
        <v>395</v>
      </c>
      <c r="R3" s="169" t="s">
        <v>393</v>
      </c>
      <c r="S3" s="164" t="s">
        <v>394</v>
      </c>
      <c r="T3" s="170" t="s">
        <v>395</v>
      </c>
      <c r="U3" s="169" t="s">
        <v>393</v>
      </c>
      <c r="V3" s="164" t="s">
        <v>394</v>
      </c>
      <c r="W3" s="170" t="s">
        <v>395</v>
      </c>
      <c r="X3" s="169" t="s">
        <v>393</v>
      </c>
      <c r="Y3" s="164" t="s">
        <v>394</v>
      </c>
      <c r="Z3" s="170" t="s">
        <v>395</v>
      </c>
      <c r="AA3" s="169" t="s">
        <v>393</v>
      </c>
      <c r="AB3" s="164" t="s">
        <v>394</v>
      </c>
      <c r="AC3" s="166" t="s">
        <v>395</v>
      </c>
      <c r="AD3" s="169" t="s">
        <v>393</v>
      </c>
      <c r="AE3" s="164" t="s">
        <v>394</v>
      </c>
      <c r="AF3" s="170" t="s">
        <v>395</v>
      </c>
      <c r="AG3" s="169" t="s">
        <v>393</v>
      </c>
      <c r="AH3" s="164" t="s">
        <v>394</v>
      </c>
      <c r="AI3" s="170" t="s">
        <v>395</v>
      </c>
      <c r="AJ3" s="169" t="s">
        <v>393</v>
      </c>
      <c r="AK3" s="164" t="s">
        <v>394</v>
      </c>
      <c r="AL3" s="170" t="s">
        <v>395</v>
      </c>
      <c r="AM3" s="169" t="s">
        <v>393</v>
      </c>
      <c r="AN3" s="164" t="s">
        <v>394</v>
      </c>
      <c r="AO3" s="170" t="s">
        <v>395</v>
      </c>
      <c r="AP3" s="169" t="s">
        <v>393</v>
      </c>
      <c r="AQ3" s="164" t="s">
        <v>394</v>
      </c>
      <c r="AR3" s="170" t="s">
        <v>395</v>
      </c>
      <c r="AS3" s="169" t="s">
        <v>393</v>
      </c>
      <c r="AT3" s="164" t="s">
        <v>394</v>
      </c>
      <c r="AU3" s="170" t="s">
        <v>395</v>
      </c>
      <c r="AV3" s="169" t="s">
        <v>393</v>
      </c>
      <c r="AW3" s="164" t="s">
        <v>394</v>
      </c>
      <c r="AX3" s="170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1</v>
      </c>
      <c r="D4" s="58">
        <f t="shared" ref="D4:E4" si="0">SUM(G4,J4,M4,P4,S4,Y4,AB4,AE4,V4,AH4,AK4,AN4,AQ4,AT4,AW4)</f>
        <v>0</v>
      </c>
      <c r="E4" s="58">
        <f t="shared" si="0"/>
        <v>0</v>
      </c>
      <c r="F4" s="52">
        <v>1</v>
      </c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7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5" si="1">SUM(F5,I5,L5,O5,R5,X5,AA5,AD5,U5,AG5,AJ5,AM5,AP5,AS5,AV5)</f>
        <v>0</v>
      </c>
      <c r="D5" s="58">
        <f t="shared" ref="D5:D15" si="2">SUM(G5,J5,M5,P5,S5,Y5,AB5,AE5,V5,AH5,AK5,AN5,AQ5,AT5,AW5)</f>
        <v>0</v>
      </c>
      <c r="E5" s="58">
        <f t="shared" ref="E5:E15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7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7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1</v>
      </c>
      <c r="D7" s="58">
        <f t="shared" si="2"/>
        <v>0</v>
      </c>
      <c r="E7" s="58">
        <f t="shared" si="3"/>
        <v>0</v>
      </c>
      <c r="F7" s="52">
        <v>1</v>
      </c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7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7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1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7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1</v>
      </c>
      <c r="D10" s="58">
        <f t="shared" si="2"/>
        <v>0</v>
      </c>
      <c r="E10" s="58">
        <f t="shared" si="3"/>
        <v>0</v>
      </c>
      <c r="F10" s="52">
        <v>1</v>
      </c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7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1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7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1</v>
      </c>
      <c r="D12" s="58">
        <f t="shared" si="2"/>
        <v>0</v>
      </c>
      <c r="E12" s="58">
        <f t="shared" si="3"/>
        <v>0</v>
      </c>
      <c r="F12" s="52">
        <v>1</v>
      </c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7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12</v>
      </c>
      <c r="B13" s="35" t="s">
        <v>276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7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7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14</v>
      </c>
      <c r="B15" s="149" t="s">
        <v>317</v>
      </c>
      <c r="C15" s="58">
        <f t="shared" si="1"/>
        <v>1</v>
      </c>
      <c r="D15" s="58">
        <f t="shared" si="2"/>
        <v>0</v>
      </c>
      <c r="E15" s="58">
        <f t="shared" si="3"/>
        <v>0</v>
      </c>
      <c r="F15" s="52">
        <v>1</v>
      </c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7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15</v>
      </c>
      <c r="B16" s="149" t="s">
        <v>431</v>
      </c>
      <c r="C16" s="58">
        <f t="shared" ref="C16:C28" si="4">SUM(F16,I16,L16,O16,R16,X16,AA16,AD16,U16,AG16,AJ16,AM16,AP16,AS16,AV16)</f>
        <v>1</v>
      </c>
      <c r="D16" s="58">
        <f t="shared" ref="D16:D28" si="5">SUM(G16,J16,M16,P16,S16,Y16,AB16,AE16,V16,AH16,AK16,AN16,AQ16,AT16,AW16)</f>
        <v>0</v>
      </c>
      <c r="E16" s="58">
        <f t="shared" ref="E16:E28" si="6">SUM(H16,K16,N16,Q16,T16,Z16,AC16,AF16,W16,AI16,AL16,AO16,AR16,AU16,AX16)</f>
        <v>0</v>
      </c>
      <c r="F16" s="52">
        <v>1</v>
      </c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7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17</v>
      </c>
      <c r="B17" s="148" t="s">
        <v>343</v>
      </c>
      <c r="C17" s="58">
        <f t="shared" si="4"/>
        <v>1</v>
      </c>
      <c r="D17" s="58">
        <f t="shared" si="5"/>
        <v>0</v>
      </c>
      <c r="E17" s="58">
        <f t="shared" si="6"/>
        <v>1</v>
      </c>
      <c r="F17" s="52">
        <v>1</v>
      </c>
      <c r="G17" s="36"/>
      <c r="H17" s="53">
        <v>1</v>
      </c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7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20</v>
      </c>
      <c r="B18" s="148" t="s">
        <v>315</v>
      </c>
      <c r="C18" s="58">
        <f t="shared" si="4"/>
        <v>1</v>
      </c>
      <c r="D18" s="58">
        <f t="shared" si="5"/>
        <v>0</v>
      </c>
      <c r="E18" s="58">
        <f t="shared" si="6"/>
        <v>0</v>
      </c>
      <c r="F18" s="52">
        <v>1</v>
      </c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7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7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23</v>
      </c>
      <c r="B20" s="37" t="s">
        <v>293</v>
      </c>
      <c r="C20" s="58">
        <f t="shared" si="4"/>
        <v>1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7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29</v>
      </c>
      <c r="B21" s="148" t="s">
        <v>275</v>
      </c>
      <c r="C21" s="58">
        <f t="shared" si="4"/>
        <v>1</v>
      </c>
      <c r="D21" s="58">
        <f t="shared" si="5"/>
        <v>0</v>
      </c>
      <c r="E21" s="58">
        <f t="shared" si="6"/>
        <v>0</v>
      </c>
      <c r="F21" s="52">
        <v>1</v>
      </c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7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7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33</v>
      </c>
      <c r="B23" s="148" t="s">
        <v>291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7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7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36</v>
      </c>
      <c r="B25" s="148" t="s">
        <v>313</v>
      </c>
      <c r="C25" s="58">
        <f t="shared" si="4"/>
        <v>1</v>
      </c>
      <c r="D25" s="58">
        <f t="shared" si="5"/>
        <v>0</v>
      </c>
      <c r="E25" s="58">
        <f t="shared" si="6"/>
        <v>0</v>
      </c>
      <c r="F25" s="52">
        <v>1</v>
      </c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7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39</v>
      </c>
      <c r="B26" s="148" t="s">
        <v>345</v>
      </c>
      <c r="C26" s="58">
        <f t="shared" si="4"/>
        <v>1</v>
      </c>
      <c r="D26" s="58">
        <f t="shared" si="5"/>
        <v>0</v>
      </c>
      <c r="E26" s="58">
        <f t="shared" si="6"/>
        <v>0</v>
      </c>
      <c r="F26" s="52">
        <v>1</v>
      </c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7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7">
        <v>40</v>
      </c>
      <c r="B27" s="149" t="s">
        <v>341</v>
      </c>
      <c r="C27" s="58">
        <f>SUM(F27,I27,L27,O27,R27,X27,AA27,AD27,U27,AG27,AJ27,AM27,AP27,AS27,AV27)</f>
        <v>0</v>
      </c>
      <c r="D27" s="58">
        <f>SUM(G27,J27,M27,P27,S27,Y27,AB27,AE27,V27,AH27,AK27,AN27,AQ27,AT27,AW27)</f>
        <v>0</v>
      </c>
      <c r="E27" s="58">
        <f>SUM(H27,K27,N27,Q27,T27,Z27,AC27,AF27,W27,AI27,AL27,AO27,AR27,AU27,AX27)</f>
        <v>0</v>
      </c>
      <c r="F27" s="49"/>
      <c r="G27" s="165"/>
      <c r="H27" s="50"/>
      <c r="I27" s="49"/>
      <c r="J27" s="165"/>
      <c r="K27" s="50"/>
      <c r="L27" s="49"/>
      <c r="M27" s="165"/>
      <c r="N27" s="50"/>
      <c r="O27" s="49"/>
      <c r="P27" s="165"/>
      <c r="Q27" s="50"/>
      <c r="R27" s="49"/>
      <c r="S27" s="165"/>
      <c r="T27" s="50"/>
      <c r="U27" s="49"/>
      <c r="V27" s="165"/>
      <c r="W27" s="50"/>
      <c r="X27" s="49"/>
      <c r="Y27" s="165"/>
      <c r="Z27" s="50"/>
      <c r="AA27" s="49"/>
      <c r="AB27" s="165"/>
      <c r="AC27" s="168"/>
      <c r="AD27" s="49"/>
      <c r="AE27" s="165"/>
      <c r="AF27" s="50"/>
      <c r="AG27" s="49"/>
      <c r="AH27" s="165"/>
      <c r="AI27" s="50"/>
      <c r="AJ27" s="49"/>
      <c r="AK27" s="165"/>
      <c r="AL27" s="50"/>
      <c r="AM27" s="49"/>
      <c r="AN27" s="165"/>
      <c r="AO27" s="50"/>
      <c r="AP27" s="49"/>
      <c r="AQ27" s="165"/>
      <c r="AR27" s="50"/>
      <c r="AS27" s="49"/>
      <c r="AT27" s="165"/>
      <c r="AU27" s="50"/>
      <c r="AV27" s="49"/>
      <c r="AW27" s="165"/>
      <c r="AX27" s="75"/>
    </row>
    <row r="28" spans="1:50" x14ac:dyDescent="0.25">
      <c r="A28" s="27">
        <v>41</v>
      </c>
      <c r="B28" s="35" t="s">
        <v>277</v>
      </c>
      <c r="C28" s="58">
        <f t="shared" si="4"/>
        <v>1</v>
      </c>
      <c r="D28" s="58">
        <f t="shared" si="5"/>
        <v>0</v>
      </c>
      <c r="E28" s="58">
        <f t="shared" si="6"/>
        <v>0</v>
      </c>
      <c r="F28" s="52">
        <v>1</v>
      </c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7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56">
        <v>43</v>
      </c>
      <c r="B29" s="148" t="s">
        <v>327</v>
      </c>
      <c r="C29" s="58">
        <f t="shared" ref="C29:E30" si="7">SUM(F29,I29,L29,O29,R29,X29,AA29,AD29,U29,AG29,AJ29,AM29,AP29,AS29,AV29)</f>
        <v>0</v>
      </c>
      <c r="D29" s="58">
        <f t="shared" si="7"/>
        <v>0</v>
      </c>
      <c r="E29" s="58">
        <f t="shared" si="7"/>
        <v>0</v>
      </c>
      <c r="F29" s="49"/>
      <c r="G29" s="165"/>
      <c r="H29" s="50"/>
      <c r="I29" s="49"/>
      <c r="J29" s="165"/>
      <c r="K29" s="50"/>
      <c r="L29" s="49"/>
      <c r="M29" s="165"/>
      <c r="N29" s="50"/>
      <c r="O29" s="49"/>
      <c r="P29" s="165"/>
      <c r="Q29" s="50"/>
      <c r="R29" s="49"/>
      <c r="S29" s="165"/>
      <c r="T29" s="50"/>
      <c r="U29" s="49"/>
      <c r="V29" s="165"/>
      <c r="W29" s="50"/>
      <c r="X29" s="49"/>
      <c r="Y29" s="165"/>
      <c r="Z29" s="50"/>
      <c r="AA29" s="49"/>
      <c r="AB29" s="165"/>
      <c r="AC29" s="168"/>
      <c r="AD29" s="49"/>
      <c r="AE29" s="165"/>
      <c r="AF29" s="50"/>
      <c r="AG29" s="49"/>
      <c r="AH29" s="165"/>
      <c r="AI29" s="50"/>
      <c r="AJ29" s="49"/>
      <c r="AK29" s="165"/>
      <c r="AL29" s="50"/>
      <c r="AM29" s="49"/>
      <c r="AN29" s="165"/>
      <c r="AO29" s="50"/>
      <c r="AP29" s="49"/>
      <c r="AQ29" s="165"/>
      <c r="AR29" s="50"/>
      <c r="AS29" s="49"/>
      <c r="AT29" s="165"/>
      <c r="AU29" s="50"/>
      <c r="AV29" s="49"/>
      <c r="AW29" s="165"/>
      <c r="AX29" s="75"/>
    </row>
    <row r="30" spans="1:50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8">
        <f t="shared" si="7"/>
        <v>0</v>
      </c>
      <c r="F30" s="49"/>
      <c r="G30" s="165"/>
      <c r="H30" s="50"/>
      <c r="I30" s="49"/>
      <c r="J30" s="165"/>
      <c r="K30" s="50"/>
      <c r="L30" s="49"/>
      <c r="M30" s="165"/>
      <c r="N30" s="50"/>
      <c r="O30" s="49"/>
      <c r="P30" s="165"/>
      <c r="Q30" s="50"/>
      <c r="R30" s="49"/>
      <c r="S30" s="165"/>
      <c r="T30" s="50"/>
      <c r="U30" s="49"/>
      <c r="V30" s="165"/>
      <c r="W30" s="50"/>
      <c r="X30" s="49"/>
      <c r="Y30" s="165"/>
      <c r="Z30" s="50"/>
      <c r="AA30" s="49"/>
      <c r="AB30" s="165"/>
      <c r="AC30" s="168"/>
      <c r="AD30" s="49"/>
      <c r="AE30" s="165"/>
      <c r="AF30" s="50"/>
      <c r="AG30" s="49"/>
      <c r="AH30" s="165"/>
      <c r="AI30" s="50"/>
      <c r="AJ30" s="49"/>
      <c r="AK30" s="165"/>
      <c r="AL30" s="50"/>
      <c r="AM30" s="49"/>
      <c r="AN30" s="165"/>
      <c r="AO30" s="50"/>
      <c r="AP30" s="49"/>
      <c r="AQ30" s="165"/>
      <c r="AR30" s="50"/>
      <c r="AS30" s="49"/>
      <c r="AT30" s="165"/>
      <c r="AU30" s="50"/>
      <c r="AV30" s="49"/>
      <c r="AW30" s="165"/>
      <c r="AX30" s="75"/>
    </row>
    <row r="31" spans="1:50" x14ac:dyDescent="0.25">
      <c r="A31" s="28">
        <v>45</v>
      </c>
      <c r="B31" s="148" t="s">
        <v>468</v>
      </c>
      <c r="C31" s="58">
        <f t="shared" ref="C31:C38" si="8">SUM(F31,I31,L31,O31,R31,X31,AA31,AD31,U31,AG31,AJ31,AM31,AP31,AS31,AV31)</f>
        <v>0</v>
      </c>
      <c r="D31" s="58">
        <f t="shared" ref="D31:D38" si="9">SUM(G31,J31,M31,P31,S31,Y31,AB31,AE31,V31,AH31,AK31,AN31,AQ31,AT31,AW31)</f>
        <v>0</v>
      </c>
      <c r="E31" s="58">
        <f t="shared" ref="E31:E38" si="10">SUM(H31,K31,N31,Q31,T31,Z31,AC31,AF31,W31,AI31,AL31,AO31,AR31,AU31,AX31)</f>
        <v>0</v>
      </c>
      <c r="F31" s="49"/>
      <c r="G31" s="165"/>
      <c r="H31" s="50"/>
      <c r="I31" s="49"/>
      <c r="J31" s="165"/>
      <c r="K31" s="50"/>
      <c r="L31" s="49"/>
      <c r="M31" s="165"/>
      <c r="N31" s="50"/>
      <c r="O31" s="49"/>
      <c r="P31" s="165"/>
      <c r="Q31" s="50"/>
      <c r="R31" s="49"/>
      <c r="S31" s="165"/>
      <c r="T31" s="50"/>
      <c r="U31" s="49"/>
      <c r="V31" s="165"/>
      <c r="W31" s="50"/>
      <c r="X31" s="49"/>
      <c r="Y31" s="165"/>
      <c r="Z31" s="50"/>
      <c r="AA31" s="49"/>
      <c r="AB31" s="165"/>
      <c r="AC31" s="168"/>
      <c r="AD31" s="49"/>
      <c r="AE31" s="165"/>
      <c r="AF31" s="50"/>
      <c r="AG31" s="49"/>
      <c r="AH31" s="165"/>
      <c r="AI31" s="50"/>
      <c r="AJ31" s="49"/>
      <c r="AK31" s="165"/>
      <c r="AL31" s="50"/>
      <c r="AM31" s="49"/>
      <c r="AN31" s="165"/>
      <c r="AO31" s="50"/>
      <c r="AP31" s="49"/>
      <c r="AQ31" s="165"/>
      <c r="AR31" s="50"/>
      <c r="AS31" s="49"/>
      <c r="AT31" s="165"/>
      <c r="AU31" s="50"/>
      <c r="AV31" s="49"/>
      <c r="AW31" s="165"/>
      <c r="AX31" s="75"/>
    </row>
    <row r="32" spans="1:50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8">
        <f t="shared" si="10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167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75"/>
    </row>
    <row r="33" spans="1:50" x14ac:dyDescent="0.25">
      <c r="A33" s="27">
        <v>49</v>
      </c>
      <c r="B33" s="35" t="s">
        <v>297</v>
      </c>
      <c r="C33" s="58">
        <f t="shared" si="8"/>
        <v>0</v>
      </c>
      <c r="D33" s="58">
        <f t="shared" si="9"/>
        <v>0</v>
      </c>
      <c r="E33" s="58">
        <f t="shared" si="10"/>
        <v>0</v>
      </c>
      <c r="F33" s="49"/>
      <c r="G33" s="165"/>
      <c r="H33" s="50"/>
      <c r="I33" s="49"/>
      <c r="J33" s="165"/>
      <c r="K33" s="50"/>
      <c r="L33" s="49"/>
      <c r="M33" s="165"/>
      <c r="N33" s="50"/>
      <c r="O33" s="49"/>
      <c r="P33" s="165"/>
      <c r="Q33" s="50"/>
      <c r="R33" s="49"/>
      <c r="S33" s="165"/>
      <c r="T33" s="50"/>
      <c r="U33" s="49"/>
      <c r="V33" s="165"/>
      <c r="W33" s="50"/>
      <c r="X33" s="49"/>
      <c r="Y33" s="165"/>
      <c r="Z33" s="50"/>
      <c r="AA33" s="49"/>
      <c r="AB33" s="165"/>
      <c r="AC33" s="168"/>
      <c r="AD33" s="49"/>
      <c r="AE33" s="165"/>
      <c r="AF33" s="50"/>
      <c r="AG33" s="49"/>
      <c r="AH33" s="165"/>
      <c r="AI33" s="50"/>
      <c r="AJ33" s="49"/>
      <c r="AK33" s="165"/>
      <c r="AL33" s="50"/>
      <c r="AM33" s="49"/>
      <c r="AN33" s="165"/>
      <c r="AO33" s="50"/>
      <c r="AP33" s="49"/>
      <c r="AQ33" s="165"/>
      <c r="AR33" s="50"/>
      <c r="AS33" s="49"/>
      <c r="AT33" s="165"/>
      <c r="AU33" s="50"/>
      <c r="AV33" s="49"/>
      <c r="AW33" s="165"/>
      <c r="AX33" s="75"/>
    </row>
    <row r="34" spans="1:50" x14ac:dyDescent="0.25">
      <c r="A34" s="28">
        <v>53</v>
      </c>
      <c r="B34" s="148" t="s">
        <v>292</v>
      </c>
      <c r="C34" s="58">
        <f t="shared" si="8"/>
        <v>0</v>
      </c>
      <c r="D34" s="58">
        <f t="shared" si="9"/>
        <v>0</v>
      </c>
      <c r="E34" s="58">
        <f t="shared" si="10"/>
        <v>0</v>
      </c>
      <c r="F34" s="49"/>
      <c r="G34" s="165"/>
      <c r="H34" s="50"/>
      <c r="I34" s="49"/>
      <c r="J34" s="165"/>
      <c r="K34" s="50"/>
      <c r="L34" s="49"/>
      <c r="M34" s="165"/>
      <c r="N34" s="50"/>
      <c r="O34" s="49"/>
      <c r="P34" s="165"/>
      <c r="Q34" s="50"/>
      <c r="R34" s="49"/>
      <c r="S34" s="165"/>
      <c r="T34" s="50"/>
      <c r="U34" s="49"/>
      <c r="V34" s="165"/>
      <c r="W34" s="50"/>
      <c r="X34" s="49"/>
      <c r="Y34" s="165"/>
      <c r="Z34" s="50"/>
      <c r="AA34" s="49"/>
      <c r="AB34" s="165"/>
      <c r="AC34" s="168"/>
      <c r="AD34" s="49"/>
      <c r="AE34" s="165"/>
      <c r="AF34" s="50"/>
      <c r="AG34" s="49"/>
      <c r="AH34" s="165"/>
      <c r="AI34" s="50"/>
      <c r="AJ34" s="49"/>
      <c r="AK34" s="165"/>
      <c r="AL34" s="50"/>
      <c r="AM34" s="49"/>
      <c r="AN34" s="165"/>
      <c r="AO34" s="50"/>
      <c r="AP34" s="49"/>
      <c r="AQ34" s="165"/>
      <c r="AR34" s="50"/>
      <c r="AS34" s="49"/>
      <c r="AT34" s="165"/>
      <c r="AU34" s="50"/>
      <c r="AV34" s="49"/>
      <c r="AW34" s="165"/>
      <c r="AX34" s="75"/>
    </row>
    <row r="35" spans="1:50" x14ac:dyDescent="0.25">
      <c r="A35" s="28">
        <v>55</v>
      </c>
      <c r="B35" s="37" t="s">
        <v>301</v>
      </c>
      <c r="C35" s="58">
        <f t="shared" si="8"/>
        <v>0</v>
      </c>
      <c r="D35" s="58">
        <f t="shared" si="9"/>
        <v>0</v>
      </c>
      <c r="E35" s="58">
        <f t="shared" si="10"/>
        <v>0</v>
      </c>
      <c r="F35" s="49"/>
      <c r="G35" s="165"/>
      <c r="H35" s="50"/>
      <c r="I35" s="49"/>
      <c r="J35" s="165"/>
      <c r="K35" s="50"/>
      <c r="L35" s="49"/>
      <c r="M35" s="165"/>
      <c r="N35" s="50"/>
      <c r="O35" s="49"/>
      <c r="P35" s="165"/>
      <c r="Q35" s="50"/>
      <c r="R35" s="49"/>
      <c r="S35" s="165"/>
      <c r="T35" s="50"/>
      <c r="U35" s="49"/>
      <c r="V35" s="165"/>
      <c r="W35" s="50"/>
      <c r="X35" s="49"/>
      <c r="Y35" s="165"/>
      <c r="Z35" s="50"/>
      <c r="AA35" s="49"/>
      <c r="AB35" s="165"/>
      <c r="AC35" s="168"/>
      <c r="AD35" s="49"/>
      <c r="AE35" s="165"/>
      <c r="AF35" s="50"/>
      <c r="AG35" s="49"/>
      <c r="AH35" s="165"/>
      <c r="AI35" s="50"/>
      <c r="AJ35" s="49"/>
      <c r="AK35" s="165"/>
      <c r="AL35" s="50"/>
      <c r="AM35" s="49"/>
      <c r="AN35" s="165"/>
      <c r="AO35" s="50"/>
      <c r="AP35" s="49"/>
      <c r="AQ35" s="165"/>
      <c r="AR35" s="50"/>
      <c r="AS35" s="49"/>
      <c r="AT35" s="165"/>
      <c r="AU35" s="50"/>
      <c r="AV35" s="49"/>
      <c r="AW35" s="165"/>
      <c r="AX35" s="75"/>
    </row>
    <row r="36" spans="1:50" x14ac:dyDescent="0.25">
      <c r="A36" s="27">
        <v>56</v>
      </c>
      <c r="B36" s="149" t="s">
        <v>322</v>
      </c>
      <c r="C36" s="58">
        <f t="shared" si="8"/>
        <v>0</v>
      </c>
      <c r="D36" s="58">
        <f t="shared" si="9"/>
        <v>0</v>
      </c>
      <c r="E36" s="58">
        <f t="shared" si="10"/>
        <v>0</v>
      </c>
      <c r="F36" s="49"/>
      <c r="G36" s="165"/>
      <c r="H36" s="50"/>
      <c r="I36" s="49"/>
      <c r="J36" s="165"/>
      <c r="K36" s="50"/>
      <c r="L36" s="49"/>
      <c r="M36" s="165"/>
      <c r="N36" s="50"/>
      <c r="O36" s="49"/>
      <c r="P36" s="165"/>
      <c r="Q36" s="50"/>
      <c r="R36" s="49"/>
      <c r="S36" s="165"/>
      <c r="T36" s="50"/>
      <c r="U36" s="49"/>
      <c r="V36" s="165"/>
      <c r="W36" s="50"/>
      <c r="X36" s="49"/>
      <c r="Y36" s="165"/>
      <c r="Z36" s="50"/>
      <c r="AA36" s="49"/>
      <c r="AB36" s="165"/>
      <c r="AC36" s="168"/>
      <c r="AD36" s="49"/>
      <c r="AE36" s="165"/>
      <c r="AF36" s="50"/>
      <c r="AG36" s="49"/>
      <c r="AH36" s="165"/>
      <c r="AI36" s="50"/>
      <c r="AJ36" s="49"/>
      <c r="AK36" s="165"/>
      <c r="AL36" s="50"/>
      <c r="AM36" s="49"/>
      <c r="AN36" s="165"/>
      <c r="AO36" s="50"/>
      <c r="AP36" s="49"/>
      <c r="AQ36" s="165"/>
      <c r="AR36" s="50"/>
      <c r="AS36" s="49"/>
      <c r="AT36" s="165"/>
      <c r="AU36" s="50"/>
      <c r="AV36" s="49"/>
      <c r="AW36" s="165"/>
      <c r="AX36" s="75"/>
    </row>
    <row r="37" spans="1:50" x14ac:dyDescent="0.25">
      <c r="A37" s="28">
        <v>71</v>
      </c>
      <c r="B37" s="148" t="s">
        <v>339</v>
      </c>
      <c r="C37" s="58">
        <f t="shared" si="8"/>
        <v>0</v>
      </c>
      <c r="D37" s="58">
        <f t="shared" si="9"/>
        <v>0</v>
      </c>
      <c r="E37" s="58">
        <f t="shared" si="10"/>
        <v>0</v>
      </c>
      <c r="F37" s="49"/>
      <c r="G37" s="165"/>
      <c r="H37" s="50"/>
      <c r="I37" s="49"/>
      <c r="J37" s="165"/>
      <c r="K37" s="50"/>
      <c r="L37" s="49"/>
      <c r="M37" s="165"/>
      <c r="N37" s="50"/>
      <c r="O37" s="49"/>
      <c r="P37" s="165"/>
      <c r="Q37" s="50"/>
      <c r="R37" s="49"/>
      <c r="S37" s="165"/>
      <c r="T37" s="50"/>
      <c r="U37" s="49"/>
      <c r="V37" s="165"/>
      <c r="W37" s="50"/>
      <c r="X37" s="49"/>
      <c r="Y37" s="165"/>
      <c r="Z37" s="50"/>
      <c r="AA37" s="49"/>
      <c r="AB37" s="165"/>
      <c r="AC37" s="168"/>
      <c r="AD37" s="49"/>
      <c r="AE37" s="165"/>
      <c r="AF37" s="50"/>
      <c r="AG37" s="49"/>
      <c r="AH37" s="165"/>
      <c r="AI37" s="50"/>
      <c r="AJ37" s="49"/>
      <c r="AK37" s="165"/>
      <c r="AL37" s="50"/>
      <c r="AM37" s="49"/>
      <c r="AN37" s="165"/>
      <c r="AO37" s="50"/>
      <c r="AP37" s="49"/>
      <c r="AQ37" s="165"/>
      <c r="AR37" s="50"/>
      <c r="AS37" s="49"/>
      <c r="AT37" s="165"/>
      <c r="AU37" s="50"/>
      <c r="AV37" s="49"/>
      <c r="AW37" s="165"/>
      <c r="AX37" s="75"/>
    </row>
    <row r="38" spans="1:50" x14ac:dyDescent="0.25">
      <c r="A38" s="28">
        <v>89</v>
      </c>
      <c r="B38" s="148" t="s">
        <v>333</v>
      </c>
      <c r="C38" s="58">
        <f t="shared" si="8"/>
        <v>0</v>
      </c>
      <c r="D38" s="58">
        <f t="shared" si="9"/>
        <v>0</v>
      </c>
      <c r="E38" s="58">
        <f t="shared" si="10"/>
        <v>0</v>
      </c>
      <c r="F38" s="49"/>
      <c r="G38" s="165"/>
      <c r="H38" s="50"/>
      <c r="I38" s="49"/>
      <c r="J38" s="165"/>
      <c r="K38" s="50"/>
      <c r="L38" s="49"/>
      <c r="M38" s="165"/>
      <c r="N38" s="50"/>
      <c r="O38" s="49"/>
      <c r="P38" s="165"/>
      <c r="Q38" s="50"/>
      <c r="R38" s="49"/>
      <c r="S38" s="165"/>
      <c r="T38" s="50"/>
      <c r="U38" s="49"/>
      <c r="V38" s="165"/>
      <c r="W38" s="50"/>
      <c r="X38" s="49"/>
      <c r="Y38" s="165"/>
      <c r="Z38" s="50"/>
      <c r="AA38" s="49"/>
      <c r="AB38" s="165"/>
      <c r="AC38" s="168"/>
      <c r="AD38" s="49"/>
      <c r="AE38" s="165"/>
      <c r="AF38" s="50"/>
      <c r="AG38" s="49"/>
      <c r="AH38" s="165"/>
      <c r="AI38" s="50"/>
      <c r="AJ38" s="49"/>
      <c r="AK38" s="165"/>
      <c r="AL38" s="50"/>
      <c r="AM38" s="49"/>
      <c r="AN38" s="165"/>
      <c r="AO38" s="50"/>
      <c r="AP38" s="49"/>
      <c r="AQ38" s="165"/>
      <c r="AR38" s="50"/>
      <c r="AS38" s="49"/>
      <c r="AT38" s="165"/>
      <c r="AU38" s="50"/>
      <c r="AV38" s="49"/>
      <c r="AW38" s="165"/>
      <c r="AX38" s="75"/>
    </row>
    <row r="39" spans="1:50" ht="15.75" thickBot="1" x14ac:dyDescent="0.3">
      <c r="F39" s="171">
        <f t="shared" ref="F39:AX39" si="11">SUM(F4:F38)</f>
        <v>16</v>
      </c>
      <c r="G39" s="172">
        <f t="shared" si="11"/>
        <v>1</v>
      </c>
      <c r="H39" s="173">
        <f t="shared" si="11"/>
        <v>1</v>
      </c>
      <c r="I39" s="171">
        <f t="shared" si="11"/>
        <v>0</v>
      </c>
      <c r="J39" s="172">
        <f t="shared" si="11"/>
        <v>0</v>
      </c>
      <c r="K39" s="173">
        <f t="shared" si="11"/>
        <v>0</v>
      </c>
      <c r="L39" s="171">
        <f t="shared" si="11"/>
        <v>0</v>
      </c>
      <c r="M39" s="172">
        <f t="shared" si="11"/>
        <v>0</v>
      </c>
      <c r="N39" s="173">
        <f t="shared" si="11"/>
        <v>0</v>
      </c>
      <c r="O39" s="171">
        <f t="shared" si="11"/>
        <v>0</v>
      </c>
      <c r="P39" s="172">
        <f t="shared" si="11"/>
        <v>0</v>
      </c>
      <c r="Q39" s="173">
        <f t="shared" si="11"/>
        <v>0</v>
      </c>
      <c r="R39" s="171">
        <f t="shared" si="11"/>
        <v>0</v>
      </c>
      <c r="S39" s="172">
        <f t="shared" si="11"/>
        <v>0</v>
      </c>
      <c r="T39" s="173">
        <f t="shared" si="11"/>
        <v>0</v>
      </c>
      <c r="U39" s="171">
        <f t="shared" si="11"/>
        <v>0</v>
      </c>
      <c r="V39" s="172">
        <f t="shared" si="11"/>
        <v>0</v>
      </c>
      <c r="W39" s="173">
        <f t="shared" si="11"/>
        <v>0</v>
      </c>
      <c r="X39" s="171">
        <f t="shared" si="11"/>
        <v>0</v>
      </c>
      <c r="Y39" s="172">
        <f t="shared" si="11"/>
        <v>0</v>
      </c>
      <c r="Z39" s="173">
        <f t="shared" si="11"/>
        <v>0</v>
      </c>
      <c r="AA39" s="171">
        <f t="shared" si="11"/>
        <v>0</v>
      </c>
      <c r="AB39" s="172">
        <f t="shared" si="11"/>
        <v>0</v>
      </c>
      <c r="AC39" s="174">
        <f t="shared" si="11"/>
        <v>0</v>
      </c>
      <c r="AD39" s="171">
        <f t="shared" si="11"/>
        <v>0</v>
      </c>
      <c r="AE39" s="172">
        <f t="shared" si="11"/>
        <v>0</v>
      </c>
      <c r="AF39" s="173">
        <f t="shared" si="11"/>
        <v>0</v>
      </c>
      <c r="AG39" s="171">
        <f t="shared" si="11"/>
        <v>0</v>
      </c>
      <c r="AH39" s="172">
        <f t="shared" si="11"/>
        <v>0</v>
      </c>
      <c r="AI39" s="173">
        <f t="shared" si="11"/>
        <v>0</v>
      </c>
      <c r="AJ39" s="171">
        <f t="shared" si="11"/>
        <v>0</v>
      </c>
      <c r="AK39" s="172">
        <f t="shared" si="11"/>
        <v>0</v>
      </c>
      <c r="AL39" s="173">
        <f t="shared" si="11"/>
        <v>0</v>
      </c>
      <c r="AM39" s="171">
        <f t="shared" si="11"/>
        <v>0</v>
      </c>
      <c r="AN39" s="172">
        <f t="shared" si="11"/>
        <v>0</v>
      </c>
      <c r="AO39" s="173">
        <f t="shared" si="11"/>
        <v>0</v>
      </c>
      <c r="AP39" s="171">
        <f t="shared" si="11"/>
        <v>0</v>
      </c>
      <c r="AQ39" s="172">
        <f t="shared" si="11"/>
        <v>0</v>
      </c>
      <c r="AR39" s="173">
        <f t="shared" si="11"/>
        <v>0</v>
      </c>
      <c r="AS39" s="171">
        <f t="shared" si="11"/>
        <v>0</v>
      </c>
      <c r="AT39" s="172">
        <f t="shared" si="11"/>
        <v>0</v>
      </c>
      <c r="AU39" s="173">
        <f t="shared" si="11"/>
        <v>0</v>
      </c>
      <c r="AV39" s="171">
        <f t="shared" si="11"/>
        <v>0</v>
      </c>
      <c r="AW39" s="172">
        <f t="shared" si="11"/>
        <v>0</v>
      </c>
      <c r="AX39" s="173">
        <f t="shared" si="11"/>
        <v>0</v>
      </c>
    </row>
  </sheetData>
  <mergeCells count="23">
    <mergeCell ref="L2:N2"/>
    <mergeCell ref="F1:AC1"/>
    <mergeCell ref="O2:Q2"/>
    <mergeCell ref="R2:T2"/>
    <mergeCell ref="U2:W2"/>
    <mergeCell ref="X2:Z2"/>
    <mergeCell ref="AA2:AC2"/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</mergeCells>
  <conditionalFormatting sqref="F4:AW32">
    <cfRule type="cellIs" dxfId="15" priority="1" operator="equal">
      <formula>1</formula>
    </cfRule>
  </conditionalFormatting>
  <conditionalFormatting sqref="F4:AW38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39"/>
  <sheetViews>
    <sheetView zoomScale="85" zoomScaleNormal="85" zoomScalePageLayoutView="130" workbookViewId="0">
      <selection activeCell="AG26" sqref="AG26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3" t="s">
        <v>396</v>
      </c>
      <c r="D1" s="233" t="s">
        <v>397</v>
      </c>
      <c r="E1" s="233" t="s">
        <v>398</v>
      </c>
      <c r="F1" s="273" t="s">
        <v>87</v>
      </c>
      <c r="G1" s="274"/>
      <c r="H1" s="275"/>
      <c r="I1" s="276" t="s">
        <v>88</v>
      </c>
      <c r="J1" s="277"/>
      <c r="K1" s="278"/>
      <c r="L1" s="243" t="s">
        <v>89</v>
      </c>
      <c r="M1" s="244"/>
      <c r="N1" s="245"/>
      <c r="O1" s="246" t="s">
        <v>199</v>
      </c>
      <c r="P1" s="247"/>
      <c r="Q1" s="248"/>
      <c r="R1" s="249" t="s">
        <v>200</v>
      </c>
      <c r="S1" s="250"/>
      <c r="T1" s="251"/>
      <c r="U1" s="252" t="s">
        <v>306</v>
      </c>
      <c r="V1" s="253"/>
      <c r="W1" s="254"/>
    </row>
    <row r="2" spans="1:23" x14ac:dyDescent="0.25">
      <c r="A2" s="3"/>
      <c r="B2" s="5"/>
      <c r="C2" s="234"/>
      <c r="D2" s="234"/>
      <c r="E2" s="234"/>
      <c r="F2" s="255"/>
      <c r="G2" s="256"/>
      <c r="H2" s="257"/>
      <c r="I2" s="270"/>
      <c r="J2" s="271"/>
      <c r="K2" s="272"/>
      <c r="L2" s="267"/>
      <c r="M2" s="268"/>
      <c r="N2" s="269"/>
      <c r="O2" s="264"/>
      <c r="P2" s="265"/>
      <c r="Q2" s="266"/>
      <c r="R2" s="261"/>
      <c r="S2" s="262"/>
      <c r="T2" s="263"/>
      <c r="U2" s="258"/>
      <c r="V2" s="259"/>
      <c r="W2" s="260"/>
    </row>
    <row r="3" spans="1:23" ht="15.75" thickBot="1" x14ac:dyDescent="0.3">
      <c r="A3" s="3" t="s">
        <v>48</v>
      </c>
      <c r="B3" s="17" t="s">
        <v>1</v>
      </c>
      <c r="C3" s="242"/>
      <c r="D3" s="242"/>
      <c r="E3" s="242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E5" si="0">SUM(G4,J4,M4,P4,S4,V4)</f>
        <v>0</v>
      </c>
      <c r="E4" s="190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28" si="2">SUM(F6,I6,L6,O6,R6,U6)</f>
        <v>0</v>
      </c>
      <c r="D6" s="58">
        <f t="shared" ref="D6:D28" si="3">SUM(G6,J6,M6,P6,S6,V6)</f>
        <v>0</v>
      </c>
      <c r="E6" s="58">
        <f t="shared" ref="E6:E28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431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8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8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468</v>
      </c>
      <c r="C31" s="58">
        <f t="shared" ref="C31:C38" si="6">SUM(F31,I31,L31,O31,R31,U31)</f>
        <v>0</v>
      </c>
      <c r="D31" s="58">
        <f t="shared" ref="D31:D38" si="7">SUM(G31,J31,M31,P31,S31,V31)</f>
        <v>0</v>
      </c>
      <c r="E31" s="58">
        <f t="shared" ref="E31:E38" si="8">SUM(H31,K31,N31,Q31,T31,W31)</f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8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0</v>
      </c>
      <c r="D33" s="58">
        <f t="shared" si="7"/>
        <v>0</v>
      </c>
      <c r="E33" s="58">
        <f t="shared" si="8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6"/>
        <v>0</v>
      </c>
      <c r="D34" s="58">
        <f t="shared" si="7"/>
        <v>0</v>
      </c>
      <c r="E34" s="58">
        <f t="shared" si="8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6"/>
        <v>0</v>
      </c>
      <c r="D35" s="58">
        <f t="shared" si="7"/>
        <v>0</v>
      </c>
      <c r="E35" s="58">
        <f t="shared" si="8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6"/>
        <v>0</v>
      </c>
      <c r="D36" s="58">
        <f t="shared" si="7"/>
        <v>0</v>
      </c>
      <c r="E36" s="58">
        <f t="shared" si="8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6"/>
        <v>0</v>
      </c>
      <c r="D37" s="58">
        <f t="shared" si="7"/>
        <v>0</v>
      </c>
      <c r="E37" s="58">
        <f t="shared" si="8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6"/>
        <v>0</v>
      </c>
      <c r="D38" s="58">
        <f t="shared" si="7"/>
        <v>0</v>
      </c>
      <c r="E38" s="58">
        <f t="shared" si="8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1">
        <f t="shared" ref="F39:W39" si="9">SUM(F4:F38)</f>
        <v>0</v>
      </c>
      <c r="G39" s="172">
        <f t="shared" si="9"/>
        <v>0</v>
      </c>
      <c r="H39" s="173">
        <f t="shared" si="9"/>
        <v>0</v>
      </c>
      <c r="I39" s="171">
        <f t="shared" si="9"/>
        <v>0</v>
      </c>
      <c r="J39" s="172">
        <f t="shared" si="9"/>
        <v>0</v>
      </c>
      <c r="K39" s="173">
        <f t="shared" si="9"/>
        <v>0</v>
      </c>
      <c r="L39" s="171">
        <f t="shared" si="9"/>
        <v>0</v>
      </c>
      <c r="M39" s="172">
        <f t="shared" si="9"/>
        <v>0</v>
      </c>
      <c r="N39" s="173">
        <f t="shared" si="9"/>
        <v>0</v>
      </c>
      <c r="O39" s="171">
        <f t="shared" si="9"/>
        <v>0</v>
      </c>
      <c r="P39" s="172">
        <f t="shared" si="9"/>
        <v>0</v>
      </c>
      <c r="Q39" s="173">
        <f t="shared" si="9"/>
        <v>0</v>
      </c>
      <c r="R39" s="171">
        <f t="shared" si="9"/>
        <v>0</v>
      </c>
      <c r="S39" s="172">
        <f t="shared" si="9"/>
        <v>0</v>
      </c>
      <c r="T39" s="173">
        <f t="shared" si="9"/>
        <v>0</v>
      </c>
      <c r="U39" s="171">
        <f t="shared" si="9"/>
        <v>0</v>
      </c>
      <c r="V39" s="172">
        <f t="shared" si="9"/>
        <v>0</v>
      </c>
      <c r="W39" s="173">
        <f t="shared" si="9"/>
        <v>0</v>
      </c>
    </row>
  </sheetData>
  <mergeCells count="15"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  <mergeCell ref="E1:E3"/>
    <mergeCell ref="D1:D3"/>
    <mergeCell ref="C1:C3"/>
    <mergeCell ref="L1:N1"/>
    <mergeCell ref="O1:Q1"/>
  </mergeCells>
  <conditionalFormatting sqref="F4:W32">
    <cfRule type="cellIs" dxfId="13" priority="1" operator="equal">
      <formula>1</formula>
    </cfRule>
  </conditionalFormatting>
  <conditionalFormatting sqref="F4:W38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39"/>
  <sheetViews>
    <sheetView zoomScale="83" zoomScaleNormal="85" workbookViewId="0">
      <selection activeCell="AF25" sqref="AF25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3" t="s">
        <v>396</v>
      </c>
      <c r="D1" s="233" t="s">
        <v>397</v>
      </c>
      <c r="E1" s="233" t="s">
        <v>398</v>
      </c>
      <c r="F1" s="273" t="s">
        <v>87</v>
      </c>
      <c r="G1" s="274"/>
      <c r="H1" s="275"/>
      <c r="I1" s="276" t="s">
        <v>88</v>
      </c>
      <c r="J1" s="277"/>
      <c r="K1" s="278"/>
      <c r="L1" s="243" t="s">
        <v>89</v>
      </c>
      <c r="M1" s="244"/>
      <c r="N1" s="245"/>
      <c r="O1" s="246" t="s">
        <v>199</v>
      </c>
      <c r="P1" s="247"/>
      <c r="Q1" s="248"/>
      <c r="R1" s="249" t="s">
        <v>200</v>
      </c>
      <c r="S1" s="250"/>
      <c r="T1" s="251"/>
      <c r="U1" s="252" t="s">
        <v>306</v>
      </c>
      <c r="V1" s="253"/>
      <c r="W1" s="254"/>
    </row>
    <row r="2" spans="1:23" x14ac:dyDescent="0.25">
      <c r="A2" s="3"/>
      <c r="B2" s="17"/>
      <c r="C2" s="234"/>
      <c r="D2" s="234"/>
      <c r="E2" s="234"/>
      <c r="F2" s="255" t="s">
        <v>432</v>
      </c>
      <c r="G2" s="256"/>
      <c r="H2" s="257"/>
      <c r="I2" s="270"/>
      <c r="J2" s="271"/>
      <c r="K2" s="272"/>
      <c r="L2" s="267"/>
      <c r="M2" s="268"/>
      <c r="N2" s="269"/>
      <c r="O2" s="264"/>
      <c r="P2" s="265"/>
      <c r="Q2" s="266"/>
      <c r="R2" s="261"/>
      <c r="S2" s="262"/>
      <c r="T2" s="263"/>
      <c r="U2" s="258"/>
      <c r="V2" s="259"/>
      <c r="W2" s="260"/>
    </row>
    <row r="3" spans="1:23" ht="15.75" thickBot="1" x14ac:dyDescent="0.3">
      <c r="A3" s="3" t="s">
        <v>48</v>
      </c>
      <c r="B3" s="17" t="s">
        <v>1</v>
      </c>
      <c r="C3" s="242"/>
      <c r="D3" s="242"/>
      <c r="E3" s="242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D5" si="0">SUM(G4,J4,M4,P4,S4,V4)</f>
        <v>0</v>
      </c>
      <c r="E4" s="190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5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1</v>
      </c>
      <c r="D9" s="51">
        <f t="shared" si="1"/>
        <v>0</v>
      </c>
      <c r="E9" s="58">
        <f t="shared" si="1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1</v>
      </c>
      <c r="D11" s="51">
        <f t="shared" si="1"/>
        <v>0</v>
      </c>
      <c r="E11" s="58">
        <f t="shared" si="1"/>
        <v>0</v>
      </c>
      <c r="F11" s="52">
        <v>1</v>
      </c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1</v>
      </c>
      <c r="D12" s="51">
        <f t="shared" si="1"/>
        <v>0</v>
      </c>
      <c r="E12" s="58">
        <f t="shared" si="1"/>
        <v>1</v>
      </c>
      <c r="F12" s="52">
        <v>1</v>
      </c>
      <c r="G12" s="36"/>
      <c r="H12" s="53">
        <v>1</v>
      </c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1"/>
        <v>1</v>
      </c>
      <c r="D14" s="51">
        <f t="shared" si="1"/>
        <v>0</v>
      </c>
      <c r="E14" s="58">
        <f t="shared" si="1"/>
        <v>0</v>
      </c>
      <c r="F14" s="52">
        <v>1</v>
      </c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1"/>
        <v>1</v>
      </c>
      <c r="D15" s="51">
        <f t="shared" si="1"/>
        <v>0</v>
      </c>
      <c r="E15" s="58">
        <f t="shared" si="1"/>
        <v>0</v>
      </c>
      <c r="F15" s="52">
        <v>1</v>
      </c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431</v>
      </c>
      <c r="C16" s="58">
        <f t="shared" ref="C16:C28" si="2">SUM(F16,I16,L16,O16,R16,U16)</f>
        <v>1</v>
      </c>
      <c r="D16" s="51">
        <f t="shared" ref="D16:D28" si="3">SUM(G16,J16,M16,P16,S16,V16)</f>
        <v>0</v>
      </c>
      <c r="E16" s="58">
        <f t="shared" ref="E16:E28" si="4">SUM(H16,K16,N16,Q16,T16,W16)</f>
        <v>0</v>
      </c>
      <c r="F16" s="52">
        <v>1</v>
      </c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1</v>
      </c>
      <c r="D17" s="51">
        <f t="shared" si="3"/>
        <v>0</v>
      </c>
      <c r="E17" s="58">
        <f t="shared" si="4"/>
        <v>0</v>
      </c>
      <c r="F17" s="52">
        <v>1</v>
      </c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1</v>
      </c>
      <c r="D18" s="51">
        <f t="shared" si="3"/>
        <v>1</v>
      </c>
      <c r="E18" s="58">
        <f t="shared" si="4"/>
        <v>0</v>
      </c>
      <c r="F18" s="52">
        <v>1</v>
      </c>
      <c r="G18" s="36">
        <v>1</v>
      </c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1</v>
      </c>
      <c r="D20" s="51">
        <f t="shared" si="3"/>
        <v>1</v>
      </c>
      <c r="E20" s="58">
        <f t="shared" si="4"/>
        <v>0</v>
      </c>
      <c r="F20" s="52">
        <v>1</v>
      </c>
      <c r="G20" s="36">
        <v>1</v>
      </c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1</v>
      </c>
      <c r="D25" s="51">
        <f t="shared" si="3"/>
        <v>0</v>
      </c>
      <c r="E25" s="58">
        <f t="shared" si="4"/>
        <v>1</v>
      </c>
      <c r="F25" s="52">
        <v>1</v>
      </c>
      <c r="G25" s="36"/>
      <c r="H25" s="53">
        <v>1</v>
      </c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1</v>
      </c>
      <c r="D26" s="51">
        <f t="shared" si="3"/>
        <v>0</v>
      </c>
      <c r="E26" s="58">
        <f t="shared" si="4"/>
        <v>0</v>
      </c>
      <c r="F26" s="52">
        <v>1</v>
      </c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1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1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1</v>
      </c>
      <c r="D30" s="51">
        <f t="shared" si="5"/>
        <v>0</v>
      </c>
      <c r="E30" s="58">
        <f t="shared" si="5"/>
        <v>0</v>
      </c>
      <c r="F30" s="52">
        <v>1</v>
      </c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468</v>
      </c>
      <c r="C31" s="58">
        <f t="shared" ref="C31:C38" si="6">SUM(F31,I31,L31,O31,R31,U31)</f>
        <v>1</v>
      </c>
      <c r="D31" s="51">
        <f t="shared" ref="D31:D38" si="7">SUM(G31,J31,M31,P31,S31,V31)</f>
        <v>0</v>
      </c>
      <c r="E31" s="58">
        <f t="shared" ref="E31:E38" si="8">SUM(H31,K31,N31,Q31,T31,W31)</f>
        <v>0</v>
      </c>
      <c r="F31" s="52">
        <v>1</v>
      </c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1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1</v>
      </c>
      <c r="D33" s="51">
        <f t="shared" si="7"/>
        <v>0</v>
      </c>
      <c r="E33" s="58">
        <f t="shared" si="8"/>
        <v>0</v>
      </c>
      <c r="F33" s="52">
        <v>1</v>
      </c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6"/>
        <v>0</v>
      </c>
      <c r="D34" s="51">
        <f t="shared" si="7"/>
        <v>0</v>
      </c>
      <c r="E34" s="58">
        <f t="shared" si="8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6"/>
        <v>0</v>
      </c>
      <c r="D35" s="51">
        <f t="shared" si="7"/>
        <v>0</v>
      </c>
      <c r="E35" s="58">
        <f t="shared" si="8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6"/>
        <v>1</v>
      </c>
      <c r="D36" s="51">
        <f t="shared" si="7"/>
        <v>2</v>
      </c>
      <c r="E36" s="58">
        <f t="shared" si="8"/>
        <v>0</v>
      </c>
      <c r="F36" s="52">
        <v>1</v>
      </c>
      <c r="G36" s="36">
        <v>2</v>
      </c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6"/>
        <v>0</v>
      </c>
      <c r="D37" s="51">
        <f t="shared" si="7"/>
        <v>0</v>
      </c>
      <c r="E37" s="58">
        <f t="shared" si="8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6"/>
        <v>1</v>
      </c>
      <c r="D38" s="51">
        <f t="shared" si="7"/>
        <v>0</v>
      </c>
      <c r="E38" s="58">
        <f t="shared" si="8"/>
        <v>0</v>
      </c>
      <c r="F38" s="52">
        <v>1</v>
      </c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1">
        <f t="shared" ref="F39:W39" si="9">SUM(F4:F38)</f>
        <v>16</v>
      </c>
      <c r="G39" s="172">
        <f t="shared" si="9"/>
        <v>4</v>
      </c>
      <c r="H39" s="173">
        <f t="shared" si="9"/>
        <v>2</v>
      </c>
      <c r="I39" s="171">
        <f t="shared" si="9"/>
        <v>0</v>
      </c>
      <c r="J39" s="172">
        <f t="shared" si="9"/>
        <v>0</v>
      </c>
      <c r="K39" s="173">
        <f t="shared" si="9"/>
        <v>0</v>
      </c>
      <c r="L39" s="171">
        <f t="shared" si="9"/>
        <v>0</v>
      </c>
      <c r="M39" s="172">
        <f t="shared" si="9"/>
        <v>0</v>
      </c>
      <c r="N39" s="173">
        <f t="shared" si="9"/>
        <v>0</v>
      </c>
      <c r="O39" s="171">
        <f t="shared" si="9"/>
        <v>0</v>
      </c>
      <c r="P39" s="172">
        <f t="shared" si="9"/>
        <v>0</v>
      </c>
      <c r="Q39" s="173">
        <f t="shared" si="9"/>
        <v>0</v>
      </c>
      <c r="R39" s="171">
        <f t="shared" si="9"/>
        <v>0</v>
      </c>
      <c r="S39" s="172">
        <f t="shared" si="9"/>
        <v>0</v>
      </c>
      <c r="T39" s="173">
        <f t="shared" si="9"/>
        <v>0</v>
      </c>
      <c r="U39" s="171">
        <f t="shared" si="9"/>
        <v>0</v>
      </c>
      <c r="V39" s="172">
        <f t="shared" si="9"/>
        <v>0</v>
      </c>
      <c r="W39" s="173">
        <f t="shared" si="9"/>
        <v>0</v>
      </c>
    </row>
  </sheetData>
  <mergeCells count="15">
    <mergeCell ref="C1:C3"/>
    <mergeCell ref="D1:D3"/>
    <mergeCell ref="E1:E3"/>
    <mergeCell ref="F1:H1"/>
    <mergeCell ref="I1:K1"/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</mergeCells>
  <conditionalFormatting sqref="F4:W32">
    <cfRule type="cellIs" dxfId="11" priority="1" operator="equal">
      <formula>1</formula>
    </cfRule>
  </conditionalFormatting>
  <conditionalFormatting sqref="F4:W38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7"/>
  <sheetViews>
    <sheetView zoomScale="85" zoomScaleNormal="85" workbookViewId="0">
      <selection activeCell="V16" sqref="V16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79" t="s">
        <v>340</v>
      </c>
      <c r="D1" s="280"/>
      <c r="E1" s="280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12</v>
      </c>
      <c r="B12" s="149" t="s">
        <v>276</v>
      </c>
      <c r="C12" s="20"/>
      <c r="D12" s="20"/>
      <c r="E12" s="20"/>
    </row>
    <row r="13" spans="1:5" x14ac:dyDescent="0.25">
      <c r="A13" s="27">
        <v>13</v>
      </c>
      <c r="B13" s="149" t="s">
        <v>312</v>
      </c>
      <c r="C13" s="20"/>
      <c r="D13" s="20"/>
      <c r="E13" s="20"/>
    </row>
    <row r="14" spans="1:5" x14ac:dyDescent="0.25">
      <c r="A14" s="27">
        <v>14</v>
      </c>
      <c r="B14" s="149" t="s">
        <v>317</v>
      </c>
      <c r="C14" s="20">
        <v>1</v>
      </c>
      <c r="D14" s="20"/>
      <c r="E14" s="20"/>
    </row>
    <row r="15" spans="1:5" x14ac:dyDescent="0.25">
      <c r="A15" s="27">
        <v>15</v>
      </c>
      <c r="B15" s="149" t="s">
        <v>431</v>
      </c>
      <c r="C15" s="20"/>
      <c r="D15" s="20"/>
      <c r="E15" s="20"/>
    </row>
    <row r="16" spans="1:5" x14ac:dyDescent="0.25">
      <c r="A16" s="27">
        <v>17</v>
      </c>
      <c r="B16" s="148" t="s">
        <v>343</v>
      </c>
      <c r="C16" s="20">
        <v>1</v>
      </c>
      <c r="D16" s="20"/>
      <c r="E16" s="20">
        <v>2</v>
      </c>
    </row>
    <row r="17" spans="1:5" x14ac:dyDescent="0.25">
      <c r="A17" s="27">
        <v>20</v>
      </c>
      <c r="B17" s="148" t="s">
        <v>315</v>
      </c>
      <c r="C17" s="20">
        <v>1</v>
      </c>
      <c r="D17" s="20"/>
      <c r="E17" s="20"/>
    </row>
    <row r="18" spans="1:5" x14ac:dyDescent="0.25">
      <c r="A18" s="28">
        <v>22</v>
      </c>
      <c r="B18" s="158" t="s">
        <v>263</v>
      </c>
      <c r="C18" s="20"/>
      <c r="D18" s="20"/>
      <c r="E18" s="20"/>
    </row>
    <row r="19" spans="1:5" x14ac:dyDescent="0.25">
      <c r="A19" s="27">
        <v>23</v>
      </c>
      <c r="B19" s="148" t="s">
        <v>293</v>
      </c>
      <c r="C19" s="20"/>
      <c r="D19" s="20"/>
      <c r="E19" s="20"/>
    </row>
    <row r="20" spans="1:5" x14ac:dyDescent="0.25">
      <c r="A20" s="28">
        <v>29</v>
      </c>
      <c r="B20" s="148" t="s">
        <v>275</v>
      </c>
      <c r="C20" s="20">
        <v>1</v>
      </c>
      <c r="D20" s="20">
        <v>1</v>
      </c>
      <c r="E20" s="20"/>
    </row>
    <row r="21" spans="1:5" x14ac:dyDescent="0.25">
      <c r="A21" s="28">
        <v>30</v>
      </c>
      <c r="B21" s="148" t="s">
        <v>344</v>
      </c>
      <c r="C21" s="20"/>
      <c r="D21" s="20"/>
      <c r="E21" s="20"/>
    </row>
    <row r="22" spans="1:5" x14ac:dyDescent="0.25">
      <c r="A22" s="28">
        <v>33</v>
      </c>
      <c r="B22" s="148" t="s">
        <v>291</v>
      </c>
      <c r="C22" s="20">
        <v>1</v>
      </c>
      <c r="D22" s="20">
        <v>1</v>
      </c>
      <c r="E22" s="20"/>
    </row>
    <row r="23" spans="1:5" x14ac:dyDescent="0.25">
      <c r="A23" s="28">
        <v>35</v>
      </c>
      <c r="B23" s="148" t="s">
        <v>303</v>
      </c>
      <c r="C23" s="20"/>
      <c r="D23" s="20"/>
      <c r="E23" s="20"/>
    </row>
    <row r="24" spans="1:5" x14ac:dyDescent="0.25">
      <c r="A24" s="28">
        <v>36</v>
      </c>
      <c r="B24" s="148" t="s">
        <v>313</v>
      </c>
      <c r="C24" s="20">
        <v>1</v>
      </c>
      <c r="D24" s="20"/>
      <c r="E24" s="20"/>
    </row>
    <row r="25" spans="1:5" x14ac:dyDescent="0.25">
      <c r="A25" s="28">
        <v>39</v>
      </c>
      <c r="B25" s="148" t="s">
        <v>345</v>
      </c>
      <c r="C25" s="20">
        <v>1</v>
      </c>
      <c r="D25" s="20"/>
      <c r="E25" s="20"/>
    </row>
    <row r="26" spans="1:5" x14ac:dyDescent="0.25">
      <c r="A26" s="27">
        <v>40</v>
      </c>
      <c r="B26" s="149" t="s">
        <v>341</v>
      </c>
      <c r="C26" s="20"/>
      <c r="D26" s="20"/>
      <c r="E26" s="20"/>
    </row>
    <row r="27" spans="1:5" x14ac:dyDescent="0.25">
      <c r="A27" s="27">
        <v>41</v>
      </c>
      <c r="B27" s="149" t="s">
        <v>277</v>
      </c>
      <c r="C27" s="20">
        <v>1</v>
      </c>
      <c r="D27" s="20"/>
      <c r="E27" s="20"/>
    </row>
    <row r="28" spans="1:5" x14ac:dyDescent="0.25">
      <c r="A28" s="56">
        <v>43</v>
      </c>
      <c r="B28" s="148" t="s">
        <v>327</v>
      </c>
      <c r="C28" s="20"/>
      <c r="D28" s="20"/>
      <c r="E28" s="20"/>
    </row>
    <row r="29" spans="1:5" x14ac:dyDescent="0.25">
      <c r="A29" s="28">
        <v>44</v>
      </c>
      <c r="B29" s="148" t="s">
        <v>338</v>
      </c>
      <c r="C29" s="20"/>
      <c r="D29" s="20"/>
      <c r="E29" s="20"/>
    </row>
    <row r="30" spans="1:5" x14ac:dyDescent="0.25">
      <c r="A30" s="28">
        <v>45</v>
      </c>
      <c r="B30" s="148" t="s">
        <v>468</v>
      </c>
      <c r="C30" s="20"/>
      <c r="D30" s="20"/>
      <c r="E30" s="20"/>
    </row>
    <row r="31" spans="1:5" x14ac:dyDescent="0.25">
      <c r="A31" s="27">
        <v>46</v>
      </c>
      <c r="B31" s="159" t="s">
        <v>298</v>
      </c>
      <c r="C31" s="20"/>
      <c r="D31" s="20"/>
      <c r="E31" s="20"/>
    </row>
    <row r="32" spans="1:5" x14ac:dyDescent="0.25">
      <c r="A32" s="27">
        <v>49</v>
      </c>
      <c r="B32" s="149" t="s">
        <v>297</v>
      </c>
      <c r="C32" s="20">
        <v>1</v>
      </c>
      <c r="D32" s="20"/>
      <c r="E32" s="20">
        <v>1</v>
      </c>
    </row>
    <row r="33" spans="1:5" x14ac:dyDescent="0.25">
      <c r="A33" s="28">
        <v>53</v>
      </c>
      <c r="B33" s="148" t="s">
        <v>292</v>
      </c>
      <c r="C33" s="20"/>
      <c r="D33" s="20"/>
      <c r="E33" s="20"/>
    </row>
    <row r="34" spans="1:5" x14ac:dyDescent="0.25">
      <c r="A34" s="28">
        <v>55</v>
      </c>
      <c r="B34" s="148" t="s">
        <v>301</v>
      </c>
      <c r="C34" s="20"/>
      <c r="D34" s="20"/>
      <c r="E34" s="20"/>
    </row>
    <row r="35" spans="1:5" x14ac:dyDescent="0.25">
      <c r="A35" s="27">
        <v>56</v>
      </c>
      <c r="B35" s="149" t="s">
        <v>322</v>
      </c>
      <c r="C35" s="20"/>
      <c r="D35" s="20"/>
      <c r="E35" s="20"/>
    </row>
    <row r="36" spans="1:5" x14ac:dyDescent="0.25">
      <c r="A36" s="28">
        <v>71</v>
      </c>
      <c r="B36" s="148" t="s">
        <v>339</v>
      </c>
      <c r="C36" s="20"/>
      <c r="D36" s="20"/>
      <c r="E36" s="20"/>
    </row>
    <row r="37" spans="1:5" x14ac:dyDescent="0.25">
      <c r="A37" s="28">
        <v>89</v>
      </c>
      <c r="B37" s="148" t="s">
        <v>333</v>
      </c>
      <c r="C37" s="20"/>
      <c r="D37" s="20"/>
      <c r="E37" s="20"/>
    </row>
  </sheetData>
  <mergeCells count="1">
    <mergeCell ref="C1:E1"/>
  </mergeCells>
  <conditionalFormatting sqref="C3:E37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topLeftCell="A82" zoomScale="80" zoomScaleNormal="80" workbookViewId="0">
      <selection activeCell="V100" sqref="V100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310" t="s">
        <v>202</v>
      </c>
      <c r="D1" s="311"/>
      <c r="E1" s="311"/>
      <c r="F1" s="311"/>
      <c r="G1" s="311"/>
      <c r="H1" s="311"/>
      <c r="I1" s="312"/>
      <c r="J1" s="114" t="s">
        <v>195</v>
      </c>
      <c r="K1" s="115" t="s">
        <v>194</v>
      </c>
      <c r="L1" s="290" t="s">
        <v>287</v>
      </c>
      <c r="M1" s="295"/>
      <c r="N1" s="295"/>
      <c r="O1" s="295"/>
      <c r="P1" s="295"/>
      <c r="Q1" s="295"/>
      <c r="R1" s="295"/>
      <c r="S1" s="295"/>
      <c r="T1" s="295"/>
      <c r="U1" s="295"/>
      <c r="V1" s="295"/>
      <c r="W1" s="295"/>
      <c r="X1" s="295"/>
      <c r="Y1" s="295"/>
      <c r="Z1" s="295"/>
      <c r="AA1" s="295"/>
      <c r="AB1" s="295"/>
      <c r="AC1" s="295"/>
      <c r="AD1" s="295"/>
      <c r="AE1" s="295"/>
      <c r="AF1" s="295"/>
      <c r="AG1" s="296"/>
      <c r="AH1" s="290" t="s">
        <v>175</v>
      </c>
      <c r="AI1" s="291"/>
      <c r="AJ1" s="291"/>
      <c r="AK1" s="292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1.8571428571428572</v>
      </c>
      <c r="B5" s="110">
        <v>3</v>
      </c>
      <c r="C5" s="123">
        <v>3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2.1714285714285713</v>
      </c>
      <c r="B6" s="110">
        <v>4</v>
      </c>
      <c r="C6" s="123">
        <v>3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2.0571428571428569</v>
      </c>
      <c r="B7" s="110">
        <v>5</v>
      </c>
      <c r="C7" s="123">
        <v>0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297" t="s">
        <v>434</v>
      </c>
      <c r="L80" s="298"/>
      <c r="M80" s="299"/>
      <c r="O80" s="133"/>
      <c r="P80" s="133"/>
      <c r="W80" s="293"/>
      <c r="X80" s="293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300"/>
      <c r="L81" s="301"/>
      <c r="M81" s="302"/>
      <c r="O81" s="133"/>
      <c r="P81" s="133"/>
      <c r="W81" s="293" t="s">
        <v>209</v>
      </c>
      <c r="X81" s="293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03" t="s">
        <v>435</v>
      </c>
      <c r="L82" s="304"/>
      <c r="M82" s="305"/>
      <c r="O82" s="133"/>
      <c r="P82" s="133"/>
      <c r="W82" s="293" t="s">
        <v>210</v>
      </c>
      <c r="X82" s="293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06" t="s">
        <v>436</v>
      </c>
      <c r="L83" s="307"/>
      <c r="M83" s="308"/>
      <c r="O83" s="133"/>
      <c r="P83" s="133"/>
      <c r="W83" s="294" t="s">
        <v>97</v>
      </c>
      <c r="X83" s="294"/>
      <c r="Y83" s="194">
        <v>224</v>
      </c>
      <c r="Z83" s="194">
        <v>60</v>
      </c>
      <c r="AA83" s="70">
        <v>76</v>
      </c>
      <c r="AC83" s="109">
        <f>Y83/SUM($Y$83:$AA$83)</f>
        <v>0.62222222222222223</v>
      </c>
      <c r="AD83" s="195">
        <f t="shared" ref="AD83:AE83" si="5">Z83/SUM($Y$83:$AA$83)</f>
        <v>0.16666666666666666</v>
      </c>
      <c r="AE83" s="195">
        <f t="shared" si="5"/>
        <v>0.21111111111111111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316" t="s">
        <v>284</v>
      </c>
      <c r="L84" s="317"/>
      <c r="M84" s="318"/>
      <c r="O84" s="141"/>
      <c r="P84" s="141"/>
      <c r="W84" s="309"/>
      <c r="X84" s="309"/>
      <c r="Y84" s="196"/>
      <c r="Z84" s="196"/>
      <c r="AA84" s="196"/>
      <c r="AC84" s="197"/>
      <c r="AD84" s="197"/>
      <c r="AE84" s="197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319"/>
      <c r="L85" s="320"/>
      <c r="M85" s="321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319"/>
      <c r="L86" s="320"/>
      <c r="M86" s="321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319"/>
      <c r="L87" s="320"/>
      <c r="M87" s="321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319"/>
      <c r="L88" s="320"/>
      <c r="M88" s="321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319"/>
      <c r="L89" s="320"/>
      <c r="M89" s="321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319"/>
      <c r="L90" s="320"/>
      <c r="M90" s="321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319"/>
      <c r="L91" s="320"/>
      <c r="M91" s="321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319"/>
      <c r="L92" s="320"/>
      <c r="M92" s="321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319"/>
      <c r="L93" s="320"/>
      <c r="M93" s="321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319"/>
      <c r="L94" s="320"/>
      <c r="M94" s="321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319"/>
      <c r="L95" s="320"/>
      <c r="M95" s="321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319"/>
      <c r="L96" s="320"/>
      <c r="M96" s="321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319"/>
      <c r="L97" s="320"/>
      <c r="M97" s="321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319"/>
      <c r="L98" s="320"/>
      <c r="M98" s="321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319"/>
      <c r="L99" s="320"/>
      <c r="M99" s="321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319"/>
      <c r="L100" s="320"/>
      <c r="M100" s="321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319"/>
      <c r="L101" s="320"/>
      <c r="M101" s="321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319"/>
      <c r="L102" s="320"/>
      <c r="M102" s="321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319"/>
      <c r="L103" s="320"/>
      <c r="M103" s="321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319"/>
      <c r="L104" s="320"/>
      <c r="M104" s="321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22"/>
      <c r="L105" s="323"/>
      <c r="M105" s="324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313" t="s">
        <v>286</v>
      </c>
      <c r="L106" s="314"/>
      <c r="M106" s="315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313" t="s">
        <v>288</v>
      </c>
      <c r="L107" s="314"/>
      <c r="M107" s="315"/>
      <c r="O107" s="126"/>
      <c r="P107" s="126"/>
    </row>
    <row r="108" spans="1:16" ht="15.75" customHeight="1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281" t="s">
        <v>289</v>
      </c>
      <c r="L108" s="282"/>
      <c r="M108" s="283"/>
      <c r="O108" s="126"/>
      <c r="P108" s="126"/>
    </row>
    <row r="109" spans="1:16" ht="15.75" customHeight="1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284"/>
      <c r="L109" s="285"/>
      <c r="M109" s="286"/>
      <c r="O109" s="126"/>
      <c r="P109" s="126"/>
    </row>
    <row r="110" spans="1:16" ht="15.75" customHeight="1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284"/>
      <c r="L110" s="285"/>
      <c r="M110" s="286"/>
      <c r="O110" s="126"/>
      <c r="P110" s="126"/>
    </row>
    <row r="111" spans="1:16" ht="15.75" customHeight="1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284"/>
      <c r="L111" s="285"/>
      <c r="M111" s="286"/>
      <c r="O111" s="126"/>
      <c r="P111" s="126"/>
    </row>
    <row r="112" spans="1:16" ht="15.75" customHeight="1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284"/>
      <c r="L112" s="285"/>
      <c r="M112" s="286"/>
    </row>
    <row r="113" spans="1:13" ht="16.5" customHeight="1" x14ac:dyDescent="0.25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284"/>
      <c r="L113" s="285"/>
      <c r="M113" s="286"/>
    </row>
    <row r="114" spans="1:13" ht="16.5" thickBot="1" x14ac:dyDescent="0.3">
      <c r="A114" s="93" t="s">
        <v>437</v>
      </c>
      <c r="B114" s="122"/>
      <c r="C114" s="122"/>
      <c r="D114" s="122">
        <f>SUM(E114*3+F114)</f>
        <v>12</v>
      </c>
      <c r="E114" s="122">
        <f>COUNTIF(C3:C41,3)</f>
        <v>4</v>
      </c>
      <c r="F114" s="122">
        <f>COUNTIF(C3:C41,1)</f>
        <v>0</v>
      </c>
      <c r="G114" s="122">
        <f>COUNTIF(C3:C41,0)</f>
        <v>1</v>
      </c>
      <c r="H114" s="122">
        <f>Match!R4</f>
        <v>10</v>
      </c>
      <c r="I114" s="122">
        <f>Match!S4</f>
        <v>5</v>
      </c>
      <c r="J114" s="154">
        <f t="shared" si="6"/>
        <v>5</v>
      </c>
      <c r="K114" s="287"/>
      <c r="L114" s="288"/>
      <c r="M114" s="289"/>
    </row>
  </sheetData>
  <autoFilter ref="A79:J112" xr:uid="{9C81160F-C24B-449F-8F5A-CB622AB71070}"/>
  <mergeCells count="15">
    <mergeCell ref="C1:I1"/>
    <mergeCell ref="K106:M106"/>
    <mergeCell ref="K107:M107"/>
    <mergeCell ref="K84:M105"/>
    <mergeCell ref="K108:M114"/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  <mergeCell ref="W84:X84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tabSelected="1" workbookViewId="0">
      <selection activeCell="D5" sqref="D5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7.85546875" bestFit="1" customWidth="1"/>
    <col min="4" max="4" width="22.140625" bestFit="1" customWidth="1"/>
    <col min="5" max="5" width="19.85546875" bestFit="1" customWidth="1"/>
    <col min="6" max="6" width="10.140625" bestFit="1" customWidth="1"/>
    <col min="7" max="7" width="7.42578125" bestFit="1" customWidth="1"/>
    <col min="8" max="8" width="19.85546875" bestFit="1" customWidth="1"/>
    <col min="9" max="9" width="15.42578125" bestFit="1" customWidth="1"/>
    <col min="10" max="10" width="18.7109375" bestFit="1" customWidth="1"/>
    <col min="12" max="12" width="4.140625" bestFit="1" customWidth="1"/>
    <col min="13" max="13" width="22.140625" bestFit="1" customWidth="1"/>
    <col min="14" max="14" width="3.85546875" bestFit="1" customWidth="1"/>
    <col min="15" max="15" width="2.85546875" bestFit="1" customWidth="1"/>
    <col min="16" max="16" width="2.28515625" bestFit="1" customWidth="1"/>
    <col min="17" max="17" width="2" bestFit="1" customWidth="1"/>
    <col min="18" max="18" width="3.28515625" bestFit="1" customWidth="1"/>
    <col min="19" max="20" width="3.5703125" bestFit="1" customWidth="1"/>
    <col min="21" max="21" width="3.7109375" bestFit="1" customWidth="1"/>
  </cols>
  <sheetData>
    <row r="1" spans="1:21" x14ac:dyDescent="0.25">
      <c r="A1" s="325" t="s">
        <v>405</v>
      </c>
      <c r="B1" s="325"/>
      <c r="C1" s="325"/>
      <c r="D1" s="325"/>
      <c r="E1" s="325"/>
      <c r="F1" s="325" t="s">
        <v>406</v>
      </c>
      <c r="G1" s="325"/>
      <c r="H1" s="325"/>
      <c r="I1" s="325"/>
      <c r="J1" s="325"/>
    </row>
    <row r="2" spans="1:21" x14ac:dyDescent="0.25">
      <c r="A2" s="325"/>
      <c r="B2" s="325"/>
      <c r="C2" s="325"/>
      <c r="D2" s="325"/>
      <c r="E2" s="325"/>
      <c r="F2" s="325"/>
      <c r="G2" s="325"/>
      <c r="H2" s="325"/>
      <c r="I2" s="325"/>
      <c r="J2" s="325"/>
      <c r="L2" t="s">
        <v>409</v>
      </c>
      <c r="M2" t="s">
        <v>410</v>
      </c>
      <c r="N2" t="s">
        <v>411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412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407</v>
      </c>
      <c r="H3" t="s">
        <v>401</v>
      </c>
      <c r="I3" t="s">
        <v>402</v>
      </c>
      <c r="J3" t="s">
        <v>403</v>
      </c>
      <c r="L3">
        <v>1</v>
      </c>
      <c r="M3" t="s">
        <v>408</v>
      </c>
      <c r="N3" s="193">
        <v>6</v>
      </c>
      <c r="O3" s="193">
        <v>6</v>
      </c>
      <c r="P3" s="193">
        <v>0</v>
      </c>
      <c r="Q3" s="193">
        <v>0</v>
      </c>
      <c r="R3" s="193">
        <v>16</v>
      </c>
      <c r="S3" s="193">
        <v>5</v>
      </c>
      <c r="T3" s="193">
        <v>11</v>
      </c>
      <c r="U3" s="193">
        <v>18</v>
      </c>
    </row>
    <row r="4" spans="1:21" x14ac:dyDescent="0.25">
      <c r="A4" t="s">
        <v>481</v>
      </c>
      <c r="B4" s="192">
        <v>0.875</v>
      </c>
      <c r="C4" t="s">
        <v>6</v>
      </c>
      <c r="D4" t="s">
        <v>488</v>
      </c>
      <c r="E4" t="s">
        <v>471</v>
      </c>
      <c r="F4" t="s">
        <v>470</v>
      </c>
      <c r="G4" s="202" t="s">
        <v>480</v>
      </c>
      <c r="H4" t="s">
        <v>4</v>
      </c>
      <c r="I4" t="s">
        <v>424</v>
      </c>
      <c r="J4" t="s">
        <v>471</v>
      </c>
      <c r="L4">
        <v>2</v>
      </c>
      <c r="M4" t="s">
        <v>413</v>
      </c>
      <c r="N4" s="193">
        <v>6</v>
      </c>
      <c r="O4" s="193">
        <v>5</v>
      </c>
      <c r="P4" s="193">
        <v>0</v>
      </c>
      <c r="Q4" s="193">
        <v>1</v>
      </c>
      <c r="R4" s="193">
        <v>10</v>
      </c>
      <c r="S4" s="193">
        <v>5</v>
      </c>
      <c r="T4" s="193">
        <v>5</v>
      </c>
      <c r="U4" s="193">
        <v>15</v>
      </c>
    </row>
    <row r="5" spans="1:21" x14ac:dyDescent="0.25">
      <c r="L5">
        <v>3</v>
      </c>
      <c r="M5" t="s">
        <v>417</v>
      </c>
      <c r="N5" s="193">
        <v>6</v>
      </c>
      <c r="O5" s="193">
        <v>4</v>
      </c>
      <c r="P5" s="193">
        <v>1</v>
      </c>
      <c r="Q5" s="193">
        <v>1</v>
      </c>
      <c r="R5" s="193">
        <v>18</v>
      </c>
      <c r="S5" s="193">
        <v>5</v>
      </c>
      <c r="T5" s="193">
        <v>13</v>
      </c>
      <c r="U5" s="193">
        <v>13</v>
      </c>
    </row>
    <row r="6" spans="1:21" x14ac:dyDescent="0.25">
      <c r="L6">
        <v>4</v>
      </c>
      <c r="M6" t="s">
        <v>416</v>
      </c>
      <c r="N6" s="193">
        <v>6</v>
      </c>
      <c r="O6" s="193">
        <v>2</v>
      </c>
      <c r="P6" s="193">
        <v>4</v>
      </c>
      <c r="Q6" s="193">
        <v>0</v>
      </c>
      <c r="R6" s="193">
        <v>12</v>
      </c>
      <c r="S6" s="193">
        <v>6</v>
      </c>
      <c r="T6" s="193">
        <v>6</v>
      </c>
      <c r="U6" s="193">
        <v>10</v>
      </c>
    </row>
    <row r="7" spans="1:21" x14ac:dyDescent="0.25">
      <c r="L7">
        <v>5</v>
      </c>
      <c r="M7" t="s">
        <v>420</v>
      </c>
      <c r="N7" s="193">
        <v>6</v>
      </c>
      <c r="O7" s="193">
        <v>2</v>
      </c>
      <c r="P7" s="193">
        <v>4</v>
      </c>
      <c r="Q7" s="193">
        <v>0</v>
      </c>
      <c r="R7" s="193">
        <v>8</v>
      </c>
      <c r="S7" s="193">
        <v>5</v>
      </c>
      <c r="T7" s="193">
        <v>3</v>
      </c>
      <c r="U7" s="193">
        <v>10</v>
      </c>
    </row>
    <row r="8" spans="1:21" x14ac:dyDescent="0.25">
      <c r="L8">
        <v>6</v>
      </c>
      <c r="M8" t="s">
        <v>418</v>
      </c>
      <c r="N8" s="193">
        <v>6</v>
      </c>
      <c r="O8" s="193">
        <v>3</v>
      </c>
      <c r="P8" s="193">
        <v>1</v>
      </c>
      <c r="Q8" s="193">
        <v>2</v>
      </c>
      <c r="R8" s="193">
        <v>15</v>
      </c>
      <c r="S8" s="193">
        <v>13</v>
      </c>
      <c r="T8" s="193">
        <v>2</v>
      </c>
      <c r="U8" s="193">
        <v>10</v>
      </c>
    </row>
    <row r="9" spans="1:21" x14ac:dyDescent="0.25">
      <c r="L9">
        <v>7</v>
      </c>
      <c r="M9" t="s">
        <v>424</v>
      </c>
      <c r="N9" s="193">
        <v>6</v>
      </c>
      <c r="O9" s="193">
        <v>2</v>
      </c>
      <c r="P9" s="193">
        <v>3</v>
      </c>
      <c r="Q9" s="193">
        <v>1</v>
      </c>
      <c r="R9" s="193">
        <v>8</v>
      </c>
      <c r="S9" s="193">
        <v>5</v>
      </c>
      <c r="T9" s="193">
        <v>3</v>
      </c>
      <c r="U9" s="193">
        <v>9</v>
      </c>
    </row>
    <row r="10" spans="1:21" x14ac:dyDescent="0.25">
      <c r="L10">
        <v>8</v>
      </c>
      <c r="M10" t="s">
        <v>422</v>
      </c>
      <c r="N10" s="193">
        <v>6</v>
      </c>
      <c r="O10" s="193">
        <v>2</v>
      </c>
      <c r="P10" s="193">
        <v>3</v>
      </c>
      <c r="Q10" s="193">
        <v>1</v>
      </c>
      <c r="R10" s="193">
        <v>8</v>
      </c>
      <c r="S10" s="193">
        <v>6</v>
      </c>
      <c r="T10" s="193">
        <v>2</v>
      </c>
      <c r="U10" s="193">
        <v>9</v>
      </c>
    </row>
    <row r="11" spans="1:21" x14ac:dyDescent="0.25">
      <c r="L11">
        <v>9</v>
      </c>
      <c r="M11" t="s">
        <v>425</v>
      </c>
      <c r="N11" s="193">
        <v>6</v>
      </c>
      <c r="O11" s="193">
        <v>2</v>
      </c>
      <c r="P11" s="193">
        <v>3</v>
      </c>
      <c r="Q11" s="193">
        <v>1</v>
      </c>
      <c r="R11" s="193">
        <v>7</v>
      </c>
      <c r="S11" s="193">
        <v>7</v>
      </c>
      <c r="T11" s="193">
        <v>0</v>
      </c>
      <c r="U11" s="193">
        <v>9</v>
      </c>
    </row>
    <row r="12" spans="1:21" x14ac:dyDescent="0.25">
      <c r="L12">
        <v>10</v>
      </c>
      <c r="M12" t="s">
        <v>423</v>
      </c>
      <c r="N12" s="193">
        <v>6</v>
      </c>
      <c r="O12" s="193">
        <v>3</v>
      </c>
      <c r="P12" s="193">
        <v>0</v>
      </c>
      <c r="Q12" s="193">
        <v>3</v>
      </c>
      <c r="R12" s="193">
        <v>9</v>
      </c>
      <c r="S12" s="193">
        <v>12</v>
      </c>
      <c r="T12" s="193" t="s">
        <v>457</v>
      </c>
      <c r="U12" s="193">
        <v>9</v>
      </c>
    </row>
    <row r="13" spans="1:21" x14ac:dyDescent="0.25">
      <c r="L13">
        <v>11</v>
      </c>
      <c r="M13" t="s">
        <v>427</v>
      </c>
      <c r="N13" s="193">
        <v>5</v>
      </c>
      <c r="O13" s="193">
        <v>2</v>
      </c>
      <c r="P13" s="193">
        <v>2</v>
      </c>
      <c r="Q13" s="193">
        <v>1</v>
      </c>
      <c r="R13" s="193">
        <v>9</v>
      </c>
      <c r="S13" s="193">
        <v>9</v>
      </c>
      <c r="T13" s="193">
        <v>0</v>
      </c>
      <c r="U13" s="193">
        <v>8</v>
      </c>
    </row>
    <row r="14" spans="1:21" x14ac:dyDescent="0.25">
      <c r="L14">
        <v>12</v>
      </c>
      <c r="M14" t="s">
        <v>419</v>
      </c>
      <c r="N14" s="193">
        <v>6</v>
      </c>
      <c r="O14" s="193">
        <v>2</v>
      </c>
      <c r="P14" s="193">
        <v>1</v>
      </c>
      <c r="Q14" s="193">
        <v>3</v>
      </c>
      <c r="R14" s="193">
        <v>9</v>
      </c>
      <c r="S14" s="193">
        <v>12</v>
      </c>
      <c r="T14" s="193" t="s">
        <v>457</v>
      </c>
      <c r="U14" s="193">
        <v>7</v>
      </c>
    </row>
    <row r="15" spans="1:21" x14ac:dyDescent="0.25">
      <c r="L15">
        <v>13</v>
      </c>
      <c r="M15" t="s">
        <v>426</v>
      </c>
      <c r="N15" s="193">
        <v>6</v>
      </c>
      <c r="O15" s="193">
        <v>1</v>
      </c>
      <c r="P15" s="193">
        <v>3</v>
      </c>
      <c r="Q15" s="193">
        <v>2</v>
      </c>
      <c r="R15" s="193">
        <v>9</v>
      </c>
      <c r="S15" s="193">
        <v>9</v>
      </c>
      <c r="T15" s="193">
        <v>0</v>
      </c>
      <c r="U15" s="193">
        <v>6</v>
      </c>
    </row>
    <row r="16" spans="1:21" x14ac:dyDescent="0.25">
      <c r="L16">
        <v>14</v>
      </c>
      <c r="M16" t="s">
        <v>428</v>
      </c>
      <c r="N16" s="193">
        <v>6</v>
      </c>
      <c r="O16" s="193">
        <v>1</v>
      </c>
      <c r="P16" s="193">
        <v>2</v>
      </c>
      <c r="Q16" s="193">
        <v>3</v>
      </c>
      <c r="R16" s="193">
        <v>5</v>
      </c>
      <c r="S16" s="193">
        <v>8</v>
      </c>
      <c r="T16" s="193" t="s">
        <v>457</v>
      </c>
      <c r="U16" s="193">
        <v>5</v>
      </c>
    </row>
    <row r="17" spans="12:21" x14ac:dyDescent="0.25">
      <c r="L17">
        <v>15</v>
      </c>
      <c r="M17" t="s">
        <v>414</v>
      </c>
      <c r="N17" s="193">
        <v>6</v>
      </c>
      <c r="O17" s="193">
        <v>1</v>
      </c>
      <c r="P17" s="193">
        <v>2</v>
      </c>
      <c r="Q17" s="193">
        <v>3</v>
      </c>
      <c r="R17" s="193">
        <v>6</v>
      </c>
      <c r="S17" s="193">
        <v>11</v>
      </c>
      <c r="T17" s="193" t="s">
        <v>433</v>
      </c>
      <c r="U17" s="193">
        <v>5</v>
      </c>
    </row>
    <row r="18" spans="12:21" x14ac:dyDescent="0.25">
      <c r="L18">
        <v>16</v>
      </c>
      <c r="M18" t="s">
        <v>429</v>
      </c>
      <c r="N18" s="193">
        <v>6</v>
      </c>
      <c r="O18" s="193">
        <v>1</v>
      </c>
      <c r="P18" s="193">
        <v>1</v>
      </c>
      <c r="Q18" s="193">
        <v>4</v>
      </c>
      <c r="R18" s="193">
        <v>6</v>
      </c>
      <c r="S18" s="193">
        <v>12</v>
      </c>
      <c r="T18" s="193" t="s">
        <v>460</v>
      </c>
      <c r="U18" s="193">
        <v>4</v>
      </c>
    </row>
    <row r="19" spans="12:21" x14ac:dyDescent="0.25">
      <c r="L19">
        <v>17</v>
      </c>
      <c r="M19" t="s">
        <v>415</v>
      </c>
      <c r="N19" s="193">
        <v>6</v>
      </c>
      <c r="O19" s="193">
        <v>0</v>
      </c>
      <c r="P19" s="193">
        <v>3</v>
      </c>
      <c r="Q19" s="193">
        <v>3</v>
      </c>
      <c r="R19" s="193">
        <v>7</v>
      </c>
      <c r="S19" s="193">
        <v>13</v>
      </c>
      <c r="T19" s="193" t="s">
        <v>460</v>
      </c>
      <c r="U19" s="193">
        <v>3</v>
      </c>
    </row>
    <row r="20" spans="12:21" x14ac:dyDescent="0.25">
      <c r="L20">
        <v>18</v>
      </c>
      <c r="M20" t="s">
        <v>430</v>
      </c>
      <c r="N20" s="193">
        <v>6</v>
      </c>
      <c r="O20" s="193">
        <v>0</v>
      </c>
      <c r="P20" s="193">
        <v>3</v>
      </c>
      <c r="Q20" s="193">
        <v>3</v>
      </c>
      <c r="R20" s="193">
        <v>3</v>
      </c>
      <c r="S20" s="193">
        <v>9</v>
      </c>
      <c r="T20" s="193" t="s">
        <v>460</v>
      </c>
      <c r="U20" s="193">
        <v>3</v>
      </c>
    </row>
    <row r="21" spans="12:21" x14ac:dyDescent="0.25">
      <c r="L21">
        <v>19</v>
      </c>
      <c r="M21" t="s">
        <v>404</v>
      </c>
      <c r="N21" s="193">
        <v>5</v>
      </c>
      <c r="O21" s="193">
        <v>1</v>
      </c>
      <c r="P21" s="193">
        <v>0</v>
      </c>
      <c r="Q21" s="193">
        <v>4</v>
      </c>
      <c r="R21" s="193">
        <v>1</v>
      </c>
      <c r="S21" s="193">
        <v>10</v>
      </c>
      <c r="T21" s="193" t="s">
        <v>473</v>
      </c>
      <c r="U21" s="193">
        <v>3</v>
      </c>
    </row>
    <row r="22" spans="12:21" x14ac:dyDescent="0.25">
      <c r="L22">
        <v>20</v>
      </c>
      <c r="M22" t="s">
        <v>421</v>
      </c>
      <c r="N22" s="193">
        <v>6</v>
      </c>
      <c r="O22" s="193">
        <v>0</v>
      </c>
      <c r="P22" s="193">
        <v>2</v>
      </c>
      <c r="Q22" s="193">
        <v>4</v>
      </c>
      <c r="R22" s="193">
        <v>6</v>
      </c>
      <c r="S22" s="193">
        <v>10</v>
      </c>
      <c r="T22" s="193" t="s">
        <v>472</v>
      </c>
      <c r="U22" s="193">
        <v>2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F815-59E5-49DB-A710-CC57B82C1BDD}">
  <dimension ref="A1:E17"/>
  <sheetViews>
    <sheetView workbookViewId="0">
      <selection activeCell="H13" sqref="H13"/>
    </sheetView>
  </sheetViews>
  <sheetFormatPr defaultRowHeight="15" x14ac:dyDescent="0.25"/>
  <cols>
    <col min="2" max="2" width="12" bestFit="1" customWidth="1"/>
  </cols>
  <sheetData>
    <row r="1" spans="1:5" x14ac:dyDescent="0.25">
      <c r="A1" t="s">
        <v>409</v>
      </c>
      <c r="B1" t="s">
        <v>1</v>
      </c>
      <c r="C1" t="s">
        <v>443</v>
      </c>
      <c r="D1" t="s">
        <v>444</v>
      </c>
      <c r="E1" t="s">
        <v>456</v>
      </c>
    </row>
    <row r="2" spans="1:5" x14ac:dyDescent="0.25">
      <c r="A2" t="s">
        <v>350</v>
      </c>
      <c r="B2" t="s">
        <v>474</v>
      </c>
      <c r="C2" s="199"/>
      <c r="D2">
        <v>90</v>
      </c>
    </row>
    <row r="3" spans="1:5" x14ac:dyDescent="0.25">
      <c r="A3" t="s">
        <v>440</v>
      </c>
      <c r="B3" t="s">
        <v>476</v>
      </c>
      <c r="C3" s="199"/>
      <c r="D3" t="s">
        <v>453</v>
      </c>
      <c r="E3" t="s">
        <v>482</v>
      </c>
    </row>
    <row r="4" spans="1:5" x14ac:dyDescent="0.25">
      <c r="A4" t="s">
        <v>441</v>
      </c>
      <c r="B4" t="s">
        <v>450</v>
      </c>
      <c r="C4" s="199"/>
      <c r="D4">
        <v>90</v>
      </c>
    </row>
    <row r="5" spans="1:5" x14ac:dyDescent="0.25">
      <c r="A5" t="s">
        <v>441</v>
      </c>
      <c r="B5" t="s">
        <v>455</v>
      </c>
      <c r="C5" s="199"/>
      <c r="D5">
        <v>90</v>
      </c>
    </row>
    <row r="6" spans="1:5" x14ac:dyDescent="0.25">
      <c r="A6" t="s">
        <v>442</v>
      </c>
      <c r="B6" t="s">
        <v>483</v>
      </c>
      <c r="C6" s="199"/>
      <c r="D6" t="s">
        <v>453</v>
      </c>
      <c r="E6" t="s">
        <v>484</v>
      </c>
    </row>
    <row r="7" spans="1:5" x14ac:dyDescent="0.25">
      <c r="A7" t="s">
        <v>445</v>
      </c>
      <c r="B7" t="s">
        <v>477</v>
      </c>
      <c r="C7" s="199"/>
      <c r="D7">
        <v>90</v>
      </c>
      <c r="E7" t="s">
        <v>484</v>
      </c>
    </row>
    <row r="8" spans="1:5" x14ac:dyDescent="0.25">
      <c r="A8" t="s">
        <v>445</v>
      </c>
      <c r="B8" t="s">
        <v>485</v>
      </c>
      <c r="C8" s="199"/>
      <c r="D8" t="s">
        <v>453</v>
      </c>
    </row>
    <row r="9" spans="1:5" x14ac:dyDescent="0.25">
      <c r="A9" t="s">
        <v>446</v>
      </c>
      <c r="B9" t="s">
        <v>451</v>
      </c>
      <c r="C9" s="199"/>
      <c r="D9" t="s">
        <v>453</v>
      </c>
    </row>
    <row r="10" spans="1:5" x14ac:dyDescent="0.25">
      <c r="A10" t="s">
        <v>447</v>
      </c>
      <c r="B10" t="s">
        <v>486</v>
      </c>
      <c r="C10" s="199"/>
      <c r="D10">
        <v>90</v>
      </c>
    </row>
    <row r="11" spans="1:5" x14ac:dyDescent="0.25">
      <c r="A11" t="s">
        <v>448</v>
      </c>
      <c r="B11" t="s">
        <v>478</v>
      </c>
      <c r="C11" s="199"/>
      <c r="D11">
        <v>90</v>
      </c>
    </row>
    <row r="12" spans="1:5" x14ac:dyDescent="0.25">
      <c r="A12" t="s">
        <v>449</v>
      </c>
      <c r="B12" t="s">
        <v>479</v>
      </c>
      <c r="C12" s="199"/>
      <c r="D12" t="s">
        <v>453</v>
      </c>
    </row>
    <row r="13" spans="1:5" x14ac:dyDescent="0.25">
      <c r="A13" t="s">
        <v>442</v>
      </c>
      <c r="B13" t="s">
        <v>475</v>
      </c>
      <c r="C13" s="199"/>
      <c r="D13" t="s">
        <v>452</v>
      </c>
    </row>
    <row r="14" spans="1:5" x14ac:dyDescent="0.25">
      <c r="A14" t="s">
        <v>445</v>
      </c>
      <c r="B14" t="s">
        <v>459</v>
      </c>
      <c r="C14" s="199"/>
      <c r="D14" t="s">
        <v>452</v>
      </c>
      <c r="E14" t="s">
        <v>482</v>
      </c>
    </row>
    <row r="15" spans="1:5" x14ac:dyDescent="0.25">
      <c r="A15" t="s">
        <v>449</v>
      </c>
      <c r="B15" t="s">
        <v>469</v>
      </c>
      <c r="C15" s="199"/>
      <c r="D15" t="s">
        <v>452</v>
      </c>
    </row>
    <row r="16" spans="1:5" x14ac:dyDescent="0.25">
      <c r="A16" t="s">
        <v>446</v>
      </c>
      <c r="B16" t="s">
        <v>454</v>
      </c>
      <c r="C16" s="199"/>
      <c r="D16" t="s">
        <v>452</v>
      </c>
    </row>
    <row r="17" spans="1:4" x14ac:dyDescent="0.25">
      <c r="A17" t="s">
        <v>440</v>
      </c>
      <c r="B17" t="s">
        <v>487</v>
      </c>
      <c r="C17" s="199"/>
      <c r="D17" t="s">
        <v>452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3" t="s">
        <v>46</v>
      </c>
      <c r="B1" s="326"/>
      <c r="C1" s="327" t="s">
        <v>44</v>
      </c>
      <c r="D1" s="206"/>
      <c r="E1" s="328"/>
      <c r="H1" s="203" t="s">
        <v>47</v>
      </c>
      <c r="I1" s="326"/>
      <c r="J1" s="327" t="s">
        <v>44</v>
      </c>
      <c r="K1" s="206"/>
      <c r="L1" s="328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84</v>
      </c>
      <c r="K30" s="9">
        <f>'Apps &amp; Goals'!T10</f>
        <v>320</v>
      </c>
      <c r="L30" s="14">
        <f>J30/K30</f>
        <v>0.26250000000000001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Ratings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2026-10-12T10:15:20Z</dcterms:modified>
</cp:coreProperties>
</file>