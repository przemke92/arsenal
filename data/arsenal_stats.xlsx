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ungeltd-my.sharepoint.com/personal/przemyslaw_iskra_bunge_com/Documents/Desktop/"/>
    </mc:Choice>
  </mc:AlternateContent>
  <xr:revisionPtr revIDLastSave="8679" documentId="13_ncr:1_{662DAA9A-C5C7-8346-85AE-B86E329139C8}" xr6:coauthVersionLast="47" xr6:coauthVersionMax="47" xr10:uidLastSave="{D61A02A5-AEDC-4FD6-A8F7-53E285334E56}"/>
  <bookViews>
    <workbookView xWindow="-120" yWindow="-120" windowWidth="29040" windowHeight="15720" tabRatio="799" firstSheet="1" activeTab="23" xr2:uid="{00000000-000D-0000-FFFF-FFFF00000000}"/>
  </bookViews>
  <sheets>
    <sheet name="Sheet1" sheetId="19" state="hidden" r:id="rId1"/>
    <sheet name="#" sheetId="10" r:id="rId2"/>
    <sheet name="Apps &amp; Goals" sheetId="1" r:id="rId3"/>
    <sheet name="Apps &amp; Goals 16-17" sheetId="16" state="hidden" r:id="rId4"/>
    <sheet name="Apps &amp; Goals 17-18" sheetId="17" state="hidden" r:id="rId5"/>
    <sheet name="Apps &amp; Goals 18-19" sheetId="20" state="hidden" r:id="rId6"/>
    <sheet name="Apps &amp; Goals 19-20" sheetId="22" state="hidden" r:id="rId7"/>
    <sheet name="Apps &amp; Goals 20-21" sheetId="23" state="hidden" r:id="rId8"/>
    <sheet name="Apps &amp; Goals 21-22" sheetId="25" state="hidden" r:id="rId9"/>
    <sheet name="Apps &amp; Goals 22-23" sheetId="26" state="hidden" r:id="rId10"/>
    <sheet name="Apps &amp; Goals 23-24" sheetId="24" state="hidden" r:id="rId11"/>
    <sheet name="Apps &amp; Goals 24-25" sheetId="27" state="hidden" r:id="rId12"/>
    <sheet name="Apps &amp; Goals 25-26" sheetId="29" state="hidden" r:id="rId13"/>
    <sheet name="Apps &amp; Goals 26-27" sheetId="30" r:id="rId14"/>
    <sheet name="Graph" sheetId="3" r:id="rId15"/>
    <sheet name="Ex-Players" sheetId="2" r:id="rId16"/>
    <sheet name="Premier League" sheetId="5" r:id="rId17"/>
    <sheet name="Europe" sheetId="9" r:id="rId18"/>
    <sheet name="FA Cup" sheetId="8" r:id="rId19"/>
    <sheet name="League Cup" sheetId="7" r:id="rId20"/>
    <sheet name="Other (CS)" sheetId="11" r:id="rId21"/>
    <sheet name="Season Breakdown" sheetId="21" r:id="rId22"/>
    <sheet name="Match" sheetId="31" r:id="rId23"/>
    <sheet name="Ratings" sheetId="32" r:id="rId24"/>
    <sheet name="All-time records" sheetId="4" r:id="rId25"/>
  </sheets>
  <definedNames>
    <definedName name="_xlnm._FilterDatabase" localSheetId="1" hidden="1">'#'!$A$5:$BG$5</definedName>
    <definedName name="_xlnm._FilterDatabase" localSheetId="24" hidden="1">'All-time records'!$H$2:$L$2</definedName>
    <definedName name="_xlnm._FilterDatabase" localSheetId="2" hidden="1">'Apps &amp; Goals'!$A$3:$U$38</definedName>
    <definedName name="_xlnm._FilterDatabase" localSheetId="3" hidden="1">'Apps &amp; Goals 16-17'!$A$3:$O$43</definedName>
    <definedName name="_xlnm._FilterDatabase" localSheetId="4" hidden="1">'Apps &amp; Goals 17-18'!$A$3:$O$38</definedName>
    <definedName name="_xlnm._FilterDatabase" localSheetId="5" hidden="1">'Apps &amp; Goals 18-19'!$A$3:$O$32</definedName>
    <definedName name="_xlnm._FilterDatabase" localSheetId="6" hidden="1">'Apps &amp; Goals 19-20'!$A$3:$O$33</definedName>
    <definedName name="_xlnm._FilterDatabase" localSheetId="7" hidden="1">'Apps &amp; Goals 20-21'!$A$3:$N$35</definedName>
    <definedName name="_xlnm._FilterDatabase" localSheetId="8" hidden="1">'Apps &amp; Goals 21-22'!$A$3:$N$29</definedName>
    <definedName name="_xlnm._FilterDatabase" localSheetId="9" hidden="1">'Apps &amp; Goals 22-23'!$A$3:$N$31</definedName>
    <definedName name="_xlnm._FilterDatabase" localSheetId="10" hidden="1">'Apps &amp; Goals 23-24'!$A$3:$N$27</definedName>
    <definedName name="_xlnm._FilterDatabase" localSheetId="11" hidden="1">'Apps &amp; Goals 24-25'!$A$3:$N$24</definedName>
    <definedName name="_xlnm._FilterDatabase" localSheetId="12" hidden="1">'Apps &amp; Goals 25-26'!$A$3:$N$22</definedName>
    <definedName name="_xlnm._FilterDatabase" localSheetId="13" hidden="1">'Apps &amp; Goals 26-27'!$A$3:$S$18</definedName>
    <definedName name="_xlnm._FilterDatabase" localSheetId="17" hidden="1">Europe!#REF!</definedName>
    <definedName name="_xlnm._FilterDatabase" localSheetId="15" hidden="1">'Ex-Players'!$A$2:$U$104</definedName>
    <definedName name="_xlnm._FilterDatabase" localSheetId="18" hidden="1">'FA Cup'!#REF!</definedName>
    <definedName name="_xlnm._FilterDatabase" localSheetId="19" hidden="1">'League Cup'!#REF!</definedName>
    <definedName name="_xlnm._FilterDatabase" localSheetId="20" hidden="1">'Other (CS)'!$A$2:$D$17</definedName>
    <definedName name="_xlnm._FilterDatabase" localSheetId="16" hidden="1">'Premier League'!#REF!</definedName>
    <definedName name="_xlnm._FilterDatabase" localSheetId="21" hidden="1">'Season Breakdown'!$A$79:$J$112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F31" i="1"/>
  <c r="U31" i="1" s="1"/>
  <c r="G31" i="1"/>
  <c r="H31" i="1"/>
  <c r="I31" i="1"/>
  <c r="J31" i="1"/>
  <c r="V31" i="1" s="1"/>
  <c r="K31" i="1"/>
  <c r="L31" i="1"/>
  <c r="M31" i="1"/>
  <c r="O31" i="1"/>
  <c r="P31" i="1"/>
  <c r="Q31" i="1"/>
  <c r="R31" i="1"/>
  <c r="S31" i="1"/>
  <c r="E32" i="1"/>
  <c r="F32" i="1"/>
  <c r="U32" i="1" s="1"/>
  <c r="G32" i="1"/>
  <c r="H32" i="1"/>
  <c r="T32" i="1" s="1"/>
  <c r="I32" i="1"/>
  <c r="J32" i="1"/>
  <c r="K32" i="1"/>
  <c r="L32" i="1"/>
  <c r="M32" i="1"/>
  <c r="N32" i="1"/>
  <c r="O32" i="1"/>
  <c r="P32" i="1"/>
  <c r="Q32" i="1"/>
  <c r="R32" i="1"/>
  <c r="S32" i="1"/>
  <c r="V32" i="1"/>
  <c r="F33" i="1"/>
  <c r="U33" i="1" s="1"/>
  <c r="G33" i="1"/>
  <c r="H33" i="1"/>
  <c r="I33" i="1"/>
  <c r="J33" i="1"/>
  <c r="K33" i="1"/>
  <c r="L33" i="1"/>
  <c r="M33" i="1"/>
  <c r="V33" i="1" s="1"/>
  <c r="N33" i="1"/>
  <c r="O33" i="1"/>
  <c r="P33" i="1"/>
  <c r="Q33" i="1"/>
  <c r="R33" i="1"/>
  <c r="S33" i="1"/>
  <c r="E34" i="1"/>
  <c r="F34" i="1"/>
  <c r="G34" i="1"/>
  <c r="V34" i="1" s="1"/>
  <c r="H34" i="1"/>
  <c r="I34" i="1"/>
  <c r="U34" i="1" s="1"/>
  <c r="J34" i="1"/>
  <c r="K34" i="1"/>
  <c r="T34" i="1" s="1"/>
  <c r="L34" i="1"/>
  <c r="M34" i="1"/>
  <c r="N34" i="1"/>
  <c r="O34" i="1"/>
  <c r="P34" i="1"/>
  <c r="Q34" i="1"/>
  <c r="R34" i="1"/>
  <c r="S34" i="1"/>
  <c r="E35" i="1"/>
  <c r="T35" i="1" s="1"/>
  <c r="F35" i="1"/>
  <c r="G35" i="1"/>
  <c r="H35" i="1"/>
  <c r="I35" i="1"/>
  <c r="U35" i="1" s="1"/>
  <c r="J35" i="1"/>
  <c r="K35" i="1"/>
  <c r="L35" i="1"/>
  <c r="M35" i="1"/>
  <c r="N35" i="1"/>
  <c r="O35" i="1"/>
  <c r="P35" i="1"/>
  <c r="Q35" i="1"/>
  <c r="R35" i="1"/>
  <c r="S35" i="1"/>
  <c r="V35" i="1"/>
  <c r="F36" i="1"/>
  <c r="U36" i="1" s="1"/>
  <c r="G36" i="1"/>
  <c r="V36" i="1" s="1"/>
  <c r="H36" i="1"/>
  <c r="I36" i="1"/>
  <c r="J36" i="1"/>
  <c r="K36" i="1"/>
  <c r="L36" i="1"/>
  <c r="M36" i="1"/>
  <c r="N36" i="1"/>
  <c r="O36" i="1"/>
  <c r="P36" i="1"/>
  <c r="Q36" i="1"/>
  <c r="R36" i="1"/>
  <c r="S36" i="1"/>
  <c r="E37" i="1"/>
  <c r="T37" i="1" s="1"/>
  <c r="F37" i="1"/>
  <c r="G37" i="1"/>
  <c r="V37" i="1" s="1"/>
  <c r="H37" i="1"/>
  <c r="I37" i="1"/>
  <c r="J37" i="1"/>
  <c r="K37" i="1"/>
  <c r="L37" i="1"/>
  <c r="M37" i="1"/>
  <c r="N37" i="1"/>
  <c r="O37" i="1"/>
  <c r="P37" i="1"/>
  <c r="Q37" i="1"/>
  <c r="R37" i="1"/>
  <c r="S37" i="1"/>
  <c r="U37" i="1"/>
  <c r="E38" i="1"/>
  <c r="T38" i="1" s="1"/>
  <c r="F38" i="1"/>
  <c r="U38" i="1" s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V38" i="1"/>
  <c r="BC7" i="10"/>
  <c r="BD7" i="10"/>
  <c r="BG7" i="10" s="1"/>
  <c r="BE7" i="10"/>
  <c r="BH7" i="10" s="1"/>
  <c r="BF7" i="10"/>
  <c r="BC8" i="10"/>
  <c r="BF8" i="10" s="1"/>
  <c r="BD8" i="10"/>
  <c r="BE8" i="10"/>
  <c r="BG8" i="10"/>
  <c r="BH8" i="10"/>
  <c r="BC9" i="10"/>
  <c r="BD9" i="10"/>
  <c r="BG9" i="10" s="1"/>
  <c r="BE9" i="10"/>
  <c r="BH9" i="10" s="1"/>
  <c r="BF9" i="10"/>
  <c r="BC10" i="10"/>
  <c r="BF10" i="10" s="1"/>
  <c r="BD10" i="10"/>
  <c r="BG10" i="10" s="1"/>
  <c r="BE10" i="10"/>
  <c r="BH10" i="10"/>
  <c r="BC11" i="10"/>
  <c r="BD11" i="10"/>
  <c r="BG11" i="10" s="1"/>
  <c r="BE11" i="10"/>
  <c r="BH11" i="10" s="1"/>
  <c r="BF11" i="10"/>
  <c r="BC12" i="10"/>
  <c r="BF12" i="10" s="1"/>
  <c r="BD12" i="10"/>
  <c r="BG12" i="10" s="1"/>
  <c r="BE12" i="10"/>
  <c r="BH12" i="10"/>
  <c r="BC13" i="10"/>
  <c r="BD13" i="10"/>
  <c r="BE13" i="10"/>
  <c r="BH13" i="10" s="1"/>
  <c r="BF13" i="10"/>
  <c r="BG13" i="10"/>
  <c r="BC14" i="10"/>
  <c r="BF14" i="10" s="1"/>
  <c r="BD14" i="10"/>
  <c r="BE14" i="10"/>
  <c r="BG14" i="10"/>
  <c r="BH14" i="10"/>
  <c r="BC15" i="10"/>
  <c r="BD15" i="10"/>
  <c r="BG15" i="10" s="1"/>
  <c r="BE15" i="10"/>
  <c r="BH15" i="10" s="1"/>
  <c r="BF15" i="10"/>
  <c r="BC16" i="10"/>
  <c r="BF16" i="10" s="1"/>
  <c r="BD16" i="10"/>
  <c r="BE16" i="10"/>
  <c r="BG16" i="10"/>
  <c r="BH16" i="10"/>
  <c r="BC17" i="10"/>
  <c r="BD17" i="10"/>
  <c r="BG17" i="10" s="1"/>
  <c r="BE17" i="10"/>
  <c r="BH17" i="10" s="1"/>
  <c r="BF17" i="10"/>
  <c r="BC18" i="10"/>
  <c r="BF18" i="10" s="1"/>
  <c r="BD18" i="10"/>
  <c r="BG18" i="10" s="1"/>
  <c r="BE18" i="10"/>
  <c r="BH18" i="10"/>
  <c r="BC19" i="10"/>
  <c r="BD19" i="10"/>
  <c r="BG19" i="10" s="1"/>
  <c r="BE19" i="10"/>
  <c r="BH19" i="10" s="1"/>
  <c r="BF19" i="10"/>
  <c r="BC20" i="10"/>
  <c r="BF20" i="10" s="1"/>
  <c r="BD20" i="10"/>
  <c r="BG20" i="10" s="1"/>
  <c r="BE20" i="10"/>
  <c r="BH20" i="10"/>
  <c r="BC21" i="10"/>
  <c r="BD21" i="10"/>
  <c r="BE21" i="10"/>
  <c r="BH21" i="10" s="1"/>
  <c r="BF21" i="10"/>
  <c r="BG21" i="10"/>
  <c r="BC22" i="10"/>
  <c r="BF22" i="10" s="1"/>
  <c r="BD22" i="10"/>
  <c r="BE22" i="10"/>
  <c r="BG22" i="10"/>
  <c r="BH22" i="10"/>
  <c r="BC23" i="10"/>
  <c r="BD23" i="10"/>
  <c r="BG23" i="10" s="1"/>
  <c r="BE23" i="10"/>
  <c r="BH23" i="10" s="1"/>
  <c r="BF23" i="10"/>
  <c r="BC24" i="10"/>
  <c r="BF24" i="10" s="1"/>
  <c r="BD24" i="10"/>
  <c r="BE24" i="10"/>
  <c r="BG24" i="10"/>
  <c r="BH24" i="10"/>
  <c r="BC25" i="10"/>
  <c r="BD25" i="10"/>
  <c r="BG25" i="10" s="1"/>
  <c r="BE25" i="10"/>
  <c r="BH25" i="10" s="1"/>
  <c r="BF25" i="10"/>
  <c r="BC26" i="10"/>
  <c r="BF26" i="10" s="1"/>
  <c r="BD26" i="10"/>
  <c r="BG26" i="10" s="1"/>
  <c r="BE26" i="10"/>
  <c r="BH26" i="10"/>
  <c r="BC27" i="10"/>
  <c r="BD27" i="10"/>
  <c r="BG27" i="10" s="1"/>
  <c r="BE27" i="10"/>
  <c r="BH27" i="10" s="1"/>
  <c r="BF27" i="10"/>
  <c r="BC28" i="10"/>
  <c r="BF28" i="10" s="1"/>
  <c r="BD28" i="10"/>
  <c r="BG28" i="10" s="1"/>
  <c r="BE28" i="10"/>
  <c r="BH28" i="10"/>
  <c r="BC29" i="10"/>
  <c r="BD29" i="10"/>
  <c r="BE29" i="10"/>
  <c r="BH29" i="10" s="1"/>
  <c r="BF29" i="10"/>
  <c r="BG29" i="10"/>
  <c r="BC30" i="10"/>
  <c r="BF30" i="10" s="1"/>
  <c r="BD30" i="10"/>
  <c r="BE30" i="10"/>
  <c r="BG30" i="10"/>
  <c r="BH30" i="10"/>
  <c r="BC31" i="10"/>
  <c r="BD31" i="10"/>
  <c r="BG31" i="10" s="1"/>
  <c r="BE31" i="10"/>
  <c r="BH31" i="10" s="1"/>
  <c r="BF31" i="10"/>
  <c r="BC32" i="10"/>
  <c r="BF32" i="10" s="1"/>
  <c r="BD32" i="10"/>
  <c r="BE32" i="10"/>
  <c r="BG32" i="10"/>
  <c r="BH32" i="10"/>
  <c r="BC33" i="10"/>
  <c r="BD33" i="10"/>
  <c r="BG33" i="10" s="1"/>
  <c r="BE33" i="10"/>
  <c r="BH33" i="10" s="1"/>
  <c r="BF33" i="10"/>
  <c r="BC34" i="10"/>
  <c r="BF34" i="10" s="1"/>
  <c r="BD34" i="10"/>
  <c r="BG34" i="10" s="1"/>
  <c r="BE34" i="10"/>
  <c r="BH34" i="10"/>
  <c r="BC35" i="10"/>
  <c r="BD35" i="10"/>
  <c r="BG35" i="10" s="1"/>
  <c r="BE35" i="10"/>
  <c r="BH35" i="10" s="1"/>
  <c r="BF35" i="10"/>
  <c r="BC36" i="10"/>
  <c r="BF36" i="10" s="1"/>
  <c r="BD36" i="10"/>
  <c r="BG36" i="10" s="1"/>
  <c r="BE36" i="10"/>
  <c r="BH36" i="10"/>
  <c r="BC37" i="10"/>
  <c r="BD37" i="10"/>
  <c r="BE37" i="10"/>
  <c r="BH37" i="10" s="1"/>
  <c r="BF37" i="10"/>
  <c r="BG37" i="10"/>
  <c r="BC38" i="10"/>
  <c r="BF38" i="10" s="1"/>
  <c r="BD38" i="10"/>
  <c r="BE38" i="10"/>
  <c r="BG38" i="10"/>
  <c r="BH38" i="10"/>
  <c r="BC39" i="10"/>
  <c r="BD39" i="10"/>
  <c r="BG39" i="10" s="1"/>
  <c r="BE39" i="10"/>
  <c r="BH39" i="10" s="1"/>
  <c r="BF39" i="10"/>
  <c r="BC40" i="10"/>
  <c r="BF40" i="10" s="1"/>
  <c r="BD40" i="10"/>
  <c r="BE40" i="10"/>
  <c r="BG40" i="10"/>
  <c r="BH40" i="10"/>
  <c r="AQ7" i="10"/>
  <c r="AR7" i="10"/>
  <c r="AU7" i="10" s="1"/>
  <c r="AS7" i="10"/>
  <c r="AT7" i="10"/>
  <c r="AV7" i="10"/>
  <c r="AQ8" i="10"/>
  <c r="AT8" i="10" s="1"/>
  <c r="AR8" i="10"/>
  <c r="AU8" i="10" s="1"/>
  <c r="AS8" i="10"/>
  <c r="AV8" i="10"/>
  <c r="AQ9" i="10"/>
  <c r="AR9" i="10"/>
  <c r="AU9" i="10" s="1"/>
  <c r="AS9" i="10"/>
  <c r="AV9" i="10" s="1"/>
  <c r="AT9" i="10"/>
  <c r="AQ10" i="10"/>
  <c r="AR10" i="10"/>
  <c r="AS10" i="10"/>
  <c r="AV10" i="10" s="1"/>
  <c r="AT10" i="10"/>
  <c r="AU10" i="10"/>
  <c r="AQ11" i="10"/>
  <c r="AR11" i="10"/>
  <c r="AS11" i="10"/>
  <c r="AT11" i="10"/>
  <c r="AU11" i="10"/>
  <c r="AV11" i="10"/>
  <c r="AQ12" i="10"/>
  <c r="AT12" i="10" s="1"/>
  <c r="AR12" i="10"/>
  <c r="AU12" i="10" s="1"/>
  <c r="AS12" i="10"/>
  <c r="AV12" i="10"/>
  <c r="AQ13" i="10"/>
  <c r="AT13" i="10" s="1"/>
  <c r="AR13" i="10"/>
  <c r="AU13" i="10" s="1"/>
  <c r="AS13" i="10"/>
  <c r="AV13" i="10" s="1"/>
  <c r="AQ14" i="10"/>
  <c r="AR14" i="10"/>
  <c r="AS14" i="10"/>
  <c r="AV14" i="10" s="1"/>
  <c r="AT14" i="10"/>
  <c r="AU14" i="10"/>
  <c r="AQ15" i="10"/>
  <c r="AR15" i="10"/>
  <c r="AS15" i="10"/>
  <c r="AT15" i="10"/>
  <c r="AU15" i="10"/>
  <c r="AV15" i="10"/>
  <c r="AQ16" i="10"/>
  <c r="AT16" i="10" s="1"/>
  <c r="AR16" i="10"/>
  <c r="AU16" i="10" s="1"/>
  <c r="AS16" i="10"/>
  <c r="AV16" i="10"/>
  <c r="AQ17" i="10"/>
  <c r="AR17" i="10"/>
  <c r="AU17" i="10" s="1"/>
  <c r="AS17" i="10"/>
  <c r="AV17" i="10" s="1"/>
  <c r="AT17" i="10"/>
  <c r="AQ18" i="10"/>
  <c r="AR18" i="10"/>
  <c r="AS18" i="10"/>
  <c r="AV18" i="10" s="1"/>
  <c r="AT18" i="10"/>
  <c r="AU18" i="10"/>
  <c r="AQ19" i="10"/>
  <c r="AR19" i="10"/>
  <c r="AS19" i="10"/>
  <c r="AT19" i="10"/>
  <c r="AU19" i="10"/>
  <c r="AV19" i="10"/>
  <c r="AQ20" i="10"/>
  <c r="AT20" i="10" s="1"/>
  <c r="AR20" i="10"/>
  <c r="AU20" i="10" s="1"/>
  <c r="AS20" i="10"/>
  <c r="AV20" i="10"/>
  <c r="AQ21" i="10"/>
  <c r="AT21" i="10" s="1"/>
  <c r="AR21" i="10"/>
  <c r="AU21" i="10" s="1"/>
  <c r="AS21" i="10"/>
  <c r="AV21" i="10" s="1"/>
  <c r="AQ22" i="10"/>
  <c r="AR22" i="10"/>
  <c r="AS22" i="10"/>
  <c r="AT22" i="10"/>
  <c r="AU22" i="10"/>
  <c r="AV22" i="10"/>
  <c r="AQ23" i="10"/>
  <c r="AR23" i="10"/>
  <c r="AS23" i="10"/>
  <c r="AT23" i="10"/>
  <c r="AU23" i="10"/>
  <c r="AV23" i="10"/>
  <c r="AQ24" i="10"/>
  <c r="AT24" i="10" s="1"/>
  <c r="AR24" i="10"/>
  <c r="AU24" i="10" s="1"/>
  <c r="AS24" i="10"/>
  <c r="AV24" i="10"/>
  <c r="AQ25" i="10"/>
  <c r="AR25" i="10"/>
  <c r="AU25" i="10" s="1"/>
  <c r="AS25" i="10"/>
  <c r="AV25" i="10" s="1"/>
  <c r="AT25" i="10"/>
  <c r="AQ26" i="10"/>
  <c r="AR26" i="10"/>
  <c r="AS26" i="10"/>
  <c r="AV26" i="10" s="1"/>
  <c r="AT26" i="10"/>
  <c r="AU26" i="10"/>
  <c r="AQ27" i="10"/>
  <c r="AR27" i="10"/>
  <c r="AS27" i="10"/>
  <c r="AT27" i="10"/>
  <c r="AU27" i="10"/>
  <c r="AV27" i="10"/>
  <c r="AQ28" i="10"/>
  <c r="AT28" i="10" s="1"/>
  <c r="AR28" i="10"/>
  <c r="AU28" i="10" s="1"/>
  <c r="AS28" i="10"/>
  <c r="AV28" i="10"/>
  <c r="AQ29" i="10"/>
  <c r="AT29" i="10" s="1"/>
  <c r="AR29" i="10"/>
  <c r="AU29" i="10" s="1"/>
  <c r="AS29" i="10"/>
  <c r="AV29" i="10" s="1"/>
  <c r="AQ30" i="10"/>
  <c r="AR30" i="10"/>
  <c r="AS30" i="10"/>
  <c r="AT30" i="10"/>
  <c r="AU30" i="10"/>
  <c r="AV30" i="10"/>
  <c r="AQ31" i="10"/>
  <c r="AR31" i="10"/>
  <c r="AS31" i="10"/>
  <c r="AT31" i="10"/>
  <c r="AU31" i="10"/>
  <c r="AV31" i="10"/>
  <c r="AQ32" i="10"/>
  <c r="AT32" i="10" s="1"/>
  <c r="AR32" i="10"/>
  <c r="AU32" i="10" s="1"/>
  <c r="AS32" i="10"/>
  <c r="AV32" i="10"/>
  <c r="AR33" i="10"/>
  <c r="AU33" i="10" s="1"/>
  <c r="AS33" i="10"/>
  <c r="AV33" i="10" s="1"/>
  <c r="AQ34" i="10"/>
  <c r="AR34" i="10"/>
  <c r="AS34" i="10"/>
  <c r="AV34" i="10" s="1"/>
  <c r="AT34" i="10"/>
  <c r="AU34" i="10"/>
  <c r="AQ35" i="10"/>
  <c r="AR35" i="10"/>
  <c r="AS35" i="10"/>
  <c r="AT35" i="10"/>
  <c r="AU35" i="10"/>
  <c r="AV35" i="10"/>
  <c r="AQ36" i="10"/>
  <c r="AT36" i="10" s="1"/>
  <c r="AR36" i="10"/>
  <c r="AU36" i="10" s="1"/>
  <c r="AS36" i="10"/>
  <c r="AV36" i="10"/>
  <c r="AQ37" i="10"/>
  <c r="AT37" i="10" s="1"/>
  <c r="AR37" i="10"/>
  <c r="AU37" i="10" s="1"/>
  <c r="AS37" i="10"/>
  <c r="AV37" i="10" s="1"/>
  <c r="AQ38" i="10"/>
  <c r="AR38" i="10"/>
  <c r="AS38" i="10"/>
  <c r="AT38" i="10"/>
  <c r="AU38" i="10"/>
  <c r="AV38" i="10"/>
  <c r="AQ39" i="10"/>
  <c r="AR39" i="10"/>
  <c r="AS39" i="10"/>
  <c r="AT39" i="10"/>
  <c r="AU39" i="10"/>
  <c r="AV39" i="10"/>
  <c r="AQ40" i="10"/>
  <c r="AT40" i="10" s="1"/>
  <c r="AR40" i="10"/>
  <c r="AU40" i="10" s="1"/>
  <c r="AS40" i="10"/>
  <c r="AV40" i="10"/>
  <c r="AE7" i="10"/>
  <c r="AF7" i="10"/>
  <c r="AG7" i="10"/>
  <c r="AH7" i="10"/>
  <c r="AI7" i="10"/>
  <c r="AJ7" i="10"/>
  <c r="AE8" i="10"/>
  <c r="AF8" i="10"/>
  <c r="AG8" i="10"/>
  <c r="AJ8" i="10" s="1"/>
  <c r="AH8" i="10"/>
  <c r="AI8" i="10"/>
  <c r="AE9" i="10"/>
  <c r="AF9" i="10"/>
  <c r="AG9" i="10"/>
  <c r="AH9" i="10"/>
  <c r="AI9" i="10"/>
  <c r="AJ9" i="10"/>
  <c r="AE10" i="10"/>
  <c r="AF10" i="10"/>
  <c r="AI10" i="10" s="1"/>
  <c r="AG10" i="10"/>
  <c r="AJ10" i="10" s="1"/>
  <c r="AH10" i="10"/>
  <c r="AE11" i="10"/>
  <c r="AH11" i="10" s="1"/>
  <c r="AF11" i="10"/>
  <c r="AI11" i="10" s="1"/>
  <c r="AG11" i="10"/>
  <c r="AJ11" i="10" s="1"/>
  <c r="AE12" i="10"/>
  <c r="AF12" i="10"/>
  <c r="AI12" i="10" s="1"/>
  <c r="AG12" i="10"/>
  <c r="AH12" i="10"/>
  <c r="AJ12" i="10"/>
  <c r="AE13" i="10"/>
  <c r="AH13" i="10" s="1"/>
  <c r="AF13" i="10"/>
  <c r="AI13" i="10" s="1"/>
  <c r="AG13" i="10"/>
  <c r="AJ13" i="10"/>
  <c r="AE14" i="10"/>
  <c r="AH14" i="10" s="1"/>
  <c r="AF14" i="10"/>
  <c r="AG14" i="10"/>
  <c r="AI14" i="10"/>
  <c r="AJ14" i="10"/>
  <c r="AE15" i="10"/>
  <c r="AF15" i="10"/>
  <c r="AG15" i="10"/>
  <c r="AH15" i="10"/>
  <c r="AI15" i="10"/>
  <c r="AJ15" i="10"/>
  <c r="AE16" i="10"/>
  <c r="AF16" i="10"/>
  <c r="AG16" i="10"/>
  <c r="AJ16" i="10" s="1"/>
  <c r="AH16" i="10"/>
  <c r="AI16" i="10"/>
  <c r="AE17" i="10"/>
  <c r="AF17" i="10"/>
  <c r="AG17" i="10"/>
  <c r="AH17" i="10"/>
  <c r="AI17" i="10"/>
  <c r="AJ17" i="10"/>
  <c r="AE18" i="10"/>
  <c r="AF18" i="10"/>
  <c r="AI18" i="10" s="1"/>
  <c r="AG18" i="10"/>
  <c r="AJ18" i="10" s="1"/>
  <c r="AH18" i="10"/>
  <c r="AE19" i="10"/>
  <c r="AH19" i="10" s="1"/>
  <c r="AF19" i="10"/>
  <c r="AI19" i="10" s="1"/>
  <c r="AG19" i="10"/>
  <c r="AJ19" i="10" s="1"/>
  <c r="AE20" i="10"/>
  <c r="AF20" i="10"/>
  <c r="AI20" i="10" s="1"/>
  <c r="AG20" i="10"/>
  <c r="AH20" i="10"/>
  <c r="AJ20" i="10"/>
  <c r="AE21" i="10"/>
  <c r="AH21" i="10" s="1"/>
  <c r="AF21" i="10"/>
  <c r="AI21" i="10" s="1"/>
  <c r="AG21" i="10"/>
  <c r="AJ21" i="10"/>
  <c r="AE22" i="10"/>
  <c r="AH22" i="10" s="1"/>
  <c r="AF22" i="10"/>
  <c r="AG22" i="10"/>
  <c r="AI22" i="10"/>
  <c r="AJ22" i="10"/>
  <c r="AE23" i="10"/>
  <c r="AF23" i="10"/>
  <c r="AG23" i="10"/>
  <c r="AH23" i="10"/>
  <c r="AI23" i="10"/>
  <c r="AJ23" i="10"/>
  <c r="AE24" i="10"/>
  <c r="AF24" i="10"/>
  <c r="AG24" i="10"/>
  <c r="AJ24" i="10" s="1"/>
  <c r="AH24" i="10"/>
  <c r="AI24" i="10"/>
  <c r="AE25" i="10"/>
  <c r="AF25" i="10"/>
  <c r="AG25" i="10"/>
  <c r="AH25" i="10"/>
  <c r="AI25" i="10"/>
  <c r="AJ25" i="10"/>
  <c r="AE26" i="10"/>
  <c r="AF26" i="10"/>
  <c r="AI26" i="10" s="1"/>
  <c r="AG26" i="10"/>
  <c r="AJ26" i="10" s="1"/>
  <c r="AH26" i="10"/>
  <c r="AE27" i="10"/>
  <c r="AH27" i="10" s="1"/>
  <c r="AF27" i="10"/>
  <c r="AI27" i="10" s="1"/>
  <c r="AG27" i="10"/>
  <c r="AJ27" i="10" s="1"/>
  <c r="AE28" i="10"/>
  <c r="AF28" i="10"/>
  <c r="AI28" i="10" s="1"/>
  <c r="AG28" i="10"/>
  <c r="AH28" i="10"/>
  <c r="AJ28" i="10"/>
  <c r="AE29" i="10"/>
  <c r="AH29" i="10" s="1"/>
  <c r="AF29" i="10"/>
  <c r="AI29" i="10" s="1"/>
  <c r="AG29" i="10"/>
  <c r="AJ29" i="10"/>
  <c r="AE30" i="10"/>
  <c r="AH30" i="10" s="1"/>
  <c r="AF30" i="10"/>
  <c r="AG30" i="10"/>
  <c r="AI30" i="10"/>
  <c r="AJ30" i="10"/>
  <c r="AE31" i="10"/>
  <c r="AF31" i="10"/>
  <c r="AG31" i="10"/>
  <c r="AH31" i="10"/>
  <c r="AI31" i="10"/>
  <c r="AJ31" i="10"/>
  <c r="AE32" i="10"/>
  <c r="AF32" i="10"/>
  <c r="AG32" i="10"/>
  <c r="AJ32" i="10" s="1"/>
  <c r="AH32" i="10"/>
  <c r="AI32" i="10"/>
  <c r="AE33" i="10"/>
  <c r="AF33" i="10"/>
  <c r="AG33" i="10"/>
  <c r="AH33" i="10"/>
  <c r="AI33" i="10"/>
  <c r="AJ33" i="10"/>
  <c r="AE34" i="10"/>
  <c r="AF34" i="10"/>
  <c r="AI34" i="10" s="1"/>
  <c r="AG34" i="10"/>
  <c r="AJ34" i="10" s="1"/>
  <c r="AH34" i="10"/>
  <c r="AE35" i="10"/>
  <c r="AH35" i="10" s="1"/>
  <c r="AF35" i="10"/>
  <c r="AI35" i="10" s="1"/>
  <c r="AG35" i="10"/>
  <c r="AJ35" i="10" s="1"/>
  <c r="AE36" i="10"/>
  <c r="AF36" i="10"/>
  <c r="AI36" i="10" s="1"/>
  <c r="AG36" i="10"/>
  <c r="AH36" i="10"/>
  <c r="AJ36" i="10"/>
  <c r="AE37" i="10"/>
  <c r="AH37" i="10" s="1"/>
  <c r="AF37" i="10"/>
  <c r="AI37" i="10" s="1"/>
  <c r="AG37" i="10"/>
  <c r="AJ37" i="10"/>
  <c r="AE38" i="10"/>
  <c r="AH38" i="10" s="1"/>
  <c r="AF38" i="10"/>
  <c r="AG38" i="10"/>
  <c r="AI38" i="10"/>
  <c r="AJ38" i="10"/>
  <c r="AE39" i="10"/>
  <c r="AF39" i="10"/>
  <c r="AG39" i="10"/>
  <c r="AH39" i="10"/>
  <c r="AI39" i="10"/>
  <c r="AJ39" i="10"/>
  <c r="AE40" i="10"/>
  <c r="AF40" i="10"/>
  <c r="AG40" i="10"/>
  <c r="AJ40" i="10" s="1"/>
  <c r="AH40" i="10"/>
  <c r="AI40" i="10"/>
  <c r="S7" i="10"/>
  <c r="T7" i="10"/>
  <c r="U7" i="10"/>
  <c r="X7" i="10" s="1"/>
  <c r="V7" i="10"/>
  <c r="W7" i="10"/>
  <c r="S8" i="10"/>
  <c r="V8" i="10" s="1"/>
  <c r="T8" i="10"/>
  <c r="U8" i="10"/>
  <c r="W8" i="10"/>
  <c r="X8" i="10"/>
  <c r="S9" i="10"/>
  <c r="T9" i="10"/>
  <c r="W9" i="10" s="1"/>
  <c r="U9" i="10"/>
  <c r="X9" i="10" s="1"/>
  <c r="V9" i="10"/>
  <c r="S10" i="10"/>
  <c r="V10" i="10" s="1"/>
  <c r="T10" i="10"/>
  <c r="U10" i="10"/>
  <c r="X10" i="10" s="1"/>
  <c r="W10" i="10"/>
  <c r="S11" i="10"/>
  <c r="T11" i="10"/>
  <c r="U11" i="10"/>
  <c r="V11" i="10"/>
  <c r="W11" i="10"/>
  <c r="X11" i="10"/>
  <c r="S12" i="10"/>
  <c r="V12" i="10" s="1"/>
  <c r="T12" i="10"/>
  <c r="W12" i="10" s="1"/>
  <c r="U12" i="10"/>
  <c r="X12" i="10"/>
  <c r="S13" i="10"/>
  <c r="V13" i="10" s="1"/>
  <c r="T13" i="10"/>
  <c r="W13" i="10" s="1"/>
  <c r="U13" i="10"/>
  <c r="X13" i="10" s="1"/>
  <c r="S14" i="10"/>
  <c r="T14" i="10"/>
  <c r="U14" i="10"/>
  <c r="V14" i="10"/>
  <c r="W14" i="10"/>
  <c r="X14" i="10"/>
  <c r="S15" i="10"/>
  <c r="T15" i="10"/>
  <c r="U15" i="10"/>
  <c r="V15" i="10"/>
  <c r="W15" i="10"/>
  <c r="X15" i="10"/>
  <c r="S16" i="10"/>
  <c r="V16" i="10" s="1"/>
  <c r="T16" i="10"/>
  <c r="U16" i="10"/>
  <c r="W16" i="10"/>
  <c r="X16" i="10"/>
  <c r="S17" i="10"/>
  <c r="T17" i="10"/>
  <c r="W17" i="10" s="1"/>
  <c r="U17" i="10"/>
  <c r="X17" i="10" s="1"/>
  <c r="V17" i="10"/>
  <c r="S18" i="10"/>
  <c r="T18" i="10"/>
  <c r="U18" i="10"/>
  <c r="X18" i="10" s="1"/>
  <c r="V18" i="10"/>
  <c r="W18" i="10"/>
  <c r="S19" i="10"/>
  <c r="T19" i="10"/>
  <c r="U19" i="10"/>
  <c r="V19" i="10"/>
  <c r="W19" i="10"/>
  <c r="X19" i="10"/>
  <c r="S20" i="10"/>
  <c r="V20" i="10" s="1"/>
  <c r="T20" i="10"/>
  <c r="W20" i="10" s="1"/>
  <c r="U20" i="10"/>
  <c r="X20" i="10"/>
  <c r="S21" i="10"/>
  <c r="V21" i="10" s="1"/>
  <c r="T21" i="10"/>
  <c r="W21" i="10" s="1"/>
  <c r="U21" i="10"/>
  <c r="X21" i="10" s="1"/>
  <c r="S22" i="10"/>
  <c r="T22" i="10"/>
  <c r="U22" i="10"/>
  <c r="V22" i="10"/>
  <c r="W22" i="10"/>
  <c r="X22" i="10"/>
  <c r="S23" i="10"/>
  <c r="T23" i="10"/>
  <c r="U23" i="10"/>
  <c r="V23" i="10"/>
  <c r="W23" i="10"/>
  <c r="X23" i="10"/>
  <c r="S24" i="10"/>
  <c r="V24" i="10" s="1"/>
  <c r="T24" i="10"/>
  <c r="U24" i="10"/>
  <c r="W24" i="10"/>
  <c r="X24" i="10"/>
  <c r="S25" i="10"/>
  <c r="T25" i="10"/>
  <c r="W25" i="10" s="1"/>
  <c r="U25" i="10"/>
  <c r="X25" i="10" s="1"/>
  <c r="V25" i="10"/>
  <c r="S26" i="10"/>
  <c r="T26" i="10"/>
  <c r="U26" i="10"/>
  <c r="X26" i="10" s="1"/>
  <c r="V26" i="10"/>
  <c r="W26" i="10"/>
  <c r="S27" i="10"/>
  <c r="T27" i="10"/>
  <c r="U27" i="10"/>
  <c r="V27" i="10"/>
  <c r="W27" i="10"/>
  <c r="X27" i="10"/>
  <c r="S28" i="10"/>
  <c r="V28" i="10" s="1"/>
  <c r="T28" i="10"/>
  <c r="W28" i="10" s="1"/>
  <c r="U28" i="10"/>
  <c r="X28" i="10"/>
  <c r="S29" i="10"/>
  <c r="V29" i="10" s="1"/>
  <c r="T29" i="10"/>
  <c r="W29" i="10" s="1"/>
  <c r="U29" i="10"/>
  <c r="X29" i="10" s="1"/>
  <c r="S30" i="10"/>
  <c r="T30" i="10"/>
  <c r="U30" i="10"/>
  <c r="V30" i="10"/>
  <c r="W30" i="10"/>
  <c r="X30" i="10"/>
  <c r="S31" i="10"/>
  <c r="T31" i="10"/>
  <c r="U31" i="10"/>
  <c r="V31" i="10"/>
  <c r="W31" i="10"/>
  <c r="X31" i="10"/>
  <c r="S32" i="10"/>
  <c r="V32" i="10" s="1"/>
  <c r="T32" i="10"/>
  <c r="U32" i="10"/>
  <c r="W32" i="10"/>
  <c r="X32" i="10"/>
  <c r="S33" i="10"/>
  <c r="T33" i="10"/>
  <c r="W33" i="10" s="1"/>
  <c r="U33" i="10"/>
  <c r="X33" i="10" s="1"/>
  <c r="V33" i="10"/>
  <c r="S34" i="10"/>
  <c r="T34" i="10"/>
  <c r="U34" i="10"/>
  <c r="X34" i="10" s="1"/>
  <c r="V34" i="10"/>
  <c r="W34" i="10"/>
  <c r="S35" i="10"/>
  <c r="T35" i="10"/>
  <c r="U35" i="10"/>
  <c r="V35" i="10"/>
  <c r="W35" i="10"/>
  <c r="X35" i="10"/>
  <c r="S36" i="10"/>
  <c r="V36" i="10" s="1"/>
  <c r="T36" i="10"/>
  <c r="W36" i="10" s="1"/>
  <c r="U36" i="10"/>
  <c r="X36" i="10"/>
  <c r="S37" i="10"/>
  <c r="V37" i="10" s="1"/>
  <c r="T37" i="10"/>
  <c r="W37" i="10" s="1"/>
  <c r="U37" i="10"/>
  <c r="X37" i="10" s="1"/>
  <c r="S38" i="10"/>
  <c r="T38" i="10"/>
  <c r="U38" i="10"/>
  <c r="V38" i="10"/>
  <c r="W38" i="10"/>
  <c r="X38" i="10"/>
  <c r="S39" i="10"/>
  <c r="T39" i="10"/>
  <c r="U39" i="10"/>
  <c r="V39" i="10"/>
  <c r="W39" i="10"/>
  <c r="X39" i="10"/>
  <c r="S40" i="10"/>
  <c r="V40" i="10" s="1"/>
  <c r="T40" i="10"/>
  <c r="U40" i="10"/>
  <c r="W40" i="10"/>
  <c r="X40" i="10"/>
  <c r="G7" i="10"/>
  <c r="J7" i="10" s="1"/>
  <c r="H7" i="10"/>
  <c r="K7" i="10" s="1"/>
  <c r="I7" i="10"/>
  <c r="L7" i="10" s="1"/>
  <c r="G8" i="10"/>
  <c r="J8" i="10" s="1"/>
  <c r="H8" i="10"/>
  <c r="K8" i="10" s="1"/>
  <c r="I8" i="10"/>
  <c r="L8" i="10" s="1"/>
  <c r="G9" i="10"/>
  <c r="H9" i="10"/>
  <c r="J9" i="10"/>
  <c r="K9" i="10"/>
  <c r="H10" i="10"/>
  <c r="I10" i="10"/>
  <c r="L10" i="10" s="1"/>
  <c r="K10" i="10"/>
  <c r="H11" i="10"/>
  <c r="I11" i="10"/>
  <c r="K11" i="10"/>
  <c r="L11" i="10"/>
  <c r="G12" i="10"/>
  <c r="H12" i="10"/>
  <c r="I12" i="10"/>
  <c r="L12" i="10" s="1"/>
  <c r="J12" i="10"/>
  <c r="K12" i="10"/>
  <c r="H13" i="10"/>
  <c r="K13" i="10" s="1"/>
  <c r="I13" i="10"/>
  <c r="L13" i="10" s="1"/>
  <c r="G14" i="10"/>
  <c r="H14" i="10"/>
  <c r="I14" i="10"/>
  <c r="J14" i="10"/>
  <c r="K14" i="10"/>
  <c r="L14" i="10"/>
  <c r="H15" i="10"/>
  <c r="K15" i="10" s="1"/>
  <c r="I15" i="10"/>
  <c r="L15" i="10" s="1"/>
  <c r="G16" i="10"/>
  <c r="J16" i="10" s="1"/>
  <c r="H16" i="10"/>
  <c r="K16" i="10" s="1"/>
  <c r="I16" i="10"/>
  <c r="L16" i="10" s="1"/>
  <c r="H17" i="10"/>
  <c r="I17" i="10"/>
  <c r="K17" i="10"/>
  <c r="L17" i="10"/>
  <c r="H18" i="10"/>
  <c r="I18" i="10"/>
  <c r="L18" i="10" s="1"/>
  <c r="K18" i="10"/>
  <c r="H19" i="10"/>
  <c r="I19" i="10"/>
  <c r="K19" i="10"/>
  <c r="L19" i="10"/>
  <c r="G20" i="10"/>
  <c r="H20" i="10"/>
  <c r="I20" i="10"/>
  <c r="L20" i="10" s="1"/>
  <c r="J20" i="10"/>
  <c r="K20" i="10"/>
  <c r="G21" i="10"/>
  <c r="J21" i="10" s="1"/>
  <c r="H21" i="10"/>
  <c r="K21" i="10" s="1"/>
  <c r="I21" i="10"/>
  <c r="L21" i="10" s="1"/>
  <c r="H22" i="10"/>
  <c r="I22" i="10"/>
  <c r="K22" i="10"/>
  <c r="L22" i="10"/>
  <c r="H23" i="10"/>
  <c r="K23" i="10" s="1"/>
  <c r="I23" i="10"/>
  <c r="L23" i="10" s="1"/>
  <c r="G24" i="10"/>
  <c r="J24" i="10" s="1"/>
  <c r="H24" i="10"/>
  <c r="K24" i="10" s="1"/>
  <c r="I24" i="10"/>
  <c r="L24" i="10" s="1"/>
  <c r="G25" i="10"/>
  <c r="J25" i="10" s="1"/>
  <c r="H25" i="10"/>
  <c r="K25" i="10" s="1"/>
  <c r="I25" i="10"/>
  <c r="L25" i="10"/>
  <c r="G26" i="10"/>
  <c r="J26" i="10" s="1"/>
  <c r="H26" i="10"/>
  <c r="I26" i="10"/>
  <c r="L26" i="10" s="1"/>
  <c r="K26" i="10"/>
  <c r="H27" i="10"/>
  <c r="I27" i="10"/>
  <c r="K27" i="10"/>
  <c r="L27" i="10"/>
  <c r="I28" i="10"/>
  <c r="L28" i="10" s="1"/>
  <c r="G29" i="10"/>
  <c r="J29" i="10" s="1"/>
  <c r="H29" i="10"/>
  <c r="K29" i="10" s="1"/>
  <c r="I29" i="10"/>
  <c r="L29" i="10" s="1"/>
  <c r="G30" i="10"/>
  <c r="J30" i="10" s="1"/>
  <c r="H30" i="10"/>
  <c r="I30" i="10"/>
  <c r="L30" i="10" s="1"/>
  <c r="K30" i="10"/>
  <c r="G31" i="10"/>
  <c r="J31" i="10" s="1"/>
  <c r="H31" i="10"/>
  <c r="K31" i="10" s="1"/>
  <c r="I31" i="10"/>
  <c r="L31" i="10" s="1"/>
  <c r="G32" i="10"/>
  <c r="J32" i="10" s="1"/>
  <c r="H32" i="10"/>
  <c r="K32" i="10" s="1"/>
  <c r="I32" i="10"/>
  <c r="L32" i="10" s="1"/>
  <c r="G33" i="10"/>
  <c r="H33" i="10"/>
  <c r="I33" i="10"/>
  <c r="J33" i="10"/>
  <c r="K33" i="10"/>
  <c r="L33" i="10"/>
  <c r="G34" i="10"/>
  <c r="J34" i="10" s="1"/>
  <c r="H34" i="10"/>
  <c r="I34" i="10"/>
  <c r="L34" i="10" s="1"/>
  <c r="K34" i="10"/>
  <c r="H35" i="10"/>
  <c r="I35" i="10"/>
  <c r="K35" i="10"/>
  <c r="L35" i="10"/>
  <c r="G36" i="10"/>
  <c r="H36" i="10"/>
  <c r="I36" i="10"/>
  <c r="L36" i="10" s="1"/>
  <c r="J36" i="10"/>
  <c r="K36" i="10"/>
  <c r="G37" i="10"/>
  <c r="J37" i="10" s="1"/>
  <c r="H37" i="10"/>
  <c r="K37" i="10" s="1"/>
  <c r="I37" i="10"/>
  <c r="L37" i="10" s="1"/>
  <c r="H38" i="10"/>
  <c r="I38" i="10"/>
  <c r="K38" i="10"/>
  <c r="L38" i="10"/>
  <c r="G39" i="10"/>
  <c r="J39" i="10" s="1"/>
  <c r="H39" i="10"/>
  <c r="K39" i="10" s="1"/>
  <c r="I39" i="10"/>
  <c r="L39" i="10" s="1"/>
  <c r="G40" i="10"/>
  <c r="J40" i="10" s="1"/>
  <c r="H40" i="10"/>
  <c r="K40" i="10" s="1"/>
  <c r="I40" i="10"/>
  <c r="L40" i="10" s="1"/>
  <c r="C31" i="30"/>
  <c r="D31" i="30"/>
  <c r="E31" i="30"/>
  <c r="T31" i="30" s="1"/>
  <c r="F31" i="30"/>
  <c r="G31" i="30"/>
  <c r="S31" i="30" s="1"/>
  <c r="H31" i="30"/>
  <c r="I31" i="30"/>
  <c r="J31" i="30"/>
  <c r="K31" i="30"/>
  <c r="L31" i="30"/>
  <c r="R31" i="30" s="1"/>
  <c r="M31" i="30"/>
  <c r="N31" i="30"/>
  <c r="O31" i="30"/>
  <c r="P31" i="30"/>
  <c r="Q31" i="30"/>
  <c r="C32" i="30"/>
  <c r="R32" i="30" s="1"/>
  <c r="D32" i="30"/>
  <c r="E32" i="30"/>
  <c r="T32" i="30" s="1"/>
  <c r="F32" i="30"/>
  <c r="G32" i="30"/>
  <c r="H32" i="30"/>
  <c r="I32" i="30"/>
  <c r="J32" i="30"/>
  <c r="K32" i="30"/>
  <c r="L32" i="30"/>
  <c r="M32" i="30"/>
  <c r="S32" i="30" s="1"/>
  <c r="N32" i="30"/>
  <c r="O32" i="30"/>
  <c r="P32" i="30"/>
  <c r="Q32" i="30"/>
  <c r="D33" i="30"/>
  <c r="S33" i="30" s="1"/>
  <c r="E33" i="30"/>
  <c r="F33" i="30"/>
  <c r="G33" i="30"/>
  <c r="H33" i="30"/>
  <c r="I33" i="30"/>
  <c r="J33" i="30"/>
  <c r="K33" i="30"/>
  <c r="L33" i="30"/>
  <c r="M33" i="30"/>
  <c r="N33" i="30"/>
  <c r="O33" i="30"/>
  <c r="P33" i="30"/>
  <c r="Q33" i="30"/>
  <c r="T33" i="30"/>
  <c r="C34" i="30"/>
  <c r="D34" i="30"/>
  <c r="S34" i="30" s="1"/>
  <c r="E34" i="30"/>
  <c r="F34" i="30"/>
  <c r="G34" i="30"/>
  <c r="H34" i="30"/>
  <c r="I34" i="30"/>
  <c r="J34" i="30"/>
  <c r="K34" i="30"/>
  <c r="L34" i="30"/>
  <c r="M34" i="30"/>
  <c r="N34" i="30"/>
  <c r="O34" i="30"/>
  <c r="P34" i="30"/>
  <c r="Q34" i="30"/>
  <c r="T34" i="30" s="1"/>
  <c r="R34" i="30"/>
  <c r="C35" i="30"/>
  <c r="D35" i="30"/>
  <c r="E35" i="30"/>
  <c r="T35" i="30" s="1"/>
  <c r="F35" i="30"/>
  <c r="G35" i="30"/>
  <c r="S35" i="30" s="1"/>
  <c r="H35" i="30"/>
  <c r="I35" i="30"/>
  <c r="J35" i="30"/>
  <c r="K35" i="30"/>
  <c r="L35" i="30"/>
  <c r="M35" i="30"/>
  <c r="N35" i="30"/>
  <c r="O35" i="30"/>
  <c r="R35" i="30" s="1"/>
  <c r="P35" i="30"/>
  <c r="Q35" i="30"/>
  <c r="C36" i="30"/>
  <c r="R36" i="30" s="1"/>
  <c r="D36" i="30"/>
  <c r="S36" i="30" s="1"/>
  <c r="E36" i="30"/>
  <c r="T36" i="30" s="1"/>
  <c r="F36" i="30"/>
  <c r="G36" i="30"/>
  <c r="H36" i="30"/>
  <c r="I36" i="30"/>
  <c r="J36" i="30"/>
  <c r="K36" i="30"/>
  <c r="L36" i="30"/>
  <c r="M36" i="30"/>
  <c r="N36" i="30"/>
  <c r="O36" i="30"/>
  <c r="P36" i="30"/>
  <c r="Q36" i="30"/>
  <c r="C37" i="30"/>
  <c r="D37" i="30"/>
  <c r="E37" i="30"/>
  <c r="F37" i="30"/>
  <c r="G37" i="30"/>
  <c r="H37" i="30"/>
  <c r="I37" i="30"/>
  <c r="J37" i="30"/>
  <c r="K37" i="30"/>
  <c r="L37" i="30"/>
  <c r="M37" i="30"/>
  <c r="N37" i="30"/>
  <c r="O37" i="30"/>
  <c r="P37" i="30"/>
  <c r="Q37" i="30"/>
  <c r="T37" i="30"/>
  <c r="C38" i="30"/>
  <c r="D38" i="30"/>
  <c r="S38" i="30" s="1"/>
  <c r="E38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T38" i="30"/>
  <c r="C31" i="7"/>
  <c r="D31" i="7"/>
  <c r="E31" i="7"/>
  <c r="C32" i="7"/>
  <c r="D32" i="7"/>
  <c r="E32" i="7"/>
  <c r="C33" i="7"/>
  <c r="D33" i="7"/>
  <c r="E33" i="7"/>
  <c r="C34" i="7"/>
  <c r="D34" i="7"/>
  <c r="E34" i="7"/>
  <c r="C35" i="7"/>
  <c r="D35" i="7"/>
  <c r="E35" i="7"/>
  <c r="C36" i="7"/>
  <c r="D36" i="7"/>
  <c r="E36" i="7"/>
  <c r="C37" i="7"/>
  <c r="D37" i="7"/>
  <c r="E37" i="7"/>
  <c r="C38" i="7"/>
  <c r="D38" i="7"/>
  <c r="E38" i="7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1" i="9"/>
  <c r="D31" i="9"/>
  <c r="E31" i="9"/>
  <c r="C32" i="9"/>
  <c r="D32" i="9"/>
  <c r="E32" i="9"/>
  <c r="C33" i="9"/>
  <c r="D33" i="9"/>
  <c r="E33" i="9"/>
  <c r="C34" i="9"/>
  <c r="D34" i="9"/>
  <c r="E34" i="9"/>
  <c r="C35" i="9"/>
  <c r="D35" i="9"/>
  <c r="E35" i="9"/>
  <c r="C36" i="9"/>
  <c r="D36" i="9"/>
  <c r="E36" i="9"/>
  <c r="C37" i="9"/>
  <c r="D37" i="9"/>
  <c r="E37" i="9"/>
  <c r="C38" i="9"/>
  <c r="D38" i="9"/>
  <c r="E38" i="9"/>
  <c r="C31" i="5"/>
  <c r="D31" i="5"/>
  <c r="E31" i="5"/>
  <c r="C32" i="5"/>
  <c r="D32" i="5"/>
  <c r="E32" i="5"/>
  <c r="C33" i="5"/>
  <c r="C33" i="30" s="1"/>
  <c r="D33" i="5"/>
  <c r="E33" i="5"/>
  <c r="C34" i="5"/>
  <c r="D34" i="5"/>
  <c r="E34" i="5"/>
  <c r="C35" i="5"/>
  <c r="D35" i="5"/>
  <c r="E35" i="5"/>
  <c r="C36" i="5"/>
  <c r="D36" i="5"/>
  <c r="E36" i="5"/>
  <c r="C37" i="5"/>
  <c r="D37" i="5"/>
  <c r="E37" i="5"/>
  <c r="C38" i="5"/>
  <c r="D38" i="5"/>
  <c r="E38" i="5"/>
  <c r="AD83" i="21"/>
  <c r="AE83" i="21"/>
  <c r="AC83" i="21"/>
  <c r="I114" i="21"/>
  <c r="H114" i="21"/>
  <c r="G114" i="21"/>
  <c r="F114" i="21"/>
  <c r="E114" i="21"/>
  <c r="E113" i="21"/>
  <c r="F113" i="21"/>
  <c r="G113" i="21"/>
  <c r="J113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O16" i="30"/>
  <c r="P16" i="30"/>
  <c r="Q16" i="30"/>
  <c r="S16" i="1" s="1"/>
  <c r="O17" i="30"/>
  <c r="Q17" i="1" s="1"/>
  <c r="P17" i="30"/>
  <c r="Q17" i="30"/>
  <c r="O18" i="30"/>
  <c r="P18" i="30"/>
  <c r="Q18" i="30"/>
  <c r="S18" i="1" s="1"/>
  <c r="O19" i="30"/>
  <c r="Q19" i="1" s="1"/>
  <c r="P19" i="30"/>
  <c r="Q19" i="30"/>
  <c r="O20" i="30"/>
  <c r="P20" i="30"/>
  <c r="Q20" i="30"/>
  <c r="O21" i="30"/>
  <c r="P21" i="30"/>
  <c r="Q21" i="30"/>
  <c r="O22" i="30"/>
  <c r="P22" i="30"/>
  <c r="R22" i="1" s="1"/>
  <c r="Q22" i="30"/>
  <c r="O23" i="30"/>
  <c r="P23" i="30"/>
  <c r="Q23" i="30"/>
  <c r="O24" i="30"/>
  <c r="P24" i="30"/>
  <c r="Q24" i="30"/>
  <c r="S24" i="1" s="1"/>
  <c r="O25" i="30"/>
  <c r="Q25" i="1" s="1"/>
  <c r="P25" i="30"/>
  <c r="Q25" i="30"/>
  <c r="O26" i="30"/>
  <c r="P26" i="30"/>
  <c r="Q26" i="30"/>
  <c r="O28" i="30"/>
  <c r="P28" i="30"/>
  <c r="Q28" i="30"/>
  <c r="O27" i="30"/>
  <c r="Q27" i="1" s="1"/>
  <c r="P27" i="30"/>
  <c r="R27" i="1" s="1"/>
  <c r="Q27" i="30"/>
  <c r="O29" i="30"/>
  <c r="P29" i="30"/>
  <c r="Q29" i="30"/>
  <c r="O30" i="30"/>
  <c r="P30" i="30"/>
  <c r="Q30" i="30"/>
  <c r="S30" i="1" s="1"/>
  <c r="C16" i="7"/>
  <c r="L16" i="30" s="1"/>
  <c r="D16" i="7"/>
  <c r="M16" i="30" s="1"/>
  <c r="E16" i="7"/>
  <c r="N16" i="30" s="1"/>
  <c r="C17" i="7"/>
  <c r="L17" i="30" s="1"/>
  <c r="N17" i="1" s="1"/>
  <c r="D17" i="7"/>
  <c r="M17" i="30" s="1"/>
  <c r="E17" i="7"/>
  <c r="N17" i="30" s="1"/>
  <c r="P17" i="1" s="1"/>
  <c r="C18" i="7"/>
  <c r="L18" i="30" s="1"/>
  <c r="D18" i="7"/>
  <c r="M18" i="30" s="1"/>
  <c r="E18" i="7"/>
  <c r="N18" i="30" s="1"/>
  <c r="P18" i="1" s="1"/>
  <c r="C19" i="7"/>
  <c r="L19" i="30" s="1"/>
  <c r="D19" i="7"/>
  <c r="M19" i="30" s="1"/>
  <c r="E19" i="7"/>
  <c r="N19" i="30" s="1"/>
  <c r="C20" i="7"/>
  <c r="L20" i="30" s="1"/>
  <c r="D20" i="7"/>
  <c r="M20" i="30" s="1"/>
  <c r="O20" i="1" s="1"/>
  <c r="E20" i="7"/>
  <c r="N20" i="30" s="1"/>
  <c r="C21" i="7"/>
  <c r="L21" i="30" s="1"/>
  <c r="N21" i="1" s="1"/>
  <c r="D21" i="7"/>
  <c r="M21" i="30" s="1"/>
  <c r="O21" i="1" s="1"/>
  <c r="E21" i="7"/>
  <c r="N21" i="30" s="1"/>
  <c r="P21" i="1" s="1"/>
  <c r="C22" i="7"/>
  <c r="L22" i="30" s="1"/>
  <c r="D22" i="7"/>
  <c r="M22" i="30" s="1"/>
  <c r="E22" i="7"/>
  <c r="N22" i="30" s="1"/>
  <c r="P22" i="1" s="1"/>
  <c r="C23" i="7"/>
  <c r="L23" i="30" s="1"/>
  <c r="D23" i="7"/>
  <c r="M23" i="30" s="1"/>
  <c r="E23" i="7"/>
  <c r="N23" i="30" s="1"/>
  <c r="C24" i="7"/>
  <c r="L24" i="30" s="1"/>
  <c r="D24" i="7"/>
  <c r="M24" i="30" s="1"/>
  <c r="E24" i="7"/>
  <c r="N24" i="30" s="1"/>
  <c r="C25" i="7"/>
  <c r="L25" i="30" s="1"/>
  <c r="N25" i="1" s="1"/>
  <c r="D25" i="7"/>
  <c r="M25" i="30" s="1"/>
  <c r="E25" i="7"/>
  <c r="N25" i="30" s="1"/>
  <c r="P25" i="1" s="1"/>
  <c r="C26" i="7"/>
  <c r="L26" i="30" s="1"/>
  <c r="D26" i="7"/>
  <c r="M26" i="30" s="1"/>
  <c r="E26" i="7"/>
  <c r="N26" i="30" s="1"/>
  <c r="P26" i="1" s="1"/>
  <c r="C28" i="7"/>
  <c r="L28" i="30" s="1"/>
  <c r="N28" i="1" s="1"/>
  <c r="D28" i="7"/>
  <c r="M28" i="30" s="1"/>
  <c r="O28" i="1" s="1"/>
  <c r="E28" i="7"/>
  <c r="N28" i="30" s="1"/>
  <c r="C27" i="7"/>
  <c r="L27" i="30" s="1"/>
  <c r="D27" i="7"/>
  <c r="M27" i="30" s="1"/>
  <c r="E27" i="7"/>
  <c r="N27" i="30" s="1"/>
  <c r="C29" i="7"/>
  <c r="L29" i="30" s="1"/>
  <c r="D29" i="7"/>
  <c r="M29" i="30" s="1"/>
  <c r="O29" i="1" s="1"/>
  <c r="E29" i="7"/>
  <c r="N29" i="30" s="1"/>
  <c r="C30" i="7"/>
  <c r="L30" i="30" s="1"/>
  <c r="D30" i="7"/>
  <c r="M30" i="30" s="1"/>
  <c r="E30" i="7"/>
  <c r="N30" i="30" s="1"/>
  <c r="P30" i="1" s="1"/>
  <c r="E4" i="7"/>
  <c r="N4" i="30" s="1"/>
  <c r="AS6" i="10" s="1"/>
  <c r="AV6" i="10" s="1"/>
  <c r="P4" i="1" s="1"/>
  <c r="E5" i="7"/>
  <c r="N5" i="30" s="1"/>
  <c r="E6" i="7"/>
  <c r="N6" i="30" s="1"/>
  <c r="P6" i="1" s="1"/>
  <c r="E7" i="7"/>
  <c r="N7" i="30" s="1"/>
  <c r="E8" i="7"/>
  <c r="N8" i="30" s="1"/>
  <c r="E9" i="7"/>
  <c r="N9" i="30" s="1"/>
  <c r="P9" i="1" s="1"/>
  <c r="E10" i="7"/>
  <c r="N10" i="30" s="1"/>
  <c r="E11" i="7"/>
  <c r="N11" i="30" s="1"/>
  <c r="E12" i="7"/>
  <c r="N12" i="30" s="1"/>
  <c r="E13" i="7"/>
  <c r="N13" i="30" s="1"/>
  <c r="E14" i="7"/>
  <c r="N14" i="30" s="1"/>
  <c r="P14" i="1" s="1"/>
  <c r="E15" i="7"/>
  <c r="N15" i="30" s="1"/>
  <c r="D5" i="7"/>
  <c r="M5" i="30" s="1"/>
  <c r="D4" i="7"/>
  <c r="C6" i="8"/>
  <c r="D6" i="8"/>
  <c r="J6" i="30" s="1"/>
  <c r="L6" i="1" s="1"/>
  <c r="E6" i="8"/>
  <c r="K6" i="30" s="1"/>
  <c r="C7" i="8"/>
  <c r="I7" i="30" s="1"/>
  <c r="D7" i="8"/>
  <c r="J7" i="30" s="1"/>
  <c r="L7" i="1" s="1"/>
  <c r="E7" i="8"/>
  <c r="K7" i="30" s="1"/>
  <c r="M7" i="1" s="1"/>
  <c r="C8" i="8"/>
  <c r="I8" i="30" s="1"/>
  <c r="D8" i="8"/>
  <c r="J8" i="30" s="1"/>
  <c r="E8" i="8"/>
  <c r="K8" i="30" s="1"/>
  <c r="C9" i="8"/>
  <c r="I9" i="30" s="1"/>
  <c r="D9" i="8"/>
  <c r="J9" i="30" s="1"/>
  <c r="E9" i="8"/>
  <c r="K9" i="30" s="1"/>
  <c r="C10" i="8"/>
  <c r="I10" i="30" s="1"/>
  <c r="K10" i="1" s="1"/>
  <c r="D10" i="8"/>
  <c r="J10" i="30" s="1"/>
  <c r="E10" i="8"/>
  <c r="C11" i="8"/>
  <c r="I11" i="30" s="1"/>
  <c r="D11" i="8"/>
  <c r="J11" i="30" s="1"/>
  <c r="E11" i="8"/>
  <c r="K11" i="30" s="1"/>
  <c r="M11" i="1" s="1"/>
  <c r="C12" i="8"/>
  <c r="I12" i="30" s="1"/>
  <c r="D12" i="8"/>
  <c r="E12" i="8"/>
  <c r="K12" i="30" s="1"/>
  <c r="C13" i="8"/>
  <c r="I13" i="30" s="1"/>
  <c r="K13" i="1" s="1"/>
  <c r="D13" i="8"/>
  <c r="J13" i="30" s="1"/>
  <c r="L13" i="1" s="1"/>
  <c r="E13" i="8"/>
  <c r="C14" i="8"/>
  <c r="D14" i="8"/>
  <c r="J14" i="30" s="1"/>
  <c r="L14" i="1" s="1"/>
  <c r="E14" i="8"/>
  <c r="K14" i="30" s="1"/>
  <c r="C15" i="8"/>
  <c r="I15" i="30" s="1"/>
  <c r="D15" i="8"/>
  <c r="E15" i="8"/>
  <c r="K15" i="30" s="1"/>
  <c r="C16" i="8"/>
  <c r="I16" i="30" s="1"/>
  <c r="D16" i="8"/>
  <c r="J16" i="30" s="1"/>
  <c r="E16" i="8"/>
  <c r="K16" i="30" s="1"/>
  <c r="C17" i="8"/>
  <c r="I17" i="30" s="1"/>
  <c r="D17" i="8"/>
  <c r="J17" i="30" s="1"/>
  <c r="E17" i="8"/>
  <c r="K17" i="30" s="1"/>
  <c r="C18" i="8"/>
  <c r="I18" i="30" s="1"/>
  <c r="D18" i="8"/>
  <c r="J18" i="30" s="1"/>
  <c r="E18" i="8"/>
  <c r="K18" i="30" s="1"/>
  <c r="M18" i="1" s="1"/>
  <c r="C19" i="8"/>
  <c r="I19" i="30" s="1"/>
  <c r="D19" i="8"/>
  <c r="J19" i="30" s="1"/>
  <c r="E19" i="8"/>
  <c r="K19" i="30" s="1"/>
  <c r="C20" i="8"/>
  <c r="I20" i="30" s="1"/>
  <c r="D20" i="8"/>
  <c r="J20" i="30" s="1"/>
  <c r="L20" i="1" s="1"/>
  <c r="E20" i="8"/>
  <c r="K20" i="30" s="1"/>
  <c r="M20" i="1" s="1"/>
  <c r="C21" i="8"/>
  <c r="I21" i="30" s="1"/>
  <c r="D21" i="8"/>
  <c r="J21" i="30" s="1"/>
  <c r="E21" i="8"/>
  <c r="K21" i="30" s="1"/>
  <c r="C22" i="8"/>
  <c r="I22" i="30" s="1"/>
  <c r="D22" i="8"/>
  <c r="J22" i="30" s="1"/>
  <c r="L22" i="1" s="1"/>
  <c r="E22" i="8"/>
  <c r="K22" i="30" s="1"/>
  <c r="C23" i="8"/>
  <c r="I23" i="30" s="1"/>
  <c r="D23" i="8"/>
  <c r="J23" i="30" s="1"/>
  <c r="L23" i="1" s="1"/>
  <c r="E23" i="8"/>
  <c r="K23" i="30" s="1"/>
  <c r="M23" i="1" s="1"/>
  <c r="C24" i="8"/>
  <c r="I24" i="30" s="1"/>
  <c r="D24" i="8"/>
  <c r="J24" i="30" s="1"/>
  <c r="E24" i="8"/>
  <c r="K24" i="30" s="1"/>
  <c r="C25" i="8"/>
  <c r="I25" i="30" s="1"/>
  <c r="D25" i="8"/>
  <c r="J25" i="30" s="1"/>
  <c r="E25" i="8"/>
  <c r="K25" i="30" s="1"/>
  <c r="C26" i="8"/>
  <c r="I26" i="30" s="1"/>
  <c r="K26" i="1" s="1"/>
  <c r="D26" i="8"/>
  <c r="J26" i="30" s="1"/>
  <c r="E26" i="8"/>
  <c r="K26" i="30" s="1"/>
  <c r="M26" i="1" s="1"/>
  <c r="C28" i="8"/>
  <c r="I28" i="30" s="1"/>
  <c r="D28" i="8"/>
  <c r="J28" i="30" s="1"/>
  <c r="L28" i="1" s="1"/>
  <c r="E28" i="8"/>
  <c r="K28" i="30" s="1"/>
  <c r="M28" i="1" s="1"/>
  <c r="C27" i="8"/>
  <c r="I27" i="30" s="1"/>
  <c r="D27" i="8"/>
  <c r="J27" i="30" s="1"/>
  <c r="E27" i="8"/>
  <c r="K27" i="30" s="1"/>
  <c r="C29" i="8"/>
  <c r="I29" i="30" s="1"/>
  <c r="K29" i="1" s="1"/>
  <c r="D29" i="8"/>
  <c r="J29" i="30" s="1"/>
  <c r="L29" i="1" s="1"/>
  <c r="E29" i="8"/>
  <c r="K29" i="30" s="1"/>
  <c r="C30" i="8"/>
  <c r="I30" i="30" s="1"/>
  <c r="D30" i="8"/>
  <c r="J30" i="30" s="1"/>
  <c r="L30" i="1" s="1"/>
  <c r="E30" i="8"/>
  <c r="K30" i="30" s="1"/>
  <c r="D5" i="8"/>
  <c r="J5" i="30" s="1"/>
  <c r="E5" i="8"/>
  <c r="K5" i="30" s="1"/>
  <c r="C5" i="8"/>
  <c r="I5" i="30" s="1"/>
  <c r="J12" i="30"/>
  <c r="L12" i="1" s="1"/>
  <c r="K10" i="30"/>
  <c r="D4" i="8"/>
  <c r="E4" i="8"/>
  <c r="K4" i="30" s="1"/>
  <c r="AG6" i="10" s="1"/>
  <c r="AJ6" i="10" s="1"/>
  <c r="M4" i="1" s="1"/>
  <c r="C16" i="9"/>
  <c r="F16" i="30" s="1"/>
  <c r="H16" i="1" s="1"/>
  <c r="D16" i="9"/>
  <c r="G16" i="30" s="1"/>
  <c r="E16" i="9"/>
  <c r="H16" i="30" s="1"/>
  <c r="C17" i="9"/>
  <c r="F17" i="30" s="1"/>
  <c r="H17" i="1" s="1"/>
  <c r="D17" i="9"/>
  <c r="G17" i="30" s="1"/>
  <c r="I17" i="1" s="1"/>
  <c r="E17" i="9"/>
  <c r="H17" i="30" s="1"/>
  <c r="C18" i="9"/>
  <c r="F18" i="30" s="1"/>
  <c r="D18" i="9"/>
  <c r="G18" i="30" s="1"/>
  <c r="E18" i="9"/>
  <c r="H18" i="30" s="1"/>
  <c r="C19" i="9"/>
  <c r="F19" i="30" s="1"/>
  <c r="D19" i="9"/>
  <c r="G19" i="30" s="1"/>
  <c r="E19" i="9"/>
  <c r="H19" i="30" s="1"/>
  <c r="C20" i="9"/>
  <c r="F20" i="30" s="1"/>
  <c r="H20" i="1" s="1"/>
  <c r="D20" i="9"/>
  <c r="G20" i="30" s="1"/>
  <c r="I20" i="1" s="1"/>
  <c r="E20" i="9"/>
  <c r="H20" i="30" s="1"/>
  <c r="C21" i="9"/>
  <c r="F21" i="30" s="1"/>
  <c r="D21" i="9"/>
  <c r="G21" i="30" s="1"/>
  <c r="E21" i="9"/>
  <c r="H21" i="30" s="1"/>
  <c r="J21" i="1" s="1"/>
  <c r="C22" i="9"/>
  <c r="F22" i="30" s="1"/>
  <c r="D22" i="9"/>
  <c r="G22" i="30" s="1"/>
  <c r="I22" i="1" s="1"/>
  <c r="E22" i="9"/>
  <c r="H22" i="30" s="1"/>
  <c r="J22" i="1" s="1"/>
  <c r="C23" i="9"/>
  <c r="F23" i="30" s="1"/>
  <c r="D23" i="9"/>
  <c r="G23" i="30" s="1"/>
  <c r="E23" i="9"/>
  <c r="H23" i="30" s="1"/>
  <c r="C24" i="9"/>
  <c r="F24" i="30" s="1"/>
  <c r="D24" i="9"/>
  <c r="G24" i="30" s="1"/>
  <c r="E24" i="9"/>
  <c r="H24" i="30" s="1"/>
  <c r="C25" i="9"/>
  <c r="F25" i="30" s="1"/>
  <c r="H25" i="1" s="1"/>
  <c r="D25" i="9"/>
  <c r="G25" i="30" s="1"/>
  <c r="I25" i="1" s="1"/>
  <c r="E25" i="9"/>
  <c r="H25" i="30" s="1"/>
  <c r="J25" i="1" s="1"/>
  <c r="C26" i="9"/>
  <c r="F26" i="30" s="1"/>
  <c r="D26" i="9"/>
  <c r="G26" i="30" s="1"/>
  <c r="E26" i="9"/>
  <c r="H26" i="30" s="1"/>
  <c r="J26" i="1" s="1"/>
  <c r="C28" i="9"/>
  <c r="F28" i="30" s="1"/>
  <c r="H28" i="1" s="1"/>
  <c r="D28" i="9"/>
  <c r="G28" i="30" s="1"/>
  <c r="I28" i="1" s="1"/>
  <c r="E28" i="9"/>
  <c r="H28" i="30" s="1"/>
  <c r="C27" i="9"/>
  <c r="F27" i="30" s="1"/>
  <c r="D27" i="9"/>
  <c r="G27" i="30" s="1"/>
  <c r="E27" i="9"/>
  <c r="H27" i="30" s="1"/>
  <c r="C29" i="9"/>
  <c r="F29" i="30" s="1"/>
  <c r="D29" i="9"/>
  <c r="G29" i="30" s="1"/>
  <c r="E29" i="9"/>
  <c r="H29" i="30" s="1"/>
  <c r="C30" i="9"/>
  <c r="F30" i="30" s="1"/>
  <c r="D30" i="9"/>
  <c r="G30" i="30" s="1"/>
  <c r="I30" i="1" s="1"/>
  <c r="E30" i="9"/>
  <c r="H30" i="30" s="1"/>
  <c r="J30" i="1" s="1"/>
  <c r="C16" i="5"/>
  <c r="C16" i="30" s="1"/>
  <c r="G18" i="10" s="1"/>
  <c r="J18" i="10" s="1"/>
  <c r="D16" i="5"/>
  <c r="D16" i="30" s="1"/>
  <c r="F16" i="1" s="1"/>
  <c r="E16" i="5"/>
  <c r="E16" i="30" s="1"/>
  <c r="C17" i="5"/>
  <c r="C17" i="30" s="1"/>
  <c r="G19" i="10" s="1"/>
  <c r="J19" i="10" s="1"/>
  <c r="D17" i="5"/>
  <c r="D17" i="30" s="1"/>
  <c r="F17" i="1" s="1"/>
  <c r="E17" i="5"/>
  <c r="E17" i="30" s="1"/>
  <c r="G17" i="1" s="1"/>
  <c r="C18" i="5"/>
  <c r="C18" i="30" s="1"/>
  <c r="D18" i="5"/>
  <c r="D18" i="30" s="1"/>
  <c r="E18" i="5"/>
  <c r="E18" i="30" s="1"/>
  <c r="C19" i="5"/>
  <c r="C19" i="30" s="1"/>
  <c r="D19" i="5"/>
  <c r="D19" i="30" s="1"/>
  <c r="E19" i="5"/>
  <c r="E19" i="30" s="1"/>
  <c r="C20" i="5"/>
  <c r="C20" i="30" s="1"/>
  <c r="G22" i="10" s="1"/>
  <c r="J22" i="10" s="1"/>
  <c r="D20" i="5"/>
  <c r="D20" i="30" s="1"/>
  <c r="E20" i="5"/>
  <c r="E20" i="30" s="1"/>
  <c r="C21" i="5"/>
  <c r="C21" i="30" s="1"/>
  <c r="G23" i="10" s="1"/>
  <c r="J23" i="10" s="1"/>
  <c r="D21" i="5"/>
  <c r="D21" i="30" s="1"/>
  <c r="E21" i="5"/>
  <c r="E21" i="30" s="1"/>
  <c r="C22" i="5"/>
  <c r="C22" i="30" s="1"/>
  <c r="D22" i="5"/>
  <c r="D22" i="30" s="1"/>
  <c r="E22" i="5"/>
  <c r="E22" i="30" s="1"/>
  <c r="C23" i="5"/>
  <c r="C23" i="30" s="1"/>
  <c r="D23" i="5"/>
  <c r="D23" i="30" s="1"/>
  <c r="E23" i="5"/>
  <c r="E23" i="30" s="1"/>
  <c r="C24" i="5"/>
  <c r="C24" i="30" s="1"/>
  <c r="D24" i="5"/>
  <c r="D24" i="30" s="1"/>
  <c r="E24" i="5"/>
  <c r="E24" i="30" s="1"/>
  <c r="C25" i="5"/>
  <c r="C25" i="30" s="1"/>
  <c r="G27" i="10" s="1"/>
  <c r="J27" i="10" s="1"/>
  <c r="D25" i="5"/>
  <c r="D25" i="30" s="1"/>
  <c r="F25" i="1" s="1"/>
  <c r="E25" i="5"/>
  <c r="E25" i="30" s="1"/>
  <c r="G25" i="1" s="1"/>
  <c r="C26" i="5"/>
  <c r="C26" i="30" s="1"/>
  <c r="G28" i="10" s="1"/>
  <c r="J28" i="10" s="1"/>
  <c r="D26" i="5"/>
  <c r="D26" i="30" s="1"/>
  <c r="H28" i="10" s="1"/>
  <c r="K28" i="10" s="1"/>
  <c r="E26" i="5"/>
  <c r="E26" i="30" s="1"/>
  <c r="C28" i="5"/>
  <c r="C28" i="30" s="1"/>
  <c r="D28" i="5"/>
  <c r="D28" i="30" s="1"/>
  <c r="F28" i="1" s="1"/>
  <c r="E28" i="5"/>
  <c r="E28" i="30" s="1"/>
  <c r="C27" i="5"/>
  <c r="C27" i="30" s="1"/>
  <c r="D27" i="5"/>
  <c r="D27" i="30" s="1"/>
  <c r="E27" i="5"/>
  <c r="E27" i="30" s="1"/>
  <c r="C29" i="5"/>
  <c r="C29" i="30" s="1"/>
  <c r="D29" i="5"/>
  <c r="D29" i="30" s="1"/>
  <c r="E29" i="5"/>
  <c r="E29" i="30" s="1"/>
  <c r="C30" i="5"/>
  <c r="C30" i="30" s="1"/>
  <c r="D30" i="5"/>
  <c r="D30" i="30" s="1"/>
  <c r="E30" i="5"/>
  <c r="E30" i="30" s="1"/>
  <c r="O5" i="30"/>
  <c r="P5" i="30"/>
  <c r="Q5" i="30"/>
  <c r="O6" i="30"/>
  <c r="P6" i="30"/>
  <c r="R6" i="1" s="1"/>
  <c r="Q6" i="30"/>
  <c r="S6" i="1" s="1"/>
  <c r="O7" i="30"/>
  <c r="P7" i="30"/>
  <c r="Q7" i="30"/>
  <c r="O8" i="30"/>
  <c r="P8" i="30"/>
  <c r="Q8" i="30"/>
  <c r="S8" i="1" s="1"/>
  <c r="O9" i="30"/>
  <c r="Q9" i="1" s="1"/>
  <c r="P9" i="30"/>
  <c r="Q9" i="30"/>
  <c r="O10" i="30"/>
  <c r="P10" i="30"/>
  <c r="Q10" i="30"/>
  <c r="O11" i="30"/>
  <c r="Q11" i="1" s="1"/>
  <c r="P11" i="30"/>
  <c r="R11" i="1" s="1"/>
  <c r="Q11" i="30"/>
  <c r="O12" i="30"/>
  <c r="P12" i="30"/>
  <c r="Q12" i="30"/>
  <c r="K13" i="30"/>
  <c r="O13" i="30"/>
  <c r="P13" i="30"/>
  <c r="Q13" i="30"/>
  <c r="O14" i="30"/>
  <c r="P14" i="30"/>
  <c r="Q14" i="30"/>
  <c r="S14" i="1" s="1"/>
  <c r="O15" i="30"/>
  <c r="P15" i="30"/>
  <c r="Q15" i="30"/>
  <c r="P4" i="30"/>
  <c r="BD6" i="10" s="1"/>
  <c r="Q4" i="30"/>
  <c r="BE6" i="10" s="1"/>
  <c r="BH6" i="10" s="1"/>
  <c r="S4" i="1" s="1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D15" i="7"/>
  <c r="M15" i="30" s="1"/>
  <c r="C15" i="7"/>
  <c r="L15" i="30" s="1"/>
  <c r="D14" i="7"/>
  <c r="M14" i="30" s="1"/>
  <c r="C14" i="7"/>
  <c r="L14" i="30" s="1"/>
  <c r="D13" i="7"/>
  <c r="M13" i="30" s="1"/>
  <c r="O13" i="1" s="1"/>
  <c r="C13" i="7"/>
  <c r="L13" i="30" s="1"/>
  <c r="N13" i="1" s="1"/>
  <c r="D12" i="7"/>
  <c r="M12" i="30" s="1"/>
  <c r="C12" i="7"/>
  <c r="L12" i="30" s="1"/>
  <c r="N12" i="1" s="1"/>
  <c r="D11" i="7"/>
  <c r="M11" i="30" s="1"/>
  <c r="C11" i="7"/>
  <c r="L11" i="30" s="1"/>
  <c r="D10" i="7"/>
  <c r="M10" i="30" s="1"/>
  <c r="C10" i="7"/>
  <c r="L10" i="30" s="1"/>
  <c r="D9" i="7"/>
  <c r="M9" i="30" s="1"/>
  <c r="C9" i="7"/>
  <c r="L9" i="30" s="1"/>
  <c r="N9" i="1" s="1"/>
  <c r="D8" i="7"/>
  <c r="M8" i="30" s="1"/>
  <c r="C8" i="7"/>
  <c r="L8" i="30" s="1"/>
  <c r="D7" i="7"/>
  <c r="M7" i="30" s="1"/>
  <c r="C7" i="7"/>
  <c r="L7" i="30" s="1"/>
  <c r="D6" i="7"/>
  <c r="M6" i="30" s="1"/>
  <c r="C6" i="7"/>
  <c r="L6" i="30" s="1"/>
  <c r="C5" i="7"/>
  <c r="L5" i="30" s="1"/>
  <c r="N5" i="1" s="1"/>
  <c r="C4" i="7"/>
  <c r="W39" i="8"/>
  <c r="T39" i="8"/>
  <c r="Q39" i="8"/>
  <c r="N39" i="8"/>
  <c r="K39" i="8"/>
  <c r="H39" i="8"/>
  <c r="G39" i="8"/>
  <c r="I39" i="8"/>
  <c r="J39" i="8"/>
  <c r="L39" i="8"/>
  <c r="M39" i="8"/>
  <c r="O39" i="8"/>
  <c r="P39" i="8"/>
  <c r="R39" i="8"/>
  <c r="S39" i="8"/>
  <c r="U39" i="8"/>
  <c r="V39" i="8"/>
  <c r="C5" i="9"/>
  <c r="F5" i="30" s="1"/>
  <c r="D5" i="9"/>
  <c r="G5" i="30" s="1"/>
  <c r="E5" i="9"/>
  <c r="H5" i="30" s="1"/>
  <c r="C6" i="9"/>
  <c r="F6" i="30" s="1"/>
  <c r="D6" i="9"/>
  <c r="G6" i="30" s="1"/>
  <c r="I6" i="1" s="1"/>
  <c r="E6" i="9"/>
  <c r="H6" i="30" s="1"/>
  <c r="J6" i="1" s="1"/>
  <c r="C7" i="9"/>
  <c r="F7" i="30" s="1"/>
  <c r="H7" i="1" s="1"/>
  <c r="D7" i="9"/>
  <c r="G7" i="30" s="1"/>
  <c r="E7" i="9"/>
  <c r="H7" i="30" s="1"/>
  <c r="C8" i="9"/>
  <c r="F8" i="30" s="1"/>
  <c r="D8" i="9"/>
  <c r="G8" i="30" s="1"/>
  <c r="E8" i="9"/>
  <c r="H8" i="30" s="1"/>
  <c r="C9" i="9"/>
  <c r="F9" i="30" s="1"/>
  <c r="H9" i="1" s="1"/>
  <c r="D9" i="9"/>
  <c r="G9" i="30" s="1"/>
  <c r="I9" i="1" s="1"/>
  <c r="E9" i="9"/>
  <c r="H9" i="30" s="1"/>
  <c r="C10" i="9"/>
  <c r="F10" i="30" s="1"/>
  <c r="D10" i="9"/>
  <c r="G10" i="30" s="1"/>
  <c r="E10" i="9"/>
  <c r="H10" i="30" s="1"/>
  <c r="C11" i="9"/>
  <c r="F11" i="30" s="1"/>
  <c r="D11" i="9"/>
  <c r="G11" i="30" s="1"/>
  <c r="E11" i="9"/>
  <c r="H11" i="30" s="1"/>
  <c r="C12" i="9"/>
  <c r="F12" i="30" s="1"/>
  <c r="H12" i="1" s="1"/>
  <c r="D12" i="9"/>
  <c r="G12" i="30" s="1"/>
  <c r="I12" i="1" s="1"/>
  <c r="E12" i="9"/>
  <c r="H12" i="30" s="1"/>
  <c r="C13" i="9"/>
  <c r="F13" i="30" s="1"/>
  <c r="D13" i="9"/>
  <c r="G13" i="30" s="1"/>
  <c r="E13" i="9"/>
  <c r="H13" i="30" s="1"/>
  <c r="J13" i="1" s="1"/>
  <c r="C14" i="9"/>
  <c r="F14" i="30" s="1"/>
  <c r="D14" i="9"/>
  <c r="G14" i="30" s="1"/>
  <c r="I14" i="1" s="1"/>
  <c r="E14" i="9"/>
  <c r="H14" i="30" s="1"/>
  <c r="J14" i="1" s="1"/>
  <c r="C15" i="9"/>
  <c r="F15" i="30" s="1"/>
  <c r="D15" i="9"/>
  <c r="G15" i="30" s="1"/>
  <c r="E15" i="9"/>
  <c r="H15" i="30" s="1"/>
  <c r="D4" i="9"/>
  <c r="G4" i="30" s="1"/>
  <c r="T6" i="10" s="1"/>
  <c r="E4" i="9"/>
  <c r="H4" i="30" s="1"/>
  <c r="U6" i="10" s="1"/>
  <c r="X6" i="10" s="1"/>
  <c r="J4" i="1" s="1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AV39" i="9"/>
  <c r="AW39" i="9"/>
  <c r="AX39" i="9"/>
  <c r="C5" i="5"/>
  <c r="C5" i="30" s="1"/>
  <c r="D5" i="5"/>
  <c r="D5" i="30" s="1"/>
  <c r="E5" i="5"/>
  <c r="E5" i="30" s="1"/>
  <c r="C6" i="5"/>
  <c r="C6" i="30" s="1"/>
  <c r="D6" i="5"/>
  <c r="D6" i="30" s="1"/>
  <c r="E6" i="5"/>
  <c r="E6" i="30" s="1"/>
  <c r="C7" i="5"/>
  <c r="C7" i="30" s="1"/>
  <c r="D7" i="5"/>
  <c r="D7" i="30" s="1"/>
  <c r="F7" i="1" s="1"/>
  <c r="E7" i="5"/>
  <c r="E7" i="30" s="1"/>
  <c r="I9" i="10" s="1"/>
  <c r="L9" i="10" s="1"/>
  <c r="C8" i="5"/>
  <c r="C8" i="30" s="1"/>
  <c r="G10" i="10" s="1"/>
  <c r="J10" i="10" s="1"/>
  <c r="D8" i="5"/>
  <c r="D8" i="30" s="1"/>
  <c r="E8" i="5"/>
  <c r="E8" i="30" s="1"/>
  <c r="C9" i="5"/>
  <c r="C9" i="30" s="1"/>
  <c r="G11" i="10" s="1"/>
  <c r="J11" i="10" s="1"/>
  <c r="D9" i="5"/>
  <c r="D9" i="30" s="1"/>
  <c r="F9" i="1" s="1"/>
  <c r="E9" i="5"/>
  <c r="E9" i="30" s="1"/>
  <c r="C10" i="5"/>
  <c r="C10" i="30" s="1"/>
  <c r="D10" i="5"/>
  <c r="D10" i="30" s="1"/>
  <c r="E10" i="5"/>
  <c r="E10" i="30" s="1"/>
  <c r="C11" i="5"/>
  <c r="C11" i="30" s="1"/>
  <c r="G13" i="10" s="1"/>
  <c r="J13" i="10" s="1"/>
  <c r="D11" i="5"/>
  <c r="D11" i="30" s="1"/>
  <c r="E11" i="5"/>
  <c r="E11" i="30" s="1"/>
  <c r="C12" i="5"/>
  <c r="C12" i="30" s="1"/>
  <c r="D12" i="5"/>
  <c r="D12" i="30" s="1"/>
  <c r="F12" i="1" s="1"/>
  <c r="E12" i="5"/>
  <c r="E12" i="30" s="1"/>
  <c r="C13" i="5"/>
  <c r="C13" i="30" s="1"/>
  <c r="G15" i="10" s="1"/>
  <c r="J15" i="10" s="1"/>
  <c r="D13" i="5"/>
  <c r="D13" i="30" s="1"/>
  <c r="E13" i="5"/>
  <c r="E13" i="30" s="1"/>
  <c r="C14" i="5"/>
  <c r="C14" i="30" s="1"/>
  <c r="D14" i="5"/>
  <c r="D14" i="30" s="1"/>
  <c r="E14" i="5"/>
  <c r="E14" i="30" s="1"/>
  <c r="C15" i="5"/>
  <c r="C15" i="30" s="1"/>
  <c r="G17" i="10" s="1"/>
  <c r="J17" i="10" s="1"/>
  <c r="D15" i="5"/>
  <c r="D15" i="30" s="1"/>
  <c r="E15" i="5"/>
  <c r="E15" i="30" s="1"/>
  <c r="D4" i="5"/>
  <c r="D4" i="30" s="1"/>
  <c r="E4" i="5"/>
  <c r="E4" i="30" s="1"/>
  <c r="C4" i="5"/>
  <c r="DO39" i="5"/>
  <c r="DN39" i="5"/>
  <c r="DM39" i="5"/>
  <c r="DL39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O4" i="30"/>
  <c r="BC6" i="10" s="1"/>
  <c r="E3" i="4"/>
  <c r="F39" i="8"/>
  <c r="C4" i="9"/>
  <c r="F4" i="30" s="1"/>
  <c r="S6" i="10" s="1"/>
  <c r="F39" i="9"/>
  <c r="G39" i="5"/>
  <c r="F39" i="5"/>
  <c r="I6" i="30"/>
  <c r="I14" i="30"/>
  <c r="J15" i="30"/>
  <c r="L15" i="1" s="1"/>
  <c r="G7" i="1" l="1"/>
  <c r="R33" i="30"/>
  <c r="G35" i="10"/>
  <c r="J35" i="10" s="1"/>
  <c r="E33" i="1" s="1"/>
  <c r="T33" i="1" s="1"/>
  <c r="E7" i="1"/>
  <c r="G38" i="10"/>
  <c r="J38" i="10" s="1"/>
  <c r="E36" i="1" s="1"/>
  <c r="T36" i="1" s="1"/>
  <c r="E12" i="1"/>
  <c r="T12" i="1" s="1"/>
  <c r="AQ33" i="10"/>
  <c r="AT33" i="10" s="1"/>
  <c r="N31" i="1" s="1"/>
  <c r="T31" i="1" s="1"/>
  <c r="R17" i="1"/>
  <c r="Q6" i="1"/>
  <c r="S5" i="1"/>
  <c r="R30" i="1"/>
  <c r="R28" i="1"/>
  <c r="Q22" i="1"/>
  <c r="S28" i="1"/>
  <c r="S15" i="1"/>
  <c r="S10" i="1"/>
  <c r="R5" i="1"/>
  <c r="Q28" i="1"/>
  <c r="S21" i="1"/>
  <c r="R16" i="1"/>
  <c r="R15" i="1"/>
  <c r="R10" i="1"/>
  <c r="Q5" i="1"/>
  <c r="R21" i="1"/>
  <c r="Q16" i="1"/>
  <c r="Q15" i="1"/>
  <c r="R29" i="1"/>
  <c r="Q21" i="1"/>
  <c r="S11" i="1"/>
  <c r="S20" i="1"/>
  <c r="S9" i="1"/>
  <c r="R14" i="1"/>
  <c r="R9" i="1"/>
  <c r="R20" i="1"/>
  <c r="Q10" i="1"/>
  <c r="Q26" i="1"/>
  <c r="Q14" i="1"/>
  <c r="Q20" i="1"/>
  <c r="S13" i="1"/>
  <c r="R13" i="1"/>
  <c r="R8" i="1"/>
  <c r="Q13" i="1"/>
  <c r="Q8" i="1"/>
  <c r="R24" i="1"/>
  <c r="S12" i="1"/>
  <c r="R7" i="1"/>
  <c r="S23" i="1"/>
  <c r="R18" i="1"/>
  <c r="R12" i="1"/>
  <c r="Q18" i="1"/>
  <c r="S7" i="1"/>
  <c r="Q24" i="1"/>
  <c r="Q7" i="1"/>
  <c r="R23" i="1"/>
  <c r="Q12" i="1"/>
  <c r="Q23" i="1"/>
  <c r="S17" i="1"/>
  <c r="O8" i="1"/>
  <c r="O30" i="1"/>
  <c r="P24" i="1"/>
  <c r="N30" i="1"/>
  <c r="O19" i="1"/>
  <c r="O9" i="1"/>
  <c r="O5" i="1"/>
  <c r="P29" i="1"/>
  <c r="O24" i="1"/>
  <c r="N19" i="1"/>
  <c r="N24" i="1"/>
  <c r="P23" i="1"/>
  <c r="O18" i="1"/>
  <c r="N10" i="1"/>
  <c r="P15" i="1"/>
  <c r="O10" i="1"/>
  <c r="N29" i="1"/>
  <c r="N11" i="1"/>
  <c r="P13" i="1"/>
  <c r="P27" i="1"/>
  <c r="O23" i="1"/>
  <c r="N18" i="1"/>
  <c r="P16" i="1"/>
  <c r="P19" i="1"/>
  <c r="O11" i="1"/>
  <c r="P12" i="1"/>
  <c r="O27" i="1"/>
  <c r="N23" i="1"/>
  <c r="P11" i="1"/>
  <c r="O17" i="1"/>
  <c r="P8" i="1"/>
  <c r="O12" i="1"/>
  <c r="P10" i="1"/>
  <c r="P28" i="1"/>
  <c r="O22" i="1"/>
  <c r="N22" i="1"/>
  <c r="N14" i="1"/>
  <c r="P7" i="1"/>
  <c r="N16" i="1"/>
  <c r="O16" i="1"/>
  <c r="N6" i="1"/>
  <c r="O14" i="1"/>
  <c r="N7" i="1"/>
  <c r="N15" i="1"/>
  <c r="P5" i="1"/>
  <c r="N26" i="1"/>
  <c r="P20" i="1"/>
  <c r="O6" i="1"/>
  <c r="U6" i="1" s="1"/>
  <c r="O26" i="1"/>
  <c r="O7" i="1"/>
  <c r="O15" i="1"/>
  <c r="N8" i="1"/>
  <c r="O25" i="1"/>
  <c r="N20" i="1"/>
  <c r="K12" i="1"/>
  <c r="M5" i="1"/>
  <c r="L5" i="1"/>
  <c r="M25" i="1"/>
  <c r="K15" i="1"/>
  <c r="M9" i="1"/>
  <c r="M30" i="1"/>
  <c r="L25" i="1"/>
  <c r="K20" i="1"/>
  <c r="M14" i="1"/>
  <c r="V14" i="1" s="1"/>
  <c r="L9" i="1"/>
  <c r="M6" i="1"/>
  <c r="K25" i="1"/>
  <c r="K9" i="1"/>
  <c r="K30" i="1"/>
  <c r="M24" i="1"/>
  <c r="V24" i="1" s="1"/>
  <c r="L19" i="1"/>
  <c r="M8" i="1"/>
  <c r="M19" i="1"/>
  <c r="M29" i="1"/>
  <c r="L24" i="1"/>
  <c r="K19" i="1"/>
  <c r="L8" i="1"/>
  <c r="K24" i="1"/>
  <c r="M13" i="1"/>
  <c r="M27" i="1"/>
  <c r="K18" i="1"/>
  <c r="M12" i="1"/>
  <c r="K8" i="1"/>
  <c r="L18" i="1"/>
  <c r="K14" i="1"/>
  <c r="K6" i="1"/>
  <c r="K23" i="1"/>
  <c r="M17" i="1"/>
  <c r="K7" i="1"/>
  <c r="K27" i="1"/>
  <c r="K22" i="1"/>
  <c r="M16" i="1"/>
  <c r="L11" i="1"/>
  <c r="M10" i="1"/>
  <c r="K28" i="1"/>
  <c r="M21" i="1"/>
  <c r="L16" i="1"/>
  <c r="K11" i="1"/>
  <c r="M22" i="1"/>
  <c r="K17" i="1"/>
  <c r="L21" i="1"/>
  <c r="K16" i="1"/>
  <c r="K5" i="1"/>
  <c r="L26" i="1"/>
  <c r="K21" i="1"/>
  <c r="M15" i="1"/>
  <c r="L10" i="1"/>
  <c r="H6" i="1"/>
  <c r="H30" i="1"/>
  <c r="J24" i="1"/>
  <c r="I19" i="1"/>
  <c r="J5" i="1"/>
  <c r="H19" i="1"/>
  <c r="J18" i="1"/>
  <c r="J11" i="1"/>
  <c r="I24" i="1"/>
  <c r="H24" i="1"/>
  <c r="J15" i="1"/>
  <c r="I10" i="1"/>
  <c r="H5" i="1"/>
  <c r="H29" i="1"/>
  <c r="J23" i="1"/>
  <c r="V23" i="1" s="1"/>
  <c r="I18" i="1"/>
  <c r="J19" i="1"/>
  <c r="I11" i="1"/>
  <c r="H11" i="1"/>
  <c r="J29" i="1"/>
  <c r="I5" i="1"/>
  <c r="I29" i="1"/>
  <c r="I15" i="1"/>
  <c r="H10" i="1"/>
  <c r="J27" i="1"/>
  <c r="I23" i="1"/>
  <c r="H18" i="1"/>
  <c r="J10" i="1"/>
  <c r="H15" i="1"/>
  <c r="J9" i="1"/>
  <c r="I27" i="1"/>
  <c r="H23" i="1"/>
  <c r="J17" i="1"/>
  <c r="H27" i="1"/>
  <c r="J28" i="1"/>
  <c r="J16" i="1"/>
  <c r="I8" i="1"/>
  <c r="J8" i="1"/>
  <c r="H22" i="1"/>
  <c r="I16" i="1"/>
  <c r="I13" i="1"/>
  <c r="H8" i="1"/>
  <c r="I21" i="1"/>
  <c r="H13" i="1"/>
  <c r="J7" i="1"/>
  <c r="I26" i="1"/>
  <c r="H21" i="1"/>
  <c r="J12" i="1"/>
  <c r="I7" i="1"/>
  <c r="H26" i="1"/>
  <c r="J20" i="1"/>
  <c r="G16" i="1"/>
  <c r="V16" i="1" s="1"/>
  <c r="F26" i="1"/>
  <c r="E21" i="1"/>
  <c r="G11" i="1"/>
  <c r="F6" i="1"/>
  <c r="E26" i="1"/>
  <c r="E22" i="1"/>
  <c r="G30" i="1"/>
  <c r="V30" i="1" s="1"/>
  <c r="F30" i="1"/>
  <c r="G10" i="1"/>
  <c r="F5" i="1"/>
  <c r="E30" i="1"/>
  <c r="E25" i="1"/>
  <c r="G19" i="1"/>
  <c r="G6" i="1"/>
  <c r="F10" i="1"/>
  <c r="E5" i="1"/>
  <c r="G29" i="1"/>
  <c r="G24" i="1"/>
  <c r="F19" i="1"/>
  <c r="E6" i="1"/>
  <c r="E11" i="1"/>
  <c r="F15" i="1"/>
  <c r="E10" i="1"/>
  <c r="F29" i="1"/>
  <c r="U29" i="1" s="1"/>
  <c r="F24" i="1"/>
  <c r="E19" i="1"/>
  <c r="E15" i="1"/>
  <c r="E29" i="1"/>
  <c r="G18" i="1"/>
  <c r="E13" i="1"/>
  <c r="G21" i="1"/>
  <c r="G26" i="1"/>
  <c r="F11" i="1"/>
  <c r="G14" i="1"/>
  <c r="G27" i="1"/>
  <c r="G23" i="1"/>
  <c r="E9" i="1"/>
  <c r="F27" i="1"/>
  <c r="E14" i="1"/>
  <c r="G8" i="1"/>
  <c r="E27" i="1"/>
  <c r="G13" i="1"/>
  <c r="G22" i="1"/>
  <c r="F13" i="1"/>
  <c r="U13" i="1" s="1"/>
  <c r="E17" i="1"/>
  <c r="S37" i="30"/>
  <c r="R37" i="30"/>
  <c r="J114" i="21"/>
  <c r="D114" i="21"/>
  <c r="R16" i="30"/>
  <c r="S20" i="30"/>
  <c r="R27" i="30"/>
  <c r="S18" i="30"/>
  <c r="S21" i="30"/>
  <c r="U30" i="1"/>
  <c r="T20" i="30"/>
  <c r="G28" i="1"/>
  <c r="T28" i="30"/>
  <c r="F22" i="1"/>
  <c r="U22" i="1" s="1"/>
  <c r="S22" i="30"/>
  <c r="R18" i="30"/>
  <c r="E18" i="1"/>
  <c r="R24" i="30"/>
  <c r="E24" i="1"/>
  <c r="S17" i="30"/>
  <c r="S27" i="30"/>
  <c r="R30" i="30"/>
  <c r="R29" i="30"/>
  <c r="T26" i="30"/>
  <c r="R22" i="30"/>
  <c r="S16" i="30"/>
  <c r="F21" i="1"/>
  <c r="Q29" i="1"/>
  <c r="S26" i="1"/>
  <c r="V26" i="1" s="1"/>
  <c r="S26" i="30"/>
  <c r="T22" i="30"/>
  <c r="T16" i="30"/>
  <c r="R26" i="1"/>
  <c r="N27" i="1"/>
  <c r="T25" i="30"/>
  <c r="T19" i="30"/>
  <c r="F18" i="1"/>
  <c r="S25" i="30"/>
  <c r="T21" i="30"/>
  <c r="S19" i="30"/>
  <c r="S25" i="1"/>
  <c r="V25" i="1" s="1"/>
  <c r="S22" i="1"/>
  <c r="T24" i="30"/>
  <c r="T18" i="30"/>
  <c r="R25" i="1"/>
  <c r="U25" i="1" s="1"/>
  <c r="S24" i="30"/>
  <c r="G20" i="1"/>
  <c r="S19" i="1"/>
  <c r="F20" i="1"/>
  <c r="L27" i="1"/>
  <c r="R19" i="1"/>
  <c r="U19" i="1" s="1"/>
  <c r="L17" i="1"/>
  <c r="Q30" i="1"/>
  <c r="S30" i="30"/>
  <c r="S28" i="30"/>
  <c r="T29" i="30"/>
  <c r="T27" i="30"/>
  <c r="S29" i="1"/>
  <c r="S27" i="1"/>
  <c r="U28" i="1"/>
  <c r="R26" i="30"/>
  <c r="R25" i="30"/>
  <c r="E20" i="1"/>
  <c r="R20" i="30"/>
  <c r="E16" i="1"/>
  <c r="T23" i="30"/>
  <c r="F23" i="1"/>
  <c r="S23" i="30"/>
  <c r="R17" i="30"/>
  <c r="R28" i="30"/>
  <c r="E28" i="1"/>
  <c r="R23" i="30"/>
  <c r="E23" i="1"/>
  <c r="T30" i="30"/>
  <c r="R21" i="30"/>
  <c r="R19" i="30"/>
  <c r="T17" i="30"/>
  <c r="S29" i="30"/>
  <c r="H14" i="1"/>
  <c r="R14" i="30"/>
  <c r="S14" i="30"/>
  <c r="T8" i="30"/>
  <c r="T4" i="30"/>
  <c r="T14" i="30"/>
  <c r="T9" i="30"/>
  <c r="U11" i="1"/>
  <c r="T13" i="30"/>
  <c r="G15" i="1"/>
  <c r="T15" i="30"/>
  <c r="T5" i="30"/>
  <c r="G5" i="1"/>
  <c r="S8" i="30"/>
  <c r="F8" i="1"/>
  <c r="U8" i="1" s="1"/>
  <c r="G12" i="1"/>
  <c r="T12" i="30"/>
  <c r="R5" i="30"/>
  <c r="G9" i="1"/>
  <c r="S5" i="30"/>
  <c r="S12" i="30"/>
  <c r="I6" i="10"/>
  <c r="L6" i="10" s="1"/>
  <c r="G4" i="1" s="1"/>
  <c r="V4" i="1" s="1"/>
  <c r="F14" i="1"/>
  <c r="R13" i="30"/>
  <c r="T11" i="30"/>
  <c r="T6" i="30"/>
  <c r="S11" i="30"/>
  <c r="S6" i="30"/>
  <c r="S15" i="30"/>
  <c r="S9" i="30"/>
  <c r="R15" i="30"/>
  <c r="S7" i="30"/>
  <c r="S13" i="30"/>
  <c r="T10" i="30"/>
  <c r="T7" i="30"/>
  <c r="R12" i="30"/>
  <c r="S10" i="30"/>
  <c r="R11" i="30"/>
  <c r="R10" i="30"/>
  <c r="R9" i="30"/>
  <c r="R8" i="30"/>
  <c r="E8" i="1"/>
  <c r="R7" i="30"/>
  <c r="R6" i="30"/>
  <c r="D45" i="21"/>
  <c r="T11" i="1" l="1"/>
  <c r="T19" i="1"/>
  <c r="V28" i="1"/>
  <c r="T17" i="1"/>
  <c r="T9" i="1"/>
  <c r="U7" i="1"/>
  <c r="V17" i="1"/>
  <c r="V7" i="1"/>
  <c r="U16" i="1"/>
  <c r="U5" i="1"/>
  <c r="U12" i="1"/>
  <c r="T10" i="1"/>
  <c r="K30" i="4" s="1"/>
  <c r="U20" i="1"/>
  <c r="V11" i="1"/>
  <c r="U14" i="1"/>
  <c r="T28" i="1"/>
  <c r="T5" i="1"/>
  <c r="T7" i="1"/>
  <c r="V20" i="1"/>
  <c r="V5" i="1"/>
  <c r="T6" i="1"/>
  <c r="U15" i="1"/>
  <c r="T22" i="1"/>
  <c r="T26" i="1"/>
  <c r="U17" i="1"/>
  <c r="V15" i="1"/>
  <c r="V8" i="1"/>
  <c r="U9" i="1"/>
  <c r="V21" i="1"/>
  <c r="T8" i="1"/>
  <c r="T18" i="1"/>
  <c r="T25" i="1"/>
  <c r="T16" i="1"/>
  <c r="T15" i="1"/>
  <c r="T21" i="1"/>
  <c r="V6" i="1"/>
  <c r="U21" i="1"/>
  <c r="V13" i="1"/>
  <c r="T20" i="1"/>
  <c r="T30" i="1"/>
  <c r="U24" i="1"/>
  <c r="V10" i="1"/>
  <c r="T23" i="1"/>
  <c r="V12" i="1"/>
  <c r="U26" i="1"/>
  <c r="U23" i="1"/>
  <c r="V27" i="1"/>
  <c r="U10" i="1"/>
  <c r="J30" i="4" s="1"/>
  <c r="T24" i="1"/>
  <c r="T13" i="1"/>
  <c r="U18" i="1"/>
  <c r="V9" i="1"/>
  <c r="V18" i="1"/>
  <c r="U27" i="1"/>
  <c r="T27" i="1"/>
  <c r="V19" i="1"/>
  <c r="T14" i="1"/>
  <c r="V29" i="1"/>
  <c r="V22" i="1"/>
  <c r="T29" i="1"/>
  <c r="D113" i="21"/>
  <c r="G112" i="21"/>
  <c r="F112" i="21"/>
  <c r="E112" i="21"/>
  <c r="D112" i="21" s="1"/>
  <c r="J112" i="21"/>
  <c r="BF6" i="10" l="1"/>
  <c r="Q4" i="1" s="1"/>
  <c r="BG6" i="10"/>
  <c r="R4" i="1" s="1"/>
  <c r="L4" i="30"/>
  <c r="AQ6" i="10" s="1"/>
  <c r="M4" i="30"/>
  <c r="AR6" i="10" s="1"/>
  <c r="C4" i="8"/>
  <c r="I4" i="30" s="1"/>
  <c r="AE6" i="10" s="1"/>
  <c r="J4" i="30"/>
  <c r="C4" i="30"/>
  <c r="G6" i="10" s="1"/>
  <c r="H6" i="10"/>
  <c r="E45" i="21"/>
  <c r="J111" i="21"/>
  <c r="F45" i="21"/>
  <c r="AF6" i="10" l="1"/>
  <c r="S4" i="30"/>
  <c r="R4" i="30"/>
  <c r="J110" i="21"/>
  <c r="G45" i="21"/>
  <c r="AT6" i="10" l="1"/>
  <c r="N4" i="1" s="1"/>
  <c r="AU6" i="10"/>
  <c r="O4" i="1" s="1"/>
  <c r="K6" i="10"/>
  <c r="F4" i="1" s="1"/>
  <c r="V6" i="10"/>
  <c r="H4" i="1" s="1"/>
  <c r="W6" i="10"/>
  <c r="I4" i="1" s="1"/>
  <c r="AH6" i="10"/>
  <c r="K4" i="1" s="1"/>
  <c r="AI6" i="10"/>
  <c r="L4" i="1" s="1"/>
  <c r="J6" i="10"/>
  <c r="E4" i="1" s="1"/>
  <c r="L30" i="4"/>
  <c r="L32" i="4"/>
  <c r="L31" i="4"/>
  <c r="L29" i="4"/>
  <c r="L28" i="4"/>
  <c r="E31" i="4"/>
  <c r="E30" i="4"/>
  <c r="E29" i="4"/>
  <c r="E28" i="4"/>
  <c r="T4" i="1" l="1"/>
  <c r="U4" i="1"/>
  <c r="L24" i="4"/>
  <c r="L25" i="4"/>
  <c r="L26" i="4"/>
  <c r="J109" i="21" l="1"/>
  <c r="H45" i="21" l="1"/>
  <c r="J108" i="21"/>
  <c r="AA82" i="21" l="1"/>
  <c r="Z82" i="21"/>
  <c r="Y82" i="21"/>
  <c r="AA81" i="21"/>
  <c r="Z81" i="21"/>
  <c r="Y81" i="21"/>
  <c r="AE81" i="21" l="1"/>
  <c r="AD82" i="21"/>
  <c r="AD81" i="21"/>
  <c r="AE82" i="21"/>
  <c r="AC81" i="21"/>
  <c r="AC82" i="21"/>
  <c r="I45" i="21" l="1"/>
  <c r="J107" i="21" l="1"/>
  <c r="J106" i="21"/>
  <c r="J45" i="21" l="1"/>
  <c r="J105" i="21" l="1"/>
  <c r="J104" i="21"/>
  <c r="J103" i="21"/>
  <c r="J102" i="21"/>
  <c r="J101" i="21"/>
  <c r="J100" i="21"/>
  <c r="J99" i="21"/>
  <c r="J98" i="21"/>
  <c r="J97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E12" i="2" l="1"/>
  <c r="L27" i="4" l="1"/>
  <c r="L23" i="4"/>
  <c r="E27" i="4"/>
  <c r="E26" i="4"/>
  <c r="E25" i="4"/>
  <c r="E24" i="4"/>
  <c r="E23" i="4"/>
  <c r="E12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9" i="4"/>
  <c r="L21" i="4"/>
  <c r="L22" i="4"/>
  <c r="L3" i="4"/>
  <c r="E21" i="4"/>
  <c r="E22" i="4"/>
  <c r="E14" i="4"/>
  <c r="E15" i="4"/>
  <c r="E16" i="4"/>
  <c r="E17" i="4"/>
  <c r="E18" i="4"/>
  <c r="E19" i="4"/>
  <c r="E20" i="4"/>
  <c r="E4" i="4"/>
  <c r="E5" i="4"/>
  <c r="E6" i="4"/>
  <c r="E7" i="4"/>
  <c r="E9" i="4"/>
  <c r="E10" i="4"/>
  <c r="E11" i="4"/>
  <c r="E13" i="4"/>
  <c r="L20" i="4" l="1"/>
  <c r="L18" i="4"/>
</calcChain>
</file>

<file path=xl/sharedStrings.xml><?xml version="1.0" encoding="utf-8"?>
<sst xmlns="http://schemas.openxmlformats.org/spreadsheetml/2006/main" count="2279" uniqueCount="489">
  <si>
    <t>Arsenal FC squad statistics</t>
  </si>
  <si>
    <t>Name</t>
  </si>
  <si>
    <t>Apps</t>
  </si>
  <si>
    <t>Goals</t>
  </si>
  <si>
    <t>Premier League</t>
  </si>
  <si>
    <t xml:space="preserve">Apps </t>
  </si>
  <si>
    <t>Champions League</t>
  </si>
  <si>
    <t>Total</t>
  </si>
  <si>
    <t>SZCZĘSNY Wojciech</t>
  </si>
  <si>
    <t>DEBUCHY Mathieu</t>
  </si>
  <si>
    <t>GIBBS Kieran</t>
  </si>
  <si>
    <t>MERTESACKER Per</t>
  </si>
  <si>
    <t>KOSCIELNY Laurent</t>
  </si>
  <si>
    <t>ROSICKY Thomas</t>
  </si>
  <si>
    <t>ARTETA Mikel</t>
  </si>
  <si>
    <t>PODOLSKI Lukas</t>
  </si>
  <si>
    <t>WILSHERE Jack</t>
  </si>
  <si>
    <t>OZIL Mesut</t>
  </si>
  <si>
    <t>GIROUD Olivier</t>
  </si>
  <si>
    <t>WALCOTT Theo</t>
  </si>
  <si>
    <t>OXLADE-CHAMBERLAIN Alex</t>
  </si>
  <si>
    <t>OSPINA David</t>
  </si>
  <si>
    <t>RAMSEY Aaron</t>
  </si>
  <si>
    <t>SANCHEZ Alexis</t>
  </si>
  <si>
    <t>MONREAL Nacho</t>
  </si>
  <si>
    <t>FLAMINI Mathieu</t>
  </si>
  <si>
    <t>CHAMBERS Calum</t>
  </si>
  <si>
    <t>SANOGO Yaya</t>
  </si>
  <si>
    <t>WELBECK Danny</t>
  </si>
  <si>
    <t>DIABY Abou</t>
  </si>
  <si>
    <t>MARTINEZ Emiliano</t>
  </si>
  <si>
    <t>GNABRY Serge</t>
  </si>
  <si>
    <t>CAMPBELL Joel</t>
  </si>
  <si>
    <t>COQUELIN Francis</t>
  </si>
  <si>
    <t>ZELALEM Gedion</t>
  </si>
  <si>
    <t>AKPOM Chuba</t>
  </si>
  <si>
    <t>BELLERIN Hector</t>
  </si>
  <si>
    <t>HAYDEN Isaac</t>
  </si>
  <si>
    <t>S</t>
  </si>
  <si>
    <t>Community Shield</t>
  </si>
  <si>
    <t>MIYAICHI Ryo</t>
  </si>
  <si>
    <t>JENKINSON Carl</t>
  </si>
  <si>
    <t>O'CONNOR Stefan</t>
  </si>
  <si>
    <t>MAITLAND-NILES Ainsley</t>
  </si>
  <si>
    <t>Statistics</t>
  </si>
  <si>
    <t>Ratio</t>
  </si>
  <si>
    <t>Most Appearances</t>
  </si>
  <si>
    <t>Most Goals</t>
  </si>
  <si>
    <t>#</t>
  </si>
  <si>
    <t>O'LEARY David</t>
  </si>
  <si>
    <t>ADAMS Tony</t>
  </si>
  <si>
    <t>ARMSTRONG George</t>
  </si>
  <si>
    <t>DIXON Lee</t>
  </si>
  <si>
    <t>WINTERBURN Nigel</t>
  </si>
  <si>
    <t>SEAMAN David</t>
  </si>
  <si>
    <t>RICE Pat</t>
  </si>
  <si>
    <t>STOREY Peter</t>
  </si>
  <si>
    <t>RADFORD John</t>
  </si>
  <si>
    <t>HENRY Thierry</t>
  </si>
  <si>
    <t>WRIGHT Ian</t>
  </si>
  <si>
    <t>BASTIN Cliff</t>
  </si>
  <si>
    <t>DRAKE Ted</t>
  </si>
  <si>
    <t>BRAIN Jimmy</t>
  </si>
  <si>
    <t>LISHMAN Doug</t>
  </si>
  <si>
    <t>VAN PERSIE Robin</t>
  </si>
  <si>
    <t>HULME Joe</t>
  </si>
  <si>
    <t>JACK David</t>
  </si>
  <si>
    <t>BERGKAMP Dennis</t>
  </si>
  <si>
    <t>LEWIS Reg</t>
  </si>
  <si>
    <t>SMITH Alan</t>
  </si>
  <si>
    <t>LAMBERT Jack</t>
  </si>
  <si>
    <t>STAPLETON Frank</t>
  </si>
  <si>
    <t>HERD David</t>
  </si>
  <si>
    <t>BAKER Joe</t>
  </si>
  <si>
    <t>JOHN Bob</t>
  </si>
  <si>
    <t>RIX Graham</t>
  </si>
  <si>
    <t>PARLOUR Ray</t>
  </si>
  <si>
    <t>KEOWN Martin</t>
  </si>
  <si>
    <t>DAVIS Paul</t>
  </si>
  <si>
    <t>HAPGOOD Eddie</t>
  </si>
  <si>
    <t>MERSON Paul</t>
  </si>
  <si>
    <t>VIEIRA Patrick</t>
  </si>
  <si>
    <t>MCLINTOCK Frank</t>
  </si>
  <si>
    <t>Update:</t>
  </si>
  <si>
    <t>Paulista GABRIEL</t>
  </si>
  <si>
    <t>BIELIK Krystian</t>
  </si>
  <si>
    <t>FINAL</t>
  </si>
  <si>
    <t>3rd round</t>
  </si>
  <si>
    <t>4th round</t>
  </si>
  <si>
    <t>5th round</t>
  </si>
  <si>
    <t>PREMIER LEAGUE</t>
  </si>
  <si>
    <t>FA CUP</t>
  </si>
  <si>
    <t>CECH Petr</t>
  </si>
  <si>
    <t>COMMUNITY SHIELD</t>
  </si>
  <si>
    <t>BENNACER Ismael</t>
  </si>
  <si>
    <t>IWOBI Alex</t>
  </si>
  <si>
    <t>KAMARA Glen</t>
  </si>
  <si>
    <t>Mikel Arteta</t>
  </si>
  <si>
    <t>SIMPSON Peter</t>
  </si>
  <si>
    <t>BERGKAMP Denis</t>
  </si>
  <si>
    <t>ELNENY Mohamed</t>
  </si>
  <si>
    <t>nr</t>
  </si>
  <si>
    <t>name</t>
  </si>
  <si>
    <t>HOLDING Rob</t>
  </si>
  <si>
    <t>XHAKA Granit</t>
  </si>
  <si>
    <t>REINE-ADELAIDE Jeff</t>
  </si>
  <si>
    <t>PEREZ Lucas</t>
  </si>
  <si>
    <t>MUSTAFI Shkodran</t>
  </si>
  <si>
    <t>FA Cup</t>
  </si>
  <si>
    <t>WILLOCK Chris</t>
  </si>
  <si>
    <t>EFL Cup</t>
  </si>
  <si>
    <t>SZCZESNY Wojciech</t>
  </si>
  <si>
    <t>LACAZETTE Alexandre</t>
  </si>
  <si>
    <t>Europa League</t>
  </si>
  <si>
    <t>KOLASINAC Sead</t>
  </si>
  <si>
    <t>NELSON Reiss</t>
  </si>
  <si>
    <t>EUROPE</t>
  </si>
  <si>
    <t>WILLOCK Joe</t>
  </si>
  <si>
    <t>DA SILVA Joshua</t>
  </si>
  <si>
    <t>LEAGUE CUP</t>
  </si>
  <si>
    <t>Europe</t>
  </si>
  <si>
    <t>SHEAF Ben</t>
  </si>
  <si>
    <t>MCGUANE Marcus</t>
  </si>
  <si>
    <t>NKETIAH Eddie</t>
  </si>
  <si>
    <t>MACEY Matt</t>
  </si>
  <si>
    <t>SANSOM Kenny</t>
  </si>
  <si>
    <t>ROPER Don</t>
  </si>
  <si>
    <t>SUNDERLAND Alan</t>
  </si>
  <si>
    <t>HOLTON Cliff</t>
  </si>
  <si>
    <t>COLEMAN Tim</t>
  </si>
  <si>
    <t>MKHITARYAN Henrikh</t>
  </si>
  <si>
    <t>AUBAMEYANG Pierre-Emerick</t>
  </si>
  <si>
    <t>Season</t>
  </si>
  <si>
    <t>Position</t>
  </si>
  <si>
    <t>Points</t>
  </si>
  <si>
    <t>Wins</t>
  </si>
  <si>
    <t>Draws</t>
  </si>
  <si>
    <t>GF</t>
  </si>
  <si>
    <t>GA</t>
  </si>
  <si>
    <t>GD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</si>
  <si>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</si>
  <si>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</si>
  <si>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</si>
  <si>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</si>
  <si>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</si>
  <si>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</si>
  <si>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</si>
  <si>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</si>
  <si>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</si>
  <si>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</si>
  <si>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</si>
  <si>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</si>
  <si>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</si>
  <si>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</si>
  <si>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</si>
  <si>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</si>
  <si>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</si>
  <si>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</si>
  <si>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</si>
  <si>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</si>
  <si>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</si>
  <si>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</si>
  <si>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</si>
  <si>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</si>
  <si>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</si>
  <si>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</si>
  <si>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-</t>
  </si>
  <si>
    <t>MAVROPANOS Konstantinos</t>
  </si>
  <si>
    <t>LICHSTEINER Stephan</t>
  </si>
  <si>
    <t>TORREIRA Lucas</t>
  </si>
  <si>
    <t>LICHTSTEINER Stephan</t>
  </si>
  <si>
    <t>LENO Berndt</t>
  </si>
  <si>
    <t>GUENDOUZI Matteo</t>
  </si>
  <si>
    <t>2018/2019</t>
  </si>
  <si>
    <t>SMITH-ROWE Emile</t>
  </si>
  <si>
    <t>PRE WENGER ERA</t>
  </si>
  <si>
    <t>Losses</t>
  </si>
  <si>
    <t>PLEGUEZUELO Julio</t>
  </si>
  <si>
    <t>MEDLEY Zech</t>
  </si>
  <si>
    <t>GILMOUR Charlie</t>
  </si>
  <si>
    <t>SAKA Bukayo</t>
  </si>
  <si>
    <t xml:space="preserve"> </t>
  </si>
  <si>
    <t>SUM</t>
  </si>
  <si>
    <t>POS</t>
  </si>
  <si>
    <t>SUAREZ Denis</t>
  </si>
  <si>
    <t>Suarez Denis</t>
  </si>
  <si>
    <t>2019/2020</t>
  </si>
  <si>
    <t>CEBALLOS Dani</t>
  </si>
  <si>
    <t>MARTINELLI Gabriel</t>
  </si>
  <si>
    <t>PEPE Nicolas</t>
  </si>
  <si>
    <t>LUIZ David</t>
  </si>
  <si>
    <t>TIERNEY Kieran</t>
  </si>
  <si>
    <t>SOARES Cedric</t>
  </si>
  <si>
    <t>MARI Pablo</t>
  </si>
  <si>
    <t>EMERY</t>
  </si>
  <si>
    <t>UE/FL/MA</t>
  </si>
  <si>
    <t>SALIBA William</t>
  </si>
  <si>
    <t>WILLIAN</t>
  </si>
  <si>
    <t>GABRIEL</t>
  </si>
  <si>
    <t>1/4</t>
  </si>
  <si>
    <t>1/2</t>
  </si>
  <si>
    <t>2020/2021</t>
  </si>
  <si>
    <t>ARTETA</t>
  </si>
  <si>
    <t>PAPASTATHOPULOS Sokratis</t>
  </si>
  <si>
    <t>PARTEY Thomas</t>
  </si>
  <si>
    <t>RUNARSSON Runar</t>
  </si>
  <si>
    <t>BALOGUN Folarin</t>
  </si>
  <si>
    <t>COTTRELL Ben</t>
  </si>
  <si>
    <t>AZEEZ Miguel</t>
  </si>
  <si>
    <t>Arsene Wenger</t>
  </si>
  <si>
    <t>Unai Emery</t>
  </si>
  <si>
    <t>W</t>
  </si>
  <si>
    <t>D</t>
  </si>
  <si>
    <t>L</t>
  </si>
  <si>
    <t>W%</t>
  </si>
  <si>
    <t>D%</t>
  </si>
  <si>
    <t>L%</t>
  </si>
  <si>
    <t>RYAN Matthew</t>
  </si>
  <si>
    <t>ODEGAARD Martin</t>
  </si>
  <si>
    <t>2021/2022</t>
  </si>
  <si>
    <t>WHITE Ben</t>
  </si>
  <si>
    <t>OKONKWO Arthur</t>
  </si>
  <si>
    <t>TAVARES Nuno</t>
  </si>
  <si>
    <t>LOKONGA Albert</t>
  </si>
  <si>
    <t>RAMSDALE Aaron</t>
  </si>
  <si>
    <t>TOMIYASU Takehiro</t>
  </si>
  <si>
    <t>PATINO Charlie</t>
  </si>
  <si>
    <t>2022/23</t>
  </si>
  <si>
    <t>2021/22</t>
  </si>
  <si>
    <t>2020/21</t>
  </si>
  <si>
    <t>2019/20</t>
  </si>
  <si>
    <t>2018/19</t>
  </si>
  <si>
    <t>2017/18</t>
  </si>
  <si>
    <t>2016/17</t>
  </si>
  <si>
    <t>2015/16</t>
  </si>
  <si>
    <t>2014/15</t>
  </si>
  <si>
    <t>2013/14</t>
  </si>
  <si>
    <t>2012/13</t>
  </si>
  <si>
    <t>2011/12</t>
  </si>
  <si>
    <t>2010/11</t>
  </si>
  <si>
    <t>2009/10</t>
  </si>
  <si>
    <t>2008/09</t>
  </si>
  <si>
    <t>2007/08</t>
  </si>
  <si>
    <t>2006/07</t>
  </si>
  <si>
    <t>2005/06</t>
  </si>
  <si>
    <t>2004/05</t>
  </si>
  <si>
    <t>2003/04</t>
  </si>
  <si>
    <t>2002/03</t>
  </si>
  <si>
    <t>2001/02</t>
  </si>
  <si>
    <t>2000/01</t>
  </si>
  <si>
    <t>1999/00</t>
  </si>
  <si>
    <t>1998/99</t>
  </si>
  <si>
    <t>1997/98</t>
  </si>
  <si>
    <t>1996/97</t>
  </si>
  <si>
    <t>1995/96</t>
  </si>
  <si>
    <t>1994/95</t>
  </si>
  <si>
    <t>1993/94</t>
  </si>
  <si>
    <t>1992/93</t>
  </si>
  <si>
    <t>VIEIRA Fabio</t>
  </si>
  <si>
    <t>JESUS Gabriel</t>
  </si>
  <si>
    <t>TURNER Matt</t>
  </si>
  <si>
    <t>ZINCHENKO Oleksandr</t>
  </si>
  <si>
    <t>MARQUINHOS</t>
  </si>
  <si>
    <t>NWANERI Ethan</t>
  </si>
  <si>
    <t>BOULD Steve</t>
  </si>
  <si>
    <t>MCNAB Bob</t>
  </si>
  <si>
    <t>KELSEY Jack</t>
  </si>
  <si>
    <t>PIRES Robert</t>
  </si>
  <si>
    <t>STRONG Geoff</t>
  </si>
  <si>
    <t>GRAHAM George</t>
  </si>
  <si>
    <t>HEIN Karl</t>
  </si>
  <si>
    <t>TROSSARD Leandro</t>
  </si>
  <si>
    <t>JORGHINHO</t>
  </si>
  <si>
    <t>KIWIOR Jakub</t>
  </si>
  <si>
    <t>2022/2023</t>
  </si>
  <si>
    <t>HAVERTZ Kai</t>
  </si>
  <si>
    <t>TIMBER Jurrien</t>
  </si>
  <si>
    <t>RICE Declan</t>
  </si>
  <si>
    <t>RAYA David</t>
  </si>
  <si>
    <t>2023/24</t>
  </si>
  <si>
    <t>as of</t>
  </si>
  <si>
    <t>ROUND OF 16</t>
  </si>
  <si>
    <t>QUARTERFINALS</t>
  </si>
  <si>
    <t>SEMIFINALS</t>
  </si>
  <si>
    <t>ARSENE WENGER</t>
  </si>
  <si>
    <t>2023/2024</t>
  </si>
  <si>
    <t>UNAI EMERY</t>
  </si>
  <si>
    <t>WENGER</t>
  </si>
  <si>
    <t>EMERY/LJUNGBERG/ARTETA</t>
  </si>
  <si>
    <t>MIKEL ARTETA</t>
  </si>
  <si>
    <t>2024/25</t>
  </si>
  <si>
    <t>CALAFIORI Riccardo</t>
  </si>
  <si>
    <t>SAGOE JR Charles</t>
  </si>
  <si>
    <t>MERINO Mikel</t>
  </si>
  <si>
    <t>STERLING Raheem</t>
  </si>
  <si>
    <t>NETO</t>
  </si>
  <si>
    <t>CAZORLA Santi</t>
  </si>
  <si>
    <t>LEWIS-SKELLY Myles</t>
  </si>
  <si>
    <t>KABIA Ismeal</t>
  </si>
  <si>
    <t>KACURRI Maldini</t>
  </si>
  <si>
    <t>NICHOLS Josh</t>
  </si>
  <si>
    <t>PORTER Jack</t>
  </si>
  <si>
    <t>LEAGUE STAGE</t>
  </si>
  <si>
    <t>SETFORD Tommy</t>
  </si>
  <si>
    <t>HEAVEN Ayden</t>
  </si>
  <si>
    <t>MUN</t>
  </si>
  <si>
    <t>Final</t>
  </si>
  <si>
    <t>BUTLER-OYEDEJI Nathan</t>
  </si>
  <si>
    <t>`</t>
  </si>
  <si>
    <t>2025/26</t>
  </si>
  <si>
    <t>2024/2025</t>
  </si>
  <si>
    <t>2025/2026</t>
  </si>
  <si>
    <t>KEPA Arrizabalaga</t>
  </si>
  <si>
    <t>ZUBIMENDI Martin</t>
  </si>
  <si>
    <t>NORGAARD Christian</t>
  </si>
  <si>
    <t>MADUEKE Nuno</t>
  </si>
  <si>
    <t>MOSQUERA Cristhian</t>
  </si>
  <si>
    <t>GYOKERES Viktor</t>
  </si>
  <si>
    <t>HINCAPIE Piero</t>
  </si>
  <si>
    <t>EZE Eberechi</t>
  </si>
  <si>
    <t>LEE</t>
  </si>
  <si>
    <t>LIV</t>
  </si>
  <si>
    <t>DOWMAN Max</t>
  </si>
  <si>
    <t>MCI</t>
  </si>
  <si>
    <t>NEW</t>
  </si>
  <si>
    <t>FUL</t>
  </si>
  <si>
    <t>CRY</t>
  </si>
  <si>
    <t>HARRIMAN-ANNOUS Andre</t>
  </si>
  <si>
    <t>SUN</t>
  </si>
  <si>
    <t>TOT</t>
  </si>
  <si>
    <t>CHE</t>
  </si>
  <si>
    <t>AVL</t>
  </si>
  <si>
    <t>BRE</t>
  </si>
  <si>
    <t>SALMON Marli</t>
  </si>
  <si>
    <t>EVE</t>
  </si>
  <si>
    <t>BRI</t>
  </si>
  <si>
    <t>BOU</t>
  </si>
  <si>
    <t>NOT</t>
  </si>
  <si>
    <t>IBRAHIM Ife</t>
  </si>
  <si>
    <t>BAILEY-JOSEPH Brando</t>
  </si>
  <si>
    <t>Man City</t>
  </si>
  <si>
    <t>DIXON Jaden</t>
  </si>
  <si>
    <t>2026/27</t>
  </si>
  <si>
    <t>TZOLIS Christos</t>
  </si>
  <si>
    <t>MESLIER Illan</t>
  </si>
  <si>
    <t>GUIMARES Bruno</t>
  </si>
  <si>
    <t>COV</t>
  </si>
  <si>
    <t>HUL</t>
  </si>
  <si>
    <t>IPS</t>
  </si>
  <si>
    <t>ESP</t>
  </si>
  <si>
    <t>GK</t>
  </si>
  <si>
    <t>FRA</t>
  </si>
  <si>
    <t>DF</t>
  </si>
  <si>
    <t>MF</t>
  </si>
  <si>
    <t>FW</t>
  </si>
  <si>
    <t>ENG</t>
  </si>
  <si>
    <t>NED</t>
  </si>
  <si>
    <t>BRA</t>
  </si>
  <si>
    <t>ECU</t>
  </si>
  <si>
    <t>NOR</t>
  </si>
  <si>
    <t>SWE</t>
  </si>
  <si>
    <t>GRE</t>
  </si>
  <si>
    <t>POR</t>
  </si>
  <si>
    <t>GER</t>
  </si>
  <si>
    <t>ITA</t>
  </si>
  <si>
    <t>WAL</t>
  </si>
  <si>
    <t>SUI</t>
  </si>
  <si>
    <t>CZE</t>
  </si>
  <si>
    <t>POL</t>
  </si>
  <si>
    <t>BEL</t>
  </si>
  <si>
    <t>CHI</t>
  </si>
  <si>
    <t>GHA</t>
  </si>
  <si>
    <t>GAB</t>
  </si>
  <si>
    <t>EGY</t>
  </si>
  <si>
    <t>NGA</t>
  </si>
  <si>
    <t>SCO</t>
  </si>
  <si>
    <t>BIH</t>
  </si>
  <si>
    <t>CIV</t>
  </si>
  <si>
    <t>UKR</t>
  </si>
  <si>
    <t>URU</t>
  </si>
  <si>
    <t>COL</t>
  </si>
  <si>
    <t>ARM</t>
  </si>
  <si>
    <t>CRC</t>
  </si>
  <si>
    <t>ARG</t>
  </si>
  <si>
    <t>DEN</t>
  </si>
  <si>
    <t>USA</t>
  </si>
  <si>
    <t>ISL</t>
  </si>
  <si>
    <t>ALG</t>
  </si>
  <si>
    <t>FIN</t>
  </si>
  <si>
    <t>ALB</t>
  </si>
  <si>
    <t>EST</t>
  </si>
  <si>
    <t>JPN</t>
  </si>
  <si>
    <t>AUS</t>
  </si>
  <si>
    <t>App</t>
  </si>
  <si>
    <t>Gls</t>
  </si>
  <si>
    <t>Ast</t>
  </si>
  <si>
    <t>Σ App</t>
  </si>
  <si>
    <t>Σ Gls</t>
  </si>
  <si>
    <t>Σ Ast</t>
  </si>
  <si>
    <t>Date</t>
  </si>
  <si>
    <t>Time</t>
  </si>
  <si>
    <t>Competition</t>
  </si>
  <si>
    <t>Club</t>
  </si>
  <si>
    <t>H/A</t>
  </si>
  <si>
    <t>Coventry City</t>
  </si>
  <si>
    <t>NEXT GAME</t>
  </si>
  <si>
    <t>LAST GAME</t>
  </si>
  <si>
    <t>Score</t>
  </si>
  <si>
    <t>Manchester City</t>
  </si>
  <si>
    <t>Pos</t>
  </si>
  <si>
    <t>Team</t>
  </si>
  <si>
    <t>Pld</t>
  </si>
  <si>
    <t>Pts</t>
  </si>
  <si>
    <t>Arsenal</t>
  </si>
  <si>
    <t>Aston Villa</t>
  </si>
  <si>
    <t>Bournemouth</t>
  </si>
  <si>
    <t>Brentford</t>
  </si>
  <si>
    <t>Brighton &amp; Hove Albion</t>
  </si>
  <si>
    <t>Chelsea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</si>
  <si>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</si>
  <si>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</si>
  <si>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</si>
  <si>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</si>
  <si>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</si>
  <si>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</si>
  <si>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</si>
  <si>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United</t>
  </si>
  <si>
    <t>Newcastle United</t>
  </si>
  <si>
    <t>Nottingham Forest</t>
  </si>
  <si>
    <t>Sunderland</t>
  </si>
  <si>
    <t>Tottenham Hotspur</t>
  </si>
  <si>
    <t>KONSA Ezri</t>
  </si>
  <si>
    <t>Ipswitch Town</t>
  </si>
  <si>
    <t>−5</t>
  </si>
  <si>
    <t>GEORGE GRAHAM</t>
  </si>
  <si>
    <t>GRAHAM/HOUSTON</t>
  </si>
  <si>
    <t>BRUCE RIOCH</t>
  </si>
  <si>
    <t>2026/2027</t>
  </si>
  <si>
    <t>Loan</t>
  </si>
  <si>
    <t>Y</t>
  </si>
  <si>
    <t>LB</t>
  </si>
  <si>
    <t>CB</t>
  </si>
  <si>
    <t>RB</t>
  </si>
  <si>
    <t>Rating</t>
  </si>
  <si>
    <t>Status</t>
  </si>
  <si>
    <t>CM</t>
  </si>
  <si>
    <t>CAM</t>
  </si>
  <si>
    <t>LW</t>
  </si>
  <si>
    <t>RW</t>
  </si>
  <si>
    <t>ST</t>
  </si>
  <si>
    <t>Gabriel</t>
  </si>
  <si>
    <t>Odegaard</t>
  </si>
  <si>
    <t>Sub</t>
  </si>
  <si>
    <t>Subbed</t>
  </si>
  <si>
    <t>Merino</t>
  </si>
  <si>
    <t>Konsa</t>
  </si>
  <si>
    <t>Goal/Assist</t>
  </si>
  <si>
    <t>−3</t>
  </si>
  <si>
    <t>SSC Napoli</t>
  </si>
  <si>
    <t>Bruno</t>
  </si>
  <si>
    <t>−6</t>
  </si>
  <si>
    <t>Lille</t>
  </si>
  <si>
    <t>Bayern</t>
  </si>
  <si>
    <t>Slavia</t>
  </si>
  <si>
    <t>BVB</t>
  </si>
  <si>
    <t>Real</t>
  </si>
  <si>
    <t>Betis</t>
  </si>
  <si>
    <t>Sabah</t>
  </si>
  <si>
    <t>JULIENNE Theo</t>
  </si>
  <si>
    <t>Gyokeres</t>
  </si>
  <si>
    <t>10.10.2026</t>
  </si>
  <si>
    <t>Emirates Stadium (H)</t>
  </si>
  <si>
    <t>−4</t>
  </si>
  <si>
    <t>−9</t>
  </si>
  <si>
    <t>Raya</t>
  </si>
  <si>
    <t>Timber</t>
  </si>
  <si>
    <t>Calafiori</t>
  </si>
  <si>
    <t>Rice</t>
  </si>
  <si>
    <t>Saka</t>
  </si>
  <si>
    <t>Havertz</t>
  </si>
  <si>
    <t>2-1</t>
  </si>
  <si>
    <t>13.10.2026</t>
  </si>
  <si>
    <t>G</t>
  </si>
  <si>
    <t>White</t>
  </si>
  <si>
    <t>A</t>
  </si>
  <si>
    <t>Lewis-Skelly</t>
  </si>
  <si>
    <t>Madueke</t>
  </si>
  <si>
    <t>Hincapie</t>
  </si>
  <si>
    <t>Lille 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</si>
</sst>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1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rgb="FF006100"/>
      <name val="Segoe UI"/>
      <family val="2"/>
    </font>
    <font>
      <sz val="10"/>
      <color rgb="FF9C0006"/>
      <name val="Segoe UI"/>
      <family val="2"/>
    </font>
    <font>
      <sz val="10"/>
      <color rgb="FF9C6500"/>
      <name val="Segoe UI"/>
      <family val="2"/>
    </font>
    <font>
      <sz val="10"/>
      <color rgb="FF3F3F76"/>
      <name val="Segoe UI"/>
      <family val="2"/>
    </font>
    <font>
      <b/>
      <sz val="10"/>
      <color theme="0"/>
      <name val="Segoe UI"/>
      <family val="2"/>
    </font>
    <font>
      <b/>
      <sz val="10"/>
      <color rgb="FF006100"/>
      <name val="Segoe UI"/>
      <family val="2"/>
    </font>
    <font>
      <b/>
      <sz val="10"/>
      <color rgb="FF9C6500"/>
      <name val="Segoe UI"/>
      <family val="2"/>
    </font>
    <font>
      <b/>
      <sz val="10"/>
      <color rgb="FF9C0006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sz val="9"/>
      <name val="Segoe UI"/>
      <family val="2"/>
    </font>
    <font>
      <sz val="10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12"/>
      <color rgb="FF9C6500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 diagonalUp="1" diagonalDown="1">
      <left/>
      <right/>
      <top/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 diagonalUp="1"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8" borderId="15" applyNumberFormat="0" applyAlignment="0" applyProtection="0"/>
    <xf numFmtId="0" fontId="7" fillId="9" borderId="16" applyNumberFormat="0" applyAlignment="0" applyProtection="0"/>
    <xf numFmtId="0" fontId="2" fillId="10" borderId="17" applyNumberFormat="0" applyFont="0" applyAlignment="0" applyProtection="0"/>
  </cellStyleXfs>
  <cellXfs count="329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4" fontId="1" fillId="0" borderId="0" xfId="0" applyNumberFormat="1" applyFont="1"/>
    <xf numFmtId="0" fontId="1" fillId="4" borderId="2" xfId="0" applyFont="1" applyFill="1" applyBorder="1" applyAlignment="1">
      <alignment horizontal="center"/>
    </xf>
    <xf numFmtId="0" fontId="7" fillId="9" borderId="1" xfId="5" applyBorder="1"/>
    <xf numFmtId="0" fontId="7" fillId="9" borderId="1" xfId="5" applyBorder="1" applyAlignment="1">
      <alignment horizontal="center" vertical="center"/>
    </xf>
    <xf numFmtId="0" fontId="4" fillId="6" borderId="1" xfId="2" applyBorder="1" applyAlignment="1">
      <alignment horizontal="center"/>
    </xf>
    <xf numFmtId="0" fontId="3" fillId="5" borderId="1" xfId="1" applyBorder="1" applyAlignment="1">
      <alignment horizontal="center"/>
    </xf>
    <xf numFmtId="0" fontId="3" fillId="5" borderId="1" xfId="1" applyBorder="1" applyAlignment="1">
      <alignment horizontal="center" vertical="center"/>
    </xf>
    <xf numFmtId="0" fontId="5" fillId="7" borderId="1" xfId="3" applyBorder="1" applyAlignment="1">
      <alignment horizontal="center" vertical="center"/>
    </xf>
    <xf numFmtId="0" fontId="5" fillId="7" borderId="1" xfId="3" applyBorder="1"/>
    <xf numFmtId="0" fontId="3" fillId="5" borderId="1" xfId="1" applyBorder="1"/>
    <xf numFmtId="0" fontId="4" fillId="6" borderId="1" xfId="2" applyBorder="1"/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6" fillId="8" borderId="15" xfId="4" applyAlignment="1">
      <alignment horizontal="center" vertical="center"/>
    </xf>
    <xf numFmtId="0" fontId="6" fillId="8" borderId="15" xfId="4"/>
    <xf numFmtId="0" fontId="11" fillId="0" borderId="1" xfId="3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/>
    </xf>
    <xf numFmtId="0" fontId="11" fillId="0" borderId="1" xfId="2" applyFont="1" applyFill="1" applyBorder="1" applyAlignment="1">
      <alignment horizontal="center"/>
    </xf>
    <xf numFmtId="0" fontId="11" fillId="0" borderId="1" xfId="3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1" fillId="0" borderId="1" xfId="5" applyFont="1" applyFill="1" applyBorder="1" applyAlignment="1">
      <alignment horizontal="center"/>
    </xf>
    <xf numFmtId="0" fontId="11" fillId="0" borderId="1" xfId="5" applyFont="1" applyFill="1" applyBorder="1" applyAlignment="1">
      <alignment horizontal="center" vertical="center"/>
    </xf>
    <xf numFmtId="0" fontId="11" fillId="0" borderId="0" xfId="2" applyFont="1" applyFill="1"/>
    <xf numFmtId="0" fontId="11" fillId="0" borderId="0" xfId="3" applyFont="1" applyFill="1"/>
    <xf numFmtId="0" fontId="12" fillId="0" borderId="0" xfId="5" applyFont="1" applyFill="1" applyBorder="1"/>
    <xf numFmtId="0" fontId="11" fillId="0" borderId="0" xfId="1" applyFont="1" applyFill="1"/>
    <xf numFmtId="0" fontId="4" fillId="6" borderId="1" xfId="2" applyBorder="1" applyAlignment="1">
      <alignment horizontal="center" vertical="center"/>
    </xf>
    <xf numFmtId="0" fontId="3" fillId="5" borderId="0" xfId="1" applyAlignment="1">
      <alignment horizontal="center"/>
    </xf>
    <xf numFmtId="0" fontId="4" fillId="6" borderId="0" xfId="2" applyAlignment="1">
      <alignment horizontal="center"/>
    </xf>
    <xf numFmtId="0" fontId="13" fillId="0" borderId="0" xfId="2" applyFont="1" applyFill="1"/>
    <xf numFmtId="0" fontId="3" fillId="0" borderId="13" xfId="1" applyFill="1" applyBorder="1" applyAlignment="1">
      <alignment horizontal="center"/>
    </xf>
    <xf numFmtId="0" fontId="3" fillId="0" borderId="14" xfId="1" applyFill="1" applyBorder="1" applyAlignment="1">
      <alignment horizontal="center"/>
    </xf>
    <xf numFmtId="0" fontId="5" fillId="7" borderId="30" xfId="3" applyBorder="1" applyAlignment="1">
      <alignment horizontal="center"/>
    </xf>
    <xf numFmtId="0" fontId="11" fillId="0" borderId="13" xfId="2" applyFont="1" applyFill="1" applyBorder="1" applyAlignment="1">
      <alignment horizontal="center"/>
    </xf>
    <xf numFmtId="0" fontId="11" fillId="0" borderId="14" xfId="2" applyFont="1" applyFill="1" applyBorder="1" applyAlignment="1">
      <alignment horizontal="center"/>
    </xf>
    <xf numFmtId="0" fontId="15" fillId="0" borderId="0" xfId="0" applyFont="1"/>
    <xf numFmtId="1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5" fillId="7" borderId="1" xfId="3" applyBorder="1" applyAlignment="1">
      <alignment horizontal="center"/>
    </xf>
    <xf numFmtId="0" fontId="5" fillId="7" borderId="7" xfId="3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5" fillId="7" borderId="0" xfId="3" applyAlignment="1">
      <alignment horizontal="center"/>
    </xf>
    <xf numFmtId="0" fontId="7" fillId="9" borderId="1" xfId="5" applyBorder="1" applyAlignment="1">
      <alignment horizontal="center"/>
    </xf>
    <xf numFmtId="0" fontId="6" fillId="8" borderId="15" xfId="4" applyAlignment="1">
      <alignment horizontal="center"/>
    </xf>
    <xf numFmtId="0" fontId="0" fillId="0" borderId="13" xfId="0" applyBorder="1"/>
    <xf numFmtId="0" fontId="6" fillId="8" borderId="15" xfId="4" applyAlignment="1"/>
    <xf numFmtId="0" fontId="5" fillId="7" borderId="0" xfId="3" applyAlignment="1"/>
    <xf numFmtId="0" fontId="4" fillId="6" borderId="0" xfId="2" applyAlignment="1"/>
    <xf numFmtId="0" fontId="3" fillId="5" borderId="0" xfId="1" applyAlignment="1"/>
    <xf numFmtId="0" fontId="0" fillId="0" borderId="1" xfId="0" applyBorder="1"/>
    <xf numFmtId="164" fontId="0" fillId="0" borderId="0" xfId="0" applyNumberFormat="1"/>
    <xf numFmtId="0" fontId="18" fillId="0" borderId="43" xfId="0" applyFont="1" applyBorder="1"/>
    <xf numFmtId="0" fontId="11" fillId="0" borderId="9" xfId="2" applyFont="1" applyFill="1" applyBorder="1"/>
    <xf numFmtId="0" fontId="6" fillId="8" borderId="2" xfId="4" applyBorder="1"/>
    <xf numFmtId="0" fontId="0" fillId="0" borderId="14" xfId="0" applyBorder="1"/>
    <xf numFmtId="0" fontId="18" fillId="0" borderId="44" xfId="0" applyFont="1" applyBorder="1"/>
    <xf numFmtId="0" fontId="18" fillId="0" borderId="45" xfId="0" applyFont="1" applyBorder="1"/>
    <xf numFmtId="0" fontId="6" fillId="8" borderId="33" xfId="4" applyBorder="1"/>
    <xf numFmtId="0" fontId="6" fillId="8" borderId="42" xfId="4" applyBorder="1"/>
    <xf numFmtId="0" fontId="6" fillId="8" borderId="34" xfId="4" applyBorder="1"/>
    <xf numFmtId="0" fontId="0" fillId="0" borderId="7" xfId="0" applyBorder="1"/>
    <xf numFmtId="0" fontId="18" fillId="0" borderId="46" xfId="0" applyFont="1" applyBorder="1"/>
    <xf numFmtId="0" fontId="6" fillId="8" borderId="47" xfId="4" applyBorder="1"/>
    <xf numFmtId="0" fontId="3" fillId="5" borderId="2" xfId="1" applyBorder="1"/>
    <xf numFmtId="0" fontId="4" fillId="6" borderId="2" xfId="2" applyBorder="1"/>
    <xf numFmtId="0" fontId="19" fillId="11" borderId="5" xfId="0" applyFont="1" applyFill="1" applyBorder="1"/>
    <xf numFmtId="0" fontId="20" fillId="12" borderId="39" xfId="0" applyFont="1" applyFill="1" applyBorder="1"/>
    <xf numFmtId="0" fontId="21" fillId="12" borderId="41" xfId="2" applyFont="1" applyFill="1" applyBorder="1"/>
    <xf numFmtId="0" fontId="21" fillId="12" borderId="41" xfId="0" applyFont="1" applyFill="1" applyBorder="1"/>
    <xf numFmtId="0" fontId="20" fillId="0" borderId="13" xfId="0" applyFont="1" applyBorder="1"/>
    <xf numFmtId="0" fontId="21" fillId="0" borderId="1" xfId="0" applyFont="1" applyBorder="1"/>
    <xf numFmtId="0" fontId="21" fillId="0" borderId="1" xfId="2" applyFont="1" applyFill="1" applyBorder="1"/>
    <xf numFmtId="0" fontId="20" fillId="12" borderId="13" xfId="0" applyFont="1" applyFill="1" applyBorder="1"/>
    <xf numFmtId="0" fontId="21" fillId="12" borderId="1" xfId="2" applyFont="1" applyFill="1" applyBorder="1"/>
    <xf numFmtId="0" fontId="21" fillId="12" borderId="1" xfId="0" applyFont="1" applyFill="1" applyBorder="1"/>
    <xf numFmtId="0" fontId="20" fillId="0" borderId="33" xfId="0" applyFont="1" applyBorder="1"/>
    <xf numFmtId="0" fontId="21" fillId="0" borderId="42" xfId="0" applyFont="1" applyBorder="1"/>
    <xf numFmtId="0" fontId="21" fillId="0" borderId="1" xfId="1" applyFont="1" applyFill="1" applyBorder="1"/>
    <xf numFmtId="0" fontId="21" fillId="12" borderId="1" xfId="1" applyFont="1" applyFill="1" applyBorder="1"/>
    <xf numFmtId="0" fontId="20" fillId="0" borderId="26" xfId="0" applyFont="1" applyBorder="1"/>
    <xf numFmtId="0" fontId="21" fillId="0" borderId="5" xfId="0" applyFont="1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18" fillId="0" borderId="51" xfId="0" applyFont="1" applyBorder="1"/>
    <xf numFmtId="0" fontId="18" fillId="0" borderId="52" xfId="0" applyFont="1" applyBorder="1"/>
    <xf numFmtId="0" fontId="0" fillId="0" borderId="3" xfId="0" applyBorder="1"/>
    <xf numFmtId="0" fontId="0" fillId="4" borderId="2" xfId="0" applyFill="1" applyBorder="1" applyAlignment="1">
      <alignment horizontal="center"/>
    </xf>
    <xf numFmtId="10" fontId="0" fillId="0" borderId="1" xfId="0" applyNumberFormat="1" applyBorder="1"/>
    <xf numFmtId="0" fontId="11" fillId="0" borderId="2" xfId="1" applyFont="1" applyFill="1" applyBorder="1"/>
    <xf numFmtId="0" fontId="3" fillId="0" borderId="2" xfId="1" applyFill="1" applyBorder="1"/>
    <xf numFmtId="0" fontId="3" fillId="0" borderId="14" xfId="1" applyFill="1" applyBorder="1"/>
    <xf numFmtId="0" fontId="11" fillId="0" borderId="14" xfId="2" applyFont="1" applyFill="1" applyBorder="1"/>
    <xf numFmtId="0" fontId="16" fillId="0" borderId="0" xfId="0" applyFont="1"/>
    <xf numFmtId="0" fontId="16" fillId="0" borderId="19" xfId="0" applyFont="1" applyBorder="1"/>
    <xf numFmtId="0" fontId="18" fillId="0" borderId="48" xfId="1" applyFont="1" applyFill="1" applyBorder="1"/>
    <xf numFmtId="0" fontId="18" fillId="0" borderId="6" xfId="1" applyFont="1" applyFill="1" applyBorder="1"/>
    <xf numFmtId="0" fontId="0" fillId="0" borderId="39" xfId="0" applyBorder="1"/>
    <xf numFmtId="0" fontId="0" fillId="0" borderId="41" xfId="0" applyBorder="1"/>
    <xf numFmtId="0" fontId="0" fillId="0" borderId="40" xfId="0" applyBorder="1"/>
    <xf numFmtId="0" fontId="6" fillId="8" borderId="53" xfId="4" applyBorder="1"/>
    <xf numFmtId="0" fontId="20" fillId="12" borderId="1" xfId="0" applyFont="1" applyFill="1" applyBorder="1"/>
    <xf numFmtId="0" fontId="3" fillId="0" borderId="1" xfId="1" applyFill="1" applyBorder="1"/>
    <xf numFmtId="0" fontId="11" fillId="0" borderId="1" xfId="2" applyFont="1" applyFill="1" applyBorder="1"/>
    <xf numFmtId="14" fontId="0" fillId="0" borderId="0" xfId="0" applyNumberFormat="1"/>
    <xf numFmtId="0" fontId="16" fillId="0" borderId="0" xfId="0" applyFont="1" applyAlignment="1">
      <alignment vertical="center"/>
    </xf>
    <xf numFmtId="0" fontId="21" fillId="0" borderId="2" xfId="0" applyFont="1" applyBorder="1"/>
    <xf numFmtId="0" fontId="20" fillId="12" borderId="24" xfId="0" applyFont="1" applyFill="1" applyBorder="1"/>
    <xf numFmtId="0" fontId="20" fillId="12" borderId="56" xfId="0" applyFont="1" applyFill="1" applyBorder="1"/>
    <xf numFmtId="0" fontId="20" fillId="12" borderId="35" xfId="0" applyFont="1" applyFill="1" applyBorder="1"/>
    <xf numFmtId="0" fontId="20" fillId="0" borderId="39" xfId="0" applyFont="1" applyBorder="1"/>
    <xf numFmtId="0" fontId="21" fillId="0" borderId="41" xfId="0" applyFont="1" applyBorder="1"/>
    <xf numFmtId="0" fontId="17" fillId="0" borderId="0" xfId="0" applyFont="1" applyAlignment="1">
      <alignment vertical="center"/>
    </xf>
    <xf numFmtId="0" fontId="21" fillId="12" borderId="55" xfId="2" applyFont="1" applyFill="1" applyBorder="1"/>
    <xf numFmtId="0" fontId="21" fillId="12" borderId="2" xfId="0" applyFont="1" applyFill="1" applyBorder="1"/>
    <xf numFmtId="0" fontId="21" fillId="0" borderId="31" xfId="0" applyFont="1" applyBorder="1"/>
    <xf numFmtId="0" fontId="21" fillId="12" borderId="55" xfId="0" applyFont="1" applyFill="1" applyBorder="1"/>
    <xf numFmtId="0" fontId="21" fillId="12" borderId="2" xfId="2" applyFont="1" applyFill="1" applyBorder="1"/>
    <xf numFmtId="0" fontId="21" fillId="12" borderId="2" xfId="1" applyFont="1" applyFill="1" applyBorder="1"/>
    <xf numFmtId="0" fontId="21" fillId="0" borderId="25" xfId="0" applyFont="1" applyBorder="1"/>
    <xf numFmtId="0" fontId="22" fillId="0" borderId="0" xfId="0" applyFont="1" applyAlignment="1">
      <alignment vertical="center" textRotation="180"/>
    </xf>
    <xf numFmtId="0" fontId="18" fillId="0" borderId="57" xfId="0" applyFont="1" applyBorder="1"/>
    <xf numFmtId="0" fontId="0" fillId="0" borderId="28" xfId="0" applyBorder="1"/>
    <xf numFmtId="0" fontId="0" fillId="0" borderId="47" xfId="0" applyBorder="1"/>
    <xf numFmtId="0" fontId="0" fillId="0" borderId="1" xfId="0" applyBorder="1" applyAlignment="1">
      <alignment horizontal="center"/>
    </xf>
    <xf numFmtId="0" fontId="11" fillId="0" borderId="33" xfId="2" applyFont="1" applyFill="1" applyBorder="1" applyAlignment="1">
      <alignment horizontal="center"/>
    </xf>
    <xf numFmtId="0" fontId="11" fillId="0" borderId="34" xfId="2" applyFont="1" applyFill="1" applyBorder="1" applyAlignment="1">
      <alignment horizontal="center"/>
    </xf>
    <xf numFmtId="0" fontId="11" fillId="0" borderId="2" xfId="3" applyFont="1" applyFill="1" applyBorder="1" applyAlignment="1">
      <alignment horizontal="center" vertical="center"/>
    </xf>
    <xf numFmtId="0" fontId="11" fillId="0" borderId="2" xfId="1" applyFont="1" applyFill="1" applyBorder="1" applyAlignment="1">
      <alignment horizontal="center"/>
    </xf>
    <xf numFmtId="0" fontId="21" fillId="0" borderId="40" xfId="0" applyFont="1" applyBorder="1"/>
    <xf numFmtId="0" fontId="18" fillId="0" borderId="58" xfId="1" applyFont="1" applyFill="1" applyBorder="1"/>
    <xf numFmtId="0" fontId="18" fillId="0" borderId="9" xfId="1" applyFont="1" applyFill="1" applyBorder="1"/>
    <xf numFmtId="0" fontId="18" fillId="0" borderId="59" xfId="1" applyFont="1" applyFill="1" applyBorder="1"/>
    <xf numFmtId="0" fontId="20" fillId="12" borderId="2" xfId="0" applyFont="1" applyFill="1" applyBorder="1"/>
    <xf numFmtId="0" fontId="5" fillId="7" borderId="2" xfId="3" applyBorder="1" applyAlignment="1">
      <alignment horizontal="center" vertical="center"/>
    </xf>
    <xf numFmtId="0" fontId="27" fillId="7" borderId="1" xfId="3" applyFont="1" applyBorder="1"/>
    <xf numFmtId="0" fontId="27" fillId="7" borderId="2" xfId="3" applyFont="1" applyBorder="1"/>
    <xf numFmtId="0" fontId="11" fillId="0" borderId="2" xfId="5" applyFont="1" applyFill="1" applyBorder="1" applyAlignment="1">
      <alignment horizontal="center" vertical="center"/>
    </xf>
    <xf numFmtId="0" fontId="11" fillId="0" borderId="2" xfId="3" applyFont="1" applyFill="1" applyBorder="1" applyAlignment="1">
      <alignment horizontal="center"/>
    </xf>
    <xf numFmtId="0" fontId="13" fillId="0" borderId="39" xfId="2" applyFont="1" applyFill="1" applyBorder="1" applyAlignment="1">
      <alignment horizontal="center" vertical="center"/>
    </xf>
    <xf numFmtId="0" fontId="13" fillId="0" borderId="41" xfId="2" applyFont="1" applyFill="1" applyBorder="1" applyAlignment="1">
      <alignment horizontal="center" vertical="center"/>
    </xf>
    <xf numFmtId="0" fontId="13" fillId="0" borderId="40" xfId="2" applyFont="1" applyFill="1" applyBorder="1" applyAlignment="1">
      <alignment horizontal="center" vertical="center"/>
    </xf>
    <xf numFmtId="0" fontId="11" fillId="0" borderId="42" xfId="2" applyFont="1" applyFill="1" applyBorder="1" applyAlignment="1">
      <alignment horizontal="center"/>
    </xf>
    <xf numFmtId="0" fontId="3" fillId="0" borderId="1" xfId="1" applyFill="1" applyBorder="1" applyAlignment="1">
      <alignment horizontal="center" vertical="center"/>
    </xf>
    <xf numFmtId="0" fontId="3" fillId="0" borderId="1" xfId="1" applyFill="1" applyBorder="1" applyAlignment="1">
      <alignment horizontal="center"/>
    </xf>
    <xf numFmtId="0" fontId="3" fillId="0" borderId="2" xfId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center"/>
    </xf>
    <xf numFmtId="0" fontId="3" fillId="0" borderId="2" xfId="1" applyFill="1" applyBorder="1" applyAlignment="1">
      <alignment horizontal="center"/>
    </xf>
    <xf numFmtId="0" fontId="3" fillId="0" borderId="13" xfId="1" applyFill="1" applyBorder="1" applyAlignment="1">
      <alignment horizontal="center" vertical="center"/>
    </xf>
    <xf numFmtId="0" fontId="3" fillId="0" borderId="14" xfId="1" applyFill="1" applyBorder="1" applyAlignment="1">
      <alignment horizontal="center" vertical="center"/>
    </xf>
    <xf numFmtId="0" fontId="0" fillId="0" borderId="33" xfId="0" applyBorder="1"/>
    <xf numFmtId="0" fontId="0" fillId="0" borderId="42" xfId="0" applyBorder="1"/>
    <xf numFmtId="0" fontId="0" fillId="0" borderId="34" xfId="0" applyBorder="1"/>
    <xf numFmtId="0" fontId="0" fillId="0" borderId="31" xfId="0" applyBorder="1"/>
    <xf numFmtId="0" fontId="0" fillId="4" borderId="4" xfId="0" applyFill="1" applyBorder="1" applyAlignment="1">
      <alignment horizontal="center"/>
    </xf>
    <xf numFmtId="0" fontId="6" fillId="0" borderId="1" xfId="4" applyFill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6" applyFont="1" applyFill="1" applyBorder="1" applyAlignment="1">
      <alignment horizontal="center" vertical="center"/>
    </xf>
    <xf numFmtId="0" fontId="6" fillId="0" borderId="13" xfId="4" applyFill="1" applyBorder="1" applyAlignment="1">
      <alignment horizontal="center" vertical="center"/>
    </xf>
    <xf numFmtId="0" fontId="6" fillId="0" borderId="14" xfId="4" applyFill="1" applyBorder="1" applyAlignment="1">
      <alignment horizontal="center" vertical="center"/>
    </xf>
    <xf numFmtId="0" fontId="15" fillId="0" borderId="13" xfId="6" applyFont="1" applyFill="1" applyBorder="1" applyAlignment="1">
      <alignment horizontal="center" vertical="center"/>
    </xf>
    <xf numFmtId="0" fontId="15" fillId="0" borderId="14" xfId="6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" fillId="0" borderId="13" xfId="3" applyFont="1" applyFill="1" applyBorder="1" applyAlignment="1">
      <alignment horizontal="center" vertical="center"/>
    </xf>
    <xf numFmtId="0" fontId="11" fillId="0" borderId="14" xfId="3" applyFont="1" applyFill="1" applyBorder="1" applyAlignment="1">
      <alignment horizontal="center" vertical="center"/>
    </xf>
    <xf numFmtId="0" fontId="11" fillId="0" borderId="13" xfId="2" applyFont="1" applyFill="1" applyBorder="1" applyAlignment="1">
      <alignment horizontal="center" vertical="center"/>
    </xf>
    <xf numFmtId="0" fontId="11" fillId="0" borderId="14" xfId="2" applyFont="1" applyFill="1" applyBorder="1" applyAlignment="1">
      <alignment horizontal="center" vertical="center"/>
    </xf>
    <xf numFmtId="0" fontId="5" fillId="7" borderId="6" xfId="3" applyBorder="1" applyAlignment="1">
      <alignment horizontal="center"/>
    </xf>
    <xf numFmtId="0" fontId="7" fillId="9" borderId="0" xfId="5" applyBorder="1" applyAlignment="1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/>
    <xf numFmtId="10" fontId="0" fillId="0" borderId="5" xfId="0" applyNumberFormat="1" applyBorder="1"/>
    <xf numFmtId="0" fontId="0" fillId="0" borderId="61" xfId="0" applyBorder="1"/>
    <xf numFmtId="10" fontId="0" fillId="0" borderId="61" xfId="0" applyNumberFormat="1" applyBorder="1"/>
    <xf numFmtId="0" fontId="1" fillId="2" borderId="62" xfId="0" applyFont="1" applyFill="1" applyBorder="1" applyAlignment="1">
      <alignment horizontal="center"/>
    </xf>
    <xf numFmtId="165" fontId="0" fillId="0" borderId="0" xfId="0" applyNumberFormat="1"/>
    <xf numFmtId="0" fontId="13" fillId="0" borderId="55" xfId="2" applyFont="1" applyFill="1" applyBorder="1" applyAlignment="1">
      <alignment horizontal="center" vertical="center"/>
    </xf>
    <xf numFmtId="0" fontId="11" fillId="0" borderId="31" xfId="2" applyFont="1" applyFill="1" applyBorder="1" applyAlignment="1">
      <alignment horizontal="center"/>
    </xf>
    <xf numFmtId="16" fontId="0" fillId="0" borderId="0" xfId="0" quotePrefix="1" applyNumberFormat="1"/>
    <xf numFmtId="0" fontId="28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0" borderId="29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0" borderId="10" xfId="2" applyFont="1" applyFill="1" applyBorder="1" applyAlignment="1">
      <alignment horizontal="center" vertical="center"/>
    </xf>
    <xf numFmtId="0" fontId="13" fillId="0" borderId="37" xfId="2" applyFont="1" applyFill="1" applyBorder="1" applyAlignment="1">
      <alignment horizontal="center" vertical="center"/>
    </xf>
    <xf numFmtId="0" fontId="13" fillId="0" borderId="11" xfId="2" applyFont="1" applyFill="1" applyBorder="1" applyAlignment="1">
      <alignment horizontal="center" vertical="center"/>
    </xf>
    <xf numFmtId="0" fontId="13" fillId="0" borderId="31" xfId="2" applyFont="1" applyFill="1" applyBorder="1" applyAlignment="1">
      <alignment horizontal="center"/>
    </xf>
    <xf numFmtId="0" fontId="13" fillId="0" borderId="53" xfId="2" applyFont="1" applyFill="1" applyBorder="1" applyAlignment="1">
      <alignment horizontal="center"/>
    </xf>
    <xf numFmtId="0" fontId="13" fillId="0" borderId="32" xfId="2" applyFont="1" applyFill="1" applyBorder="1" applyAlignment="1">
      <alignment horizontal="center"/>
    </xf>
    <xf numFmtId="0" fontId="5" fillId="7" borderId="19" xfId="3" applyBorder="1" applyAlignment="1">
      <alignment horizontal="center"/>
    </xf>
    <xf numFmtId="0" fontId="5" fillId="7" borderId="27" xfId="3" applyBorder="1" applyAlignment="1">
      <alignment horizontal="center"/>
    </xf>
    <xf numFmtId="0" fontId="5" fillId="7" borderId="54" xfId="3" applyBorder="1" applyAlignment="1">
      <alignment horizontal="center"/>
    </xf>
    <xf numFmtId="0" fontId="3" fillId="0" borderId="10" xfId="1" applyFill="1" applyBorder="1" applyAlignment="1">
      <alignment horizontal="center" vertical="center"/>
    </xf>
    <xf numFmtId="0" fontId="3" fillId="0" borderId="37" xfId="1" applyFill="1" applyBorder="1" applyAlignment="1">
      <alignment horizontal="center" vertical="center"/>
    </xf>
    <xf numFmtId="0" fontId="3" fillId="0" borderId="11" xfId="1" applyFill="1" applyBorder="1" applyAlignment="1">
      <alignment horizontal="center" vertical="center"/>
    </xf>
    <xf numFmtId="0" fontId="8" fillId="0" borderId="18" xfId="1" applyFont="1" applyFill="1" applyBorder="1" applyAlignment="1">
      <alignment horizontal="center"/>
    </xf>
    <xf numFmtId="0" fontId="8" fillId="0" borderId="23" xfId="1" applyFont="1" applyFill="1" applyBorder="1" applyAlignment="1">
      <alignment horizontal="center"/>
    </xf>
    <xf numFmtId="0" fontId="8" fillId="0" borderId="12" xfId="1" applyFont="1" applyFill="1" applyBorder="1" applyAlignment="1">
      <alignment horizontal="center"/>
    </xf>
    <xf numFmtId="0" fontId="9" fillId="0" borderId="18" xfId="3" applyFont="1" applyFill="1" applyBorder="1" applyAlignment="1">
      <alignment horizontal="center"/>
    </xf>
    <xf numFmtId="0" fontId="9" fillId="0" borderId="23" xfId="3" applyFont="1" applyFill="1" applyBorder="1" applyAlignment="1">
      <alignment horizontal="center"/>
    </xf>
    <xf numFmtId="0" fontId="9" fillId="0" borderId="12" xfId="3" applyFont="1" applyFill="1" applyBorder="1" applyAlignment="1">
      <alignment horizontal="center"/>
    </xf>
    <xf numFmtId="0" fontId="14" fillId="0" borderId="18" xfId="5" applyFont="1" applyFill="1" applyBorder="1" applyAlignment="1">
      <alignment horizontal="center"/>
    </xf>
    <xf numFmtId="0" fontId="14" fillId="0" borderId="23" xfId="5" applyFont="1" applyFill="1" applyBorder="1" applyAlignment="1">
      <alignment horizontal="center"/>
    </xf>
    <xf numFmtId="0" fontId="14" fillId="0" borderId="12" xfId="5" applyFont="1" applyFill="1" applyBorder="1" applyAlignment="1">
      <alignment horizontal="center"/>
    </xf>
    <xf numFmtId="0" fontId="5" fillId="7" borderId="19" xfId="3" applyBorder="1" applyAlignment="1">
      <alignment horizontal="center" vertical="center"/>
    </xf>
    <xf numFmtId="0" fontId="5" fillId="7" borderId="27" xfId="3" applyBorder="1" applyAlignment="1">
      <alignment horizontal="center" vertical="center"/>
    </xf>
    <xf numFmtId="0" fontId="5" fillId="7" borderId="28" xfId="3" applyBorder="1" applyAlignment="1">
      <alignment horizontal="center" vertical="center"/>
    </xf>
    <xf numFmtId="16" fontId="10" fillId="0" borderId="18" xfId="2" applyNumberFormat="1" applyFont="1" applyFill="1" applyBorder="1" applyAlignment="1">
      <alignment horizontal="center"/>
    </xf>
    <xf numFmtId="16" fontId="10" fillId="0" borderId="23" xfId="2" applyNumberFormat="1" applyFont="1" applyFill="1" applyBorder="1" applyAlignment="1">
      <alignment horizontal="center"/>
    </xf>
    <xf numFmtId="16" fontId="10" fillId="0" borderId="12" xfId="2" applyNumberFormat="1" applyFont="1" applyFill="1" applyBorder="1" applyAlignment="1">
      <alignment horizontal="center"/>
    </xf>
    <xf numFmtId="0" fontId="11" fillId="0" borderId="10" xfId="1" quotePrefix="1" applyFont="1" applyFill="1" applyBorder="1" applyAlignment="1">
      <alignment horizontal="center"/>
    </xf>
    <xf numFmtId="0" fontId="11" fillId="0" borderId="37" xfId="1" quotePrefix="1" applyFont="1" applyFill="1" applyBorder="1" applyAlignment="1">
      <alignment horizontal="center"/>
    </xf>
    <xf numFmtId="0" fontId="11" fillId="0" borderId="11" xfId="1" quotePrefix="1" applyFont="1" applyFill="1" applyBorder="1" applyAlignment="1">
      <alignment horizontal="center"/>
    </xf>
    <xf numFmtId="0" fontId="11" fillId="0" borderId="10" xfId="4" applyFont="1" applyFill="1" applyBorder="1" applyAlignment="1">
      <alignment horizontal="center"/>
    </xf>
    <xf numFmtId="0" fontId="11" fillId="0" borderId="37" xfId="4" applyFont="1" applyFill="1" applyBorder="1" applyAlignment="1">
      <alignment horizontal="center"/>
    </xf>
    <xf numFmtId="0" fontId="11" fillId="0" borderId="11" xfId="4" applyFont="1" applyFill="1" applyBorder="1" applyAlignment="1">
      <alignment horizontal="center"/>
    </xf>
    <xf numFmtId="0" fontId="24" fillId="0" borderId="30" xfId="2" applyFont="1" applyFill="1" applyBorder="1" applyAlignment="1">
      <alignment horizontal="center" vertical="center"/>
    </xf>
    <xf numFmtId="0" fontId="24" fillId="0" borderId="3" xfId="2" applyFont="1" applyFill="1" applyBorder="1" applyAlignment="1">
      <alignment horizontal="center" vertical="center"/>
    </xf>
    <xf numFmtId="0" fontId="24" fillId="0" borderId="49" xfId="2" applyFont="1" applyFill="1" applyBorder="1" applyAlignment="1">
      <alignment horizontal="center" vertical="center"/>
    </xf>
    <xf numFmtId="0" fontId="6" fillId="0" borderId="30" xfId="4" applyFill="1" applyBorder="1" applyAlignment="1">
      <alignment horizontal="center" vertical="center"/>
    </xf>
    <xf numFmtId="0" fontId="6" fillId="0" borderId="3" xfId="4" applyFill="1" applyBorder="1" applyAlignment="1">
      <alignment horizontal="center" vertical="center"/>
    </xf>
    <xf numFmtId="0" fontId="6" fillId="0" borderId="49" xfId="4" applyFill="1" applyBorder="1" applyAlignment="1">
      <alignment horizontal="center" vertical="center"/>
    </xf>
    <xf numFmtId="0" fontId="3" fillId="0" borderId="30" xfId="1" applyFill="1" applyBorder="1" applyAlignment="1">
      <alignment horizontal="center" vertical="center"/>
    </xf>
    <xf numFmtId="0" fontId="3" fillId="0" borderId="3" xfId="1" applyFill="1" applyBorder="1" applyAlignment="1">
      <alignment horizontal="center" vertical="center"/>
    </xf>
    <xf numFmtId="0" fontId="3" fillId="0" borderId="49" xfId="1" applyFill="1" applyBorder="1" applyAlignment="1">
      <alignment horizontal="center" vertical="center"/>
    </xf>
    <xf numFmtId="0" fontId="26" fillId="0" borderId="30" xfId="6" applyFont="1" applyFill="1" applyBorder="1" applyAlignment="1">
      <alignment horizontal="center" vertical="center"/>
    </xf>
    <xf numFmtId="0" fontId="26" fillId="0" borderId="3" xfId="6" applyFont="1" applyFill="1" applyBorder="1" applyAlignment="1">
      <alignment horizontal="center" vertical="center"/>
    </xf>
    <xf numFmtId="0" fontId="26" fillId="0" borderId="49" xfId="6" applyFont="1" applyFill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11" fillId="0" borderId="30" xfId="3" applyFont="1" applyFill="1" applyBorder="1" applyAlignment="1">
      <alignment horizontal="center" vertical="center"/>
    </xf>
    <xf numFmtId="0" fontId="11" fillId="0" borderId="3" xfId="3" applyFont="1" applyFill="1" applyBorder="1" applyAlignment="1">
      <alignment horizontal="center" vertical="center"/>
    </xf>
    <xf numFmtId="0" fontId="11" fillId="0" borderId="49" xfId="3" applyFont="1" applyFill="1" applyBorder="1" applyAlignment="1">
      <alignment horizontal="center" vertical="center"/>
    </xf>
    <xf numFmtId="0" fontId="11" fillId="0" borderId="10" xfId="2" applyFont="1" applyFill="1" applyBorder="1" applyAlignment="1">
      <alignment horizontal="center"/>
    </xf>
    <xf numFmtId="0" fontId="11" fillId="0" borderId="37" xfId="2" applyFont="1" applyFill="1" applyBorder="1" applyAlignment="1">
      <alignment horizontal="center"/>
    </xf>
    <xf numFmtId="0" fontId="11" fillId="0" borderId="11" xfId="2" applyFont="1" applyFill="1" applyBorder="1" applyAlignment="1">
      <alignment horizontal="center"/>
    </xf>
    <xf numFmtId="0" fontId="11" fillId="0" borderId="10" xfId="3" applyFont="1" applyFill="1" applyBorder="1" applyAlignment="1">
      <alignment horizontal="center"/>
    </xf>
    <xf numFmtId="0" fontId="11" fillId="0" borderId="37" xfId="3" applyFont="1" applyFill="1" applyBorder="1" applyAlignment="1">
      <alignment horizontal="center"/>
    </xf>
    <xf numFmtId="0" fontId="11" fillId="0" borderId="11" xfId="3" applyFont="1" applyFill="1" applyBorder="1" applyAlignment="1">
      <alignment horizontal="center"/>
    </xf>
    <xf numFmtId="0" fontId="5" fillId="7" borderId="60" xfId="3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16" fontId="15" fillId="0" borderId="10" xfId="6" quotePrefix="1" applyNumberFormat="1" applyFont="1" applyFill="1" applyBorder="1" applyAlignment="1">
      <alignment horizontal="center"/>
    </xf>
    <xf numFmtId="16" fontId="15" fillId="0" borderId="37" xfId="6" quotePrefix="1" applyNumberFormat="1" applyFont="1" applyFill="1" applyBorder="1" applyAlignment="1">
      <alignment horizontal="center"/>
    </xf>
    <xf numFmtId="16" fontId="15" fillId="0" borderId="11" xfId="6" quotePrefix="1" applyNumberFormat="1" applyFont="1" applyFill="1" applyBorder="1" applyAlignment="1">
      <alignment horizontal="center"/>
    </xf>
    <xf numFmtId="0" fontId="4" fillId="6" borderId="54" xfId="2" applyBorder="1" applyAlignment="1">
      <alignment horizontal="center" vertical="center"/>
    </xf>
    <xf numFmtId="0" fontId="4" fillId="6" borderId="0" xfId="2" applyBorder="1" applyAlignment="1">
      <alignment horizontal="center" vertical="center"/>
    </xf>
    <xf numFmtId="0" fontId="16" fillId="0" borderId="18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textRotation="180"/>
    </xf>
    <xf numFmtId="0" fontId="22" fillId="0" borderId="37" xfId="0" applyFont="1" applyBorder="1" applyAlignment="1">
      <alignment horizontal="center" vertical="center" textRotation="180"/>
    </xf>
    <xf numFmtId="0" fontId="22" fillId="0" borderId="11" xfId="0" applyFont="1" applyBorder="1" applyAlignment="1">
      <alignment horizontal="center" vertical="center" textRotation="180"/>
    </xf>
    <xf numFmtId="0" fontId="22" fillId="0" borderId="54" xfId="0" applyFont="1" applyBorder="1" applyAlignment="1">
      <alignment horizontal="center" vertical="center" textRotation="180"/>
    </xf>
    <xf numFmtId="0" fontId="22" fillId="0" borderId="0" xfId="0" applyFont="1" applyAlignment="1">
      <alignment horizontal="center" vertical="center" textRotation="180"/>
    </xf>
    <xf numFmtId="0" fontId="22" fillId="0" borderId="38" xfId="0" applyFont="1" applyBorder="1" applyAlignment="1">
      <alignment horizontal="center" vertical="center" textRotation="180"/>
    </xf>
    <xf numFmtId="0" fontId="22" fillId="0" borderId="21" xfId="0" applyFont="1" applyBorder="1" applyAlignment="1">
      <alignment horizontal="center" vertical="center" textRotation="180"/>
    </xf>
    <xf numFmtId="0" fontId="22" fillId="0" borderId="20" xfId="0" applyFont="1" applyBorder="1" applyAlignment="1">
      <alignment horizontal="center" vertical="center" textRotation="180"/>
    </xf>
    <xf numFmtId="0" fontId="22" fillId="0" borderId="22" xfId="0" applyFont="1" applyBorder="1" applyAlignment="1">
      <alignment horizontal="center" vertical="center" textRotation="180"/>
    </xf>
    <xf numFmtId="0" fontId="30" fillId="0" borderId="10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1" xfId="0" applyBorder="1"/>
  </cellXfs>
  <cellStyles count="7">
    <cellStyle name="Bad" xfId="2" builtinId="27"/>
    <cellStyle name="Check Cell" xfId="5" builtinId="23"/>
    <cellStyle name="Good" xfId="1" builtinId="26"/>
    <cellStyle name="Input" xfId="4" builtinId="20"/>
    <cellStyle name="Neutral" xfId="3" builtinId="28"/>
    <cellStyle name="Normal" xfId="0" builtinId="0"/>
    <cellStyle name="Note" xfId="6" builtinId="10"/>
  </cellStyles>
  <dxfs count="4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17-18'!$N$3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17-18'!$B$4:$B$41</c:f>
              <c:strCache>
                <c:ptCount val="38"/>
                <c:pt idx="0">
                  <c:v>MERTESACKER Per</c:v>
                </c:pt>
                <c:pt idx="1">
                  <c:v>KOSCIELNY Laurent</c:v>
                </c:pt>
                <c:pt idx="2">
                  <c:v>MKHITARYAN Henrikh</c:v>
                </c:pt>
                <c:pt idx="3">
                  <c:v>RAMSEY Aaron</c:v>
                </c:pt>
                <c:pt idx="4">
                  <c:v>LACAZETTE Alexandre</c:v>
                </c:pt>
                <c:pt idx="5">
                  <c:v>WILSHERE Jack</c:v>
                </c:pt>
                <c:pt idx="6">
                  <c:v>OZIL Mesut</c:v>
                </c:pt>
                <c:pt idx="7">
                  <c:v>OSPINA David</c:v>
                </c:pt>
                <c:pt idx="8">
                  <c:v>AUBAMEYANG Pierre-Emerick</c:v>
                </c:pt>
                <c:pt idx="9">
                  <c:v>HOLDING Rob</c:v>
                </c:pt>
                <c:pt idx="10">
                  <c:v>IWOBI Alex</c:v>
                </c:pt>
                <c:pt idx="11">
                  <c:v>MONREAL Nacho</c:v>
                </c:pt>
                <c:pt idx="12">
                  <c:v>CAZORLA Santi</c:v>
                </c:pt>
                <c:pt idx="13">
                  <c:v>MUSTAFI Shkodran</c:v>
                </c:pt>
                <c:pt idx="14">
                  <c:v>CHAMBERS Calum</c:v>
                </c:pt>
                <c:pt idx="15">
                  <c:v>REINE-ADELAIDE Jeff</c:v>
                </c:pt>
                <c:pt idx="16">
                  <c:v>WELBECK Danny</c:v>
                </c:pt>
                <c:pt idx="17">
                  <c:v>BELLERIN Hector</c:v>
                </c:pt>
                <c:pt idx="18">
                  <c:v>JENKINSON Carl</c:v>
                </c:pt>
                <c:pt idx="19">
                  <c:v>MARTINEZ Emiliano</c:v>
                </c:pt>
                <c:pt idx="20">
                  <c:v>MAVROPANOS Konstantinos</c:v>
                </c:pt>
                <c:pt idx="21">
                  <c:v>CAMPBELL Joel</c:v>
                </c:pt>
                <c:pt idx="22">
                  <c:v>PEREZ Lucas</c:v>
                </c:pt>
                <c:pt idx="23">
                  <c:v>XHAKA Granit</c:v>
                </c:pt>
                <c:pt idx="24">
                  <c:v>MAITLAND-NILES Ainsley</c:v>
                </c:pt>
                <c:pt idx="25">
                  <c:v>KOLASINAC Sead</c:v>
                </c:pt>
                <c:pt idx="26">
                  <c:v>AKPOM Chuba</c:v>
                </c:pt>
                <c:pt idx="27">
                  <c:v>CECH Petr</c:v>
                </c:pt>
                <c:pt idx="28">
                  <c:v>ELNENY Mohamed</c:v>
                </c:pt>
                <c:pt idx="29">
                  <c:v>BIELIK Krystian</c:v>
                </c:pt>
                <c:pt idx="30">
                  <c:v>ZELALEM Gedion</c:v>
                </c:pt>
                <c:pt idx="31">
                  <c:v>DA SILVA Joshua</c:v>
                </c:pt>
                <c:pt idx="32">
                  <c:v>MACEY Matt</c:v>
                </c:pt>
                <c:pt idx="33">
                  <c:v>MCGUANE Marcus</c:v>
                </c:pt>
                <c:pt idx="34">
                  <c:v>NELSON Reiss</c:v>
                </c:pt>
                <c:pt idx="35">
                  <c:v>NKETIAH Eddie</c:v>
                </c:pt>
                <c:pt idx="36">
                  <c:v>SHEAF Ben</c:v>
                </c:pt>
                <c:pt idx="37">
                  <c:v>WILLOCK Joe</c:v>
                </c:pt>
              </c:strCache>
            </c:strRef>
          </c:cat>
          <c:val>
            <c:numRef>
              <c:f>'Apps &amp; Goals 17-18'!$N$4:$N$41</c:f>
              <c:numCache>
                <c:formatCode>General</c:formatCode>
                <c:ptCount val="38"/>
                <c:pt idx="0">
                  <c:v>12</c:v>
                </c:pt>
                <c:pt idx="1">
                  <c:v>31</c:v>
                </c:pt>
                <c:pt idx="2">
                  <c:v>16</c:v>
                </c:pt>
                <c:pt idx="3">
                  <c:v>31</c:v>
                </c:pt>
                <c:pt idx="4">
                  <c:v>36</c:v>
                </c:pt>
                <c:pt idx="5">
                  <c:v>36</c:v>
                </c:pt>
                <c:pt idx="6">
                  <c:v>33</c:v>
                </c:pt>
                <c:pt idx="7">
                  <c:v>19</c:v>
                </c:pt>
                <c:pt idx="8">
                  <c:v>14</c:v>
                </c:pt>
                <c:pt idx="9">
                  <c:v>26</c:v>
                </c:pt>
                <c:pt idx="10">
                  <c:v>39</c:v>
                </c:pt>
                <c:pt idx="11">
                  <c:v>36</c:v>
                </c:pt>
                <c:pt idx="12">
                  <c:v>0</c:v>
                </c:pt>
                <c:pt idx="13">
                  <c:v>36</c:v>
                </c:pt>
                <c:pt idx="14">
                  <c:v>23</c:v>
                </c:pt>
                <c:pt idx="15">
                  <c:v>0</c:v>
                </c:pt>
                <c:pt idx="16">
                  <c:v>41</c:v>
                </c:pt>
                <c:pt idx="17">
                  <c:v>45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46</c:v>
                </c:pt>
                <c:pt idx="24">
                  <c:v>29</c:v>
                </c:pt>
                <c:pt idx="25">
                  <c:v>35</c:v>
                </c:pt>
                <c:pt idx="26">
                  <c:v>2</c:v>
                </c:pt>
                <c:pt idx="27">
                  <c:v>38</c:v>
                </c:pt>
                <c:pt idx="28">
                  <c:v>32</c:v>
                </c:pt>
                <c:pt idx="29">
                  <c:v>0</c:v>
                </c:pt>
                <c:pt idx="30">
                  <c:v>0</c:v>
                </c:pt>
                <c:pt idx="31">
                  <c:v>3</c:v>
                </c:pt>
                <c:pt idx="32">
                  <c:v>1</c:v>
                </c:pt>
                <c:pt idx="33">
                  <c:v>3</c:v>
                </c:pt>
                <c:pt idx="34">
                  <c:v>17</c:v>
                </c:pt>
                <c:pt idx="35">
                  <c:v>9</c:v>
                </c:pt>
                <c:pt idx="36">
                  <c:v>2</c:v>
                </c:pt>
                <c:pt idx="3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A-44F0-8CAF-CC839705F265}"/>
            </c:ext>
          </c:extLst>
        </c:ser>
        <c:ser>
          <c:idx val="1"/>
          <c:order val="1"/>
          <c:tx>
            <c:strRef>
              <c:f>'Apps &amp; Goals 17-18'!$O$3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17-18'!$B$4:$B$41</c:f>
              <c:strCache>
                <c:ptCount val="38"/>
                <c:pt idx="0">
                  <c:v>MERTESACKER Per</c:v>
                </c:pt>
                <c:pt idx="1">
                  <c:v>KOSCIELNY Laurent</c:v>
                </c:pt>
                <c:pt idx="2">
                  <c:v>MKHITARYAN Henrikh</c:v>
                </c:pt>
                <c:pt idx="3">
                  <c:v>RAMSEY Aaron</c:v>
                </c:pt>
                <c:pt idx="4">
                  <c:v>LACAZETTE Alexandre</c:v>
                </c:pt>
                <c:pt idx="5">
                  <c:v>WILSHERE Jack</c:v>
                </c:pt>
                <c:pt idx="6">
                  <c:v>OZIL Mesut</c:v>
                </c:pt>
                <c:pt idx="7">
                  <c:v>OSPINA David</c:v>
                </c:pt>
                <c:pt idx="8">
                  <c:v>AUBAMEYANG Pierre-Emerick</c:v>
                </c:pt>
                <c:pt idx="9">
                  <c:v>HOLDING Rob</c:v>
                </c:pt>
                <c:pt idx="10">
                  <c:v>IWOBI Alex</c:v>
                </c:pt>
                <c:pt idx="11">
                  <c:v>MONREAL Nacho</c:v>
                </c:pt>
                <c:pt idx="12">
                  <c:v>CAZORLA Santi</c:v>
                </c:pt>
                <c:pt idx="13">
                  <c:v>MUSTAFI Shkodran</c:v>
                </c:pt>
                <c:pt idx="14">
                  <c:v>CHAMBERS Calum</c:v>
                </c:pt>
                <c:pt idx="15">
                  <c:v>REINE-ADELAIDE Jeff</c:v>
                </c:pt>
                <c:pt idx="16">
                  <c:v>WELBECK Danny</c:v>
                </c:pt>
                <c:pt idx="17">
                  <c:v>BELLERIN Hector</c:v>
                </c:pt>
                <c:pt idx="18">
                  <c:v>JENKINSON Carl</c:v>
                </c:pt>
                <c:pt idx="19">
                  <c:v>MARTINEZ Emiliano</c:v>
                </c:pt>
                <c:pt idx="20">
                  <c:v>MAVROPANOS Konstantinos</c:v>
                </c:pt>
                <c:pt idx="21">
                  <c:v>CAMPBELL Joel</c:v>
                </c:pt>
                <c:pt idx="22">
                  <c:v>PEREZ Lucas</c:v>
                </c:pt>
                <c:pt idx="23">
                  <c:v>XHAKA Granit</c:v>
                </c:pt>
                <c:pt idx="24">
                  <c:v>MAITLAND-NILES Ainsley</c:v>
                </c:pt>
                <c:pt idx="25">
                  <c:v>KOLASINAC Sead</c:v>
                </c:pt>
                <c:pt idx="26">
                  <c:v>AKPOM Chuba</c:v>
                </c:pt>
                <c:pt idx="27">
                  <c:v>CECH Petr</c:v>
                </c:pt>
                <c:pt idx="28">
                  <c:v>ELNENY Mohamed</c:v>
                </c:pt>
                <c:pt idx="29">
                  <c:v>BIELIK Krystian</c:v>
                </c:pt>
                <c:pt idx="30">
                  <c:v>ZELALEM Gedion</c:v>
                </c:pt>
                <c:pt idx="31">
                  <c:v>DA SILVA Joshua</c:v>
                </c:pt>
                <c:pt idx="32">
                  <c:v>MACEY Matt</c:v>
                </c:pt>
                <c:pt idx="33">
                  <c:v>MCGUANE Marcus</c:v>
                </c:pt>
                <c:pt idx="34">
                  <c:v>NELSON Reiss</c:v>
                </c:pt>
                <c:pt idx="35">
                  <c:v>NKETIAH Eddie</c:v>
                </c:pt>
                <c:pt idx="36">
                  <c:v>SHEAF Ben</c:v>
                </c:pt>
                <c:pt idx="37">
                  <c:v>WILLOCK Joe</c:v>
                </c:pt>
              </c:strCache>
            </c:strRef>
          </c:cat>
          <c:val>
            <c:numRef>
              <c:f>'Apps &amp; Goals 17-18'!$O$4:$O$41</c:f>
              <c:numCache>
                <c:formatCode>General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11</c:v>
                </c:pt>
                <c:pt idx="4">
                  <c:v>16</c:v>
                </c:pt>
                <c:pt idx="5">
                  <c:v>2</c:v>
                </c:pt>
                <c:pt idx="6">
                  <c:v>5</c:v>
                </c:pt>
                <c:pt idx="7">
                  <c:v>0</c:v>
                </c:pt>
                <c:pt idx="8">
                  <c:v>10</c:v>
                </c:pt>
                <c:pt idx="9">
                  <c:v>1</c:v>
                </c:pt>
                <c:pt idx="10">
                  <c:v>3</c:v>
                </c:pt>
                <c:pt idx="11">
                  <c:v>6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EA-44F0-8CAF-CC839705F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18-19'!$N$3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18-19'!$B$4:$B$42</c:f>
              <c:strCache>
                <c:ptCount val="39"/>
                <c:pt idx="0">
                  <c:v>CECH Petr</c:v>
                </c:pt>
                <c:pt idx="1">
                  <c:v>BELLERIN Hector</c:v>
                </c:pt>
                <c:pt idx="2">
                  <c:v>ELNENY Mohamed</c:v>
                </c:pt>
                <c:pt idx="3">
                  <c:v>PAPASTATHOPULOS Sokratis</c:v>
                </c:pt>
                <c:pt idx="4">
                  <c:v>KOSCIELNY Laurent</c:v>
                </c:pt>
                <c:pt idx="5">
                  <c:v>MKHITARYAN Henrikh</c:v>
                </c:pt>
                <c:pt idx="6">
                  <c:v>RAMSEY Aaron</c:v>
                </c:pt>
                <c:pt idx="7">
                  <c:v>LACAZETTE Alexandre</c:v>
                </c:pt>
                <c:pt idx="8">
                  <c:v>OZIL Mesut</c:v>
                </c:pt>
                <c:pt idx="9">
                  <c:v>TORREIRA Lucas</c:v>
                </c:pt>
                <c:pt idx="10">
                  <c:v>LICHTSTEINER Stephan</c:v>
                </c:pt>
                <c:pt idx="11">
                  <c:v>OSPINA David</c:v>
                </c:pt>
                <c:pt idx="12">
                  <c:v>AUBAMEYANG Pierre-Emerick</c:v>
                </c:pt>
                <c:pt idx="13">
                  <c:v>MAITLAND-NILES Ainsley</c:v>
                </c:pt>
                <c:pt idx="14">
                  <c:v>HOLDING Rob</c:v>
                </c:pt>
                <c:pt idx="15">
                  <c:v>IWOBI Alex</c:v>
                </c:pt>
                <c:pt idx="16">
                  <c:v>MONREAL Nacho</c:v>
                </c:pt>
                <c:pt idx="17">
                  <c:v>LENO Berndt</c:v>
                </c:pt>
                <c:pt idx="18">
                  <c:v>MUSTAFI Shkodran</c:v>
                </c:pt>
                <c:pt idx="19">
                  <c:v>CHAMBERS Calum</c:v>
                </c:pt>
                <c:pt idx="20">
                  <c:v>SUAREZ Denis</c:v>
                </c:pt>
                <c:pt idx="21">
                  <c:v>WELBECK Danny</c:v>
                </c:pt>
                <c:pt idx="22">
                  <c:v>JENKINSON Carl</c:v>
                </c:pt>
                <c:pt idx="23">
                  <c:v>MARTINEZ Emiliano</c:v>
                </c:pt>
                <c:pt idx="24">
                  <c:v>MAVROPANOS Konstantinos</c:v>
                </c:pt>
                <c:pt idx="25">
                  <c:v>GUENDOUZI Matteo</c:v>
                </c:pt>
                <c:pt idx="26">
                  <c:v>KOLASINAC Sead</c:v>
                </c:pt>
                <c:pt idx="27">
                  <c:v>XHAKA Granit</c:v>
                </c:pt>
                <c:pt idx="28">
                  <c:v>BIELIK Krystian</c:v>
                </c:pt>
                <c:pt idx="29">
                  <c:v>ZELALEM Gedion</c:v>
                </c:pt>
                <c:pt idx="30">
                  <c:v>GILMOUR Charlie</c:v>
                </c:pt>
                <c:pt idx="31">
                  <c:v>MEDLEY Zech</c:v>
                </c:pt>
                <c:pt idx="32">
                  <c:v>NKETIAH Eddie</c:v>
                </c:pt>
                <c:pt idx="33">
                  <c:v>PLEGUEZUELO Julio</c:v>
                </c:pt>
                <c:pt idx="34">
                  <c:v>MACEY Matt</c:v>
                </c:pt>
                <c:pt idx="35">
                  <c:v>SMITH-ROWE Emile</c:v>
                </c:pt>
                <c:pt idx="36">
                  <c:v>WILLOCK Joe</c:v>
                </c:pt>
                <c:pt idx="37">
                  <c:v>NELSON Reiss</c:v>
                </c:pt>
                <c:pt idx="38">
                  <c:v>SHEAF Ben</c:v>
                </c:pt>
              </c:strCache>
            </c:strRef>
          </c:cat>
          <c:val>
            <c:numRef>
              <c:f>'Apps &amp; Goals 18-19'!$N$4:$N$42</c:f>
              <c:numCache>
                <c:formatCode>General</c:formatCode>
                <c:ptCount val="39"/>
                <c:pt idx="0">
                  <c:v>22</c:v>
                </c:pt>
                <c:pt idx="1">
                  <c:v>19</c:v>
                </c:pt>
                <c:pt idx="2">
                  <c:v>17</c:v>
                </c:pt>
                <c:pt idx="3">
                  <c:v>40</c:v>
                </c:pt>
                <c:pt idx="4">
                  <c:v>28</c:v>
                </c:pt>
                <c:pt idx="5">
                  <c:v>38</c:v>
                </c:pt>
                <c:pt idx="6">
                  <c:v>41</c:v>
                </c:pt>
                <c:pt idx="7">
                  <c:v>49</c:v>
                </c:pt>
                <c:pt idx="8">
                  <c:v>34</c:v>
                </c:pt>
                <c:pt idx="9">
                  <c:v>50</c:v>
                </c:pt>
                <c:pt idx="10">
                  <c:v>23</c:v>
                </c:pt>
                <c:pt idx="11">
                  <c:v>0</c:v>
                </c:pt>
                <c:pt idx="12">
                  <c:v>50</c:v>
                </c:pt>
                <c:pt idx="13">
                  <c:v>30</c:v>
                </c:pt>
                <c:pt idx="14">
                  <c:v>16</c:v>
                </c:pt>
                <c:pt idx="15">
                  <c:v>51</c:v>
                </c:pt>
                <c:pt idx="16">
                  <c:v>36</c:v>
                </c:pt>
                <c:pt idx="17">
                  <c:v>36</c:v>
                </c:pt>
                <c:pt idx="18">
                  <c:v>40</c:v>
                </c:pt>
                <c:pt idx="19">
                  <c:v>0</c:v>
                </c:pt>
                <c:pt idx="20">
                  <c:v>6</c:v>
                </c:pt>
                <c:pt idx="21">
                  <c:v>14</c:v>
                </c:pt>
                <c:pt idx="22">
                  <c:v>8</c:v>
                </c:pt>
                <c:pt idx="23">
                  <c:v>1</c:v>
                </c:pt>
                <c:pt idx="24">
                  <c:v>4</c:v>
                </c:pt>
                <c:pt idx="25">
                  <c:v>48</c:v>
                </c:pt>
                <c:pt idx="26">
                  <c:v>36</c:v>
                </c:pt>
                <c:pt idx="27">
                  <c:v>40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3</c:v>
                </c:pt>
                <c:pt idx="32">
                  <c:v>9</c:v>
                </c:pt>
                <c:pt idx="33">
                  <c:v>1</c:v>
                </c:pt>
                <c:pt idx="34">
                  <c:v>0</c:v>
                </c:pt>
                <c:pt idx="35">
                  <c:v>6</c:v>
                </c:pt>
                <c:pt idx="36">
                  <c:v>6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0-43D4-904B-2447B99B4843}"/>
            </c:ext>
          </c:extLst>
        </c:ser>
        <c:ser>
          <c:idx val="1"/>
          <c:order val="1"/>
          <c:tx>
            <c:strRef>
              <c:f>'Apps &amp; Goals 18-19'!$O$3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18-19'!$B$4:$B$42</c:f>
              <c:strCache>
                <c:ptCount val="39"/>
                <c:pt idx="0">
                  <c:v>CECH Petr</c:v>
                </c:pt>
                <c:pt idx="1">
                  <c:v>BELLERIN Hector</c:v>
                </c:pt>
                <c:pt idx="2">
                  <c:v>ELNENY Mohamed</c:v>
                </c:pt>
                <c:pt idx="3">
                  <c:v>PAPASTATHOPULOS Sokratis</c:v>
                </c:pt>
                <c:pt idx="4">
                  <c:v>KOSCIELNY Laurent</c:v>
                </c:pt>
                <c:pt idx="5">
                  <c:v>MKHITARYAN Henrikh</c:v>
                </c:pt>
                <c:pt idx="6">
                  <c:v>RAMSEY Aaron</c:v>
                </c:pt>
                <c:pt idx="7">
                  <c:v>LACAZETTE Alexandre</c:v>
                </c:pt>
                <c:pt idx="8">
                  <c:v>OZIL Mesut</c:v>
                </c:pt>
                <c:pt idx="9">
                  <c:v>TORREIRA Lucas</c:v>
                </c:pt>
                <c:pt idx="10">
                  <c:v>LICHTSTEINER Stephan</c:v>
                </c:pt>
                <c:pt idx="11">
                  <c:v>OSPINA David</c:v>
                </c:pt>
                <c:pt idx="12">
                  <c:v>AUBAMEYANG Pierre-Emerick</c:v>
                </c:pt>
                <c:pt idx="13">
                  <c:v>MAITLAND-NILES Ainsley</c:v>
                </c:pt>
                <c:pt idx="14">
                  <c:v>HOLDING Rob</c:v>
                </c:pt>
                <c:pt idx="15">
                  <c:v>IWOBI Alex</c:v>
                </c:pt>
                <c:pt idx="16">
                  <c:v>MONREAL Nacho</c:v>
                </c:pt>
                <c:pt idx="17">
                  <c:v>LENO Berndt</c:v>
                </c:pt>
                <c:pt idx="18">
                  <c:v>MUSTAFI Shkodran</c:v>
                </c:pt>
                <c:pt idx="19">
                  <c:v>CHAMBERS Calum</c:v>
                </c:pt>
                <c:pt idx="20">
                  <c:v>SUAREZ Denis</c:v>
                </c:pt>
                <c:pt idx="21">
                  <c:v>WELBECK Danny</c:v>
                </c:pt>
                <c:pt idx="22">
                  <c:v>JENKINSON Carl</c:v>
                </c:pt>
                <c:pt idx="23">
                  <c:v>MARTINEZ Emiliano</c:v>
                </c:pt>
                <c:pt idx="24">
                  <c:v>MAVROPANOS Konstantinos</c:v>
                </c:pt>
                <c:pt idx="25">
                  <c:v>GUENDOUZI Matteo</c:v>
                </c:pt>
                <c:pt idx="26">
                  <c:v>KOLASINAC Sead</c:v>
                </c:pt>
                <c:pt idx="27">
                  <c:v>XHAKA Granit</c:v>
                </c:pt>
                <c:pt idx="28">
                  <c:v>BIELIK Krystian</c:v>
                </c:pt>
                <c:pt idx="29">
                  <c:v>ZELALEM Gedion</c:v>
                </c:pt>
                <c:pt idx="30">
                  <c:v>GILMOUR Charlie</c:v>
                </c:pt>
                <c:pt idx="31">
                  <c:v>MEDLEY Zech</c:v>
                </c:pt>
                <c:pt idx="32">
                  <c:v>NKETIAH Eddie</c:v>
                </c:pt>
                <c:pt idx="33">
                  <c:v>PLEGUEZUELO Julio</c:v>
                </c:pt>
                <c:pt idx="34">
                  <c:v>MACEY Matt</c:v>
                </c:pt>
                <c:pt idx="35">
                  <c:v>SMITH-ROWE Emile</c:v>
                </c:pt>
                <c:pt idx="36">
                  <c:v>WILLOCK Joe</c:v>
                </c:pt>
                <c:pt idx="37">
                  <c:v>NELSON Reiss</c:v>
                </c:pt>
                <c:pt idx="38">
                  <c:v>SHEAF Ben</c:v>
                </c:pt>
              </c:strCache>
            </c:strRef>
          </c:cat>
          <c:val>
            <c:numRef>
              <c:f>'Apps &amp; Goals 18-19'!$O$4:$O$42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19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31</c:v>
                </c:pt>
                <c:pt idx="13">
                  <c:v>2</c:v>
                </c:pt>
                <c:pt idx="14">
                  <c:v>0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3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0-43D4-904B-2447B99B4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19-20'!$N$3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19-20'!$B$5:$B$35</c:f>
              <c:strCache>
                <c:ptCount val="31"/>
                <c:pt idx="0">
                  <c:v>BELLERIN Hector</c:v>
                </c:pt>
                <c:pt idx="1">
                  <c:v>TIERNEY Kieran</c:v>
                </c:pt>
                <c:pt idx="2">
                  <c:v>ELNENY Mohamed</c:v>
                </c:pt>
                <c:pt idx="3">
                  <c:v>PAPASTATHOPULOS Sokratis</c:v>
                </c:pt>
                <c:pt idx="4">
                  <c:v>MKHITARYAN Henrikh</c:v>
                </c:pt>
                <c:pt idx="5">
                  <c:v>CEBALLOS Dani</c:v>
                </c:pt>
                <c:pt idx="6">
                  <c:v>LACAZETTE Alexandre</c:v>
                </c:pt>
                <c:pt idx="7">
                  <c:v>OZIL Mesut</c:v>
                </c:pt>
                <c:pt idx="8">
                  <c:v>TORREIRA Lucas</c:v>
                </c:pt>
                <c:pt idx="9">
                  <c:v>AUBAMEYANG Pierre-Emerick</c:v>
                </c:pt>
                <c:pt idx="10">
                  <c:v>MAITLAND-NILES Ainsley</c:v>
                </c:pt>
                <c:pt idx="11">
                  <c:v>HOLDING Rob</c:v>
                </c:pt>
                <c:pt idx="12">
                  <c:v>SOARES Cedric</c:v>
                </c:pt>
                <c:pt idx="13">
                  <c:v>PEPE Nicolas</c:v>
                </c:pt>
                <c:pt idx="14">
                  <c:v>MUSTAFI Shkodran</c:v>
                </c:pt>
                <c:pt idx="15">
                  <c:v>CHAMBERS Calum</c:v>
                </c:pt>
                <c:pt idx="16">
                  <c:v>MARI Pablo</c:v>
                </c:pt>
                <c:pt idx="17">
                  <c:v>LUIZ David</c:v>
                </c:pt>
                <c:pt idx="18">
                  <c:v>NELSON Reiss</c:v>
                </c:pt>
                <c:pt idx="19">
                  <c:v>MARTINEZ Emiliano</c:v>
                </c:pt>
                <c:pt idx="20">
                  <c:v>MAVROPANOS Konstantinos</c:v>
                </c:pt>
                <c:pt idx="21">
                  <c:v>WILLOCK Joe</c:v>
                </c:pt>
                <c:pt idx="22">
                  <c:v>GUENDOUZI Matteo</c:v>
                </c:pt>
                <c:pt idx="23">
                  <c:v>NKETIAH Eddie</c:v>
                </c:pt>
                <c:pt idx="24">
                  <c:v>KOLASINAC Sead</c:v>
                </c:pt>
                <c:pt idx="25">
                  <c:v>SMITH-ROWE Emile</c:v>
                </c:pt>
                <c:pt idx="26">
                  <c:v>MACEY Matt</c:v>
                </c:pt>
                <c:pt idx="27">
                  <c:v>XHAKA Granit</c:v>
                </c:pt>
                <c:pt idx="28">
                  <c:v>MARTINELLI Gabriel</c:v>
                </c:pt>
                <c:pt idx="29">
                  <c:v>MEDLEY Zech</c:v>
                </c:pt>
                <c:pt idx="30">
                  <c:v>SHEAF Ben</c:v>
                </c:pt>
              </c:strCache>
            </c:strRef>
          </c:cat>
          <c:val>
            <c:numRef>
              <c:f>'Apps &amp; Goals 19-20'!$N$5:$N$35</c:f>
              <c:numCache>
                <c:formatCode>General</c:formatCode>
                <c:ptCount val="31"/>
                <c:pt idx="0">
                  <c:v>23</c:v>
                </c:pt>
                <c:pt idx="1">
                  <c:v>24</c:v>
                </c:pt>
                <c:pt idx="2">
                  <c:v>0</c:v>
                </c:pt>
                <c:pt idx="3">
                  <c:v>29</c:v>
                </c:pt>
                <c:pt idx="4">
                  <c:v>3</c:v>
                </c:pt>
                <c:pt idx="5">
                  <c:v>37</c:v>
                </c:pt>
                <c:pt idx="6">
                  <c:v>39</c:v>
                </c:pt>
                <c:pt idx="7">
                  <c:v>23</c:v>
                </c:pt>
                <c:pt idx="8">
                  <c:v>38</c:v>
                </c:pt>
                <c:pt idx="9">
                  <c:v>44</c:v>
                </c:pt>
                <c:pt idx="10">
                  <c:v>32</c:v>
                </c:pt>
                <c:pt idx="11">
                  <c:v>17</c:v>
                </c:pt>
                <c:pt idx="12">
                  <c:v>5</c:v>
                </c:pt>
                <c:pt idx="13">
                  <c:v>42</c:v>
                </c:pt>
                <c:pt idx="14">
                  <c:v>27</c:v>
                </c:pt>
                <c:pt idx="15">
                  <c:v>18</c:v>
                </c:pt>
                <c:pt idx="16">
                  <c:v>3</c:v>
                </c:pt>
                <c:pt idx="17">
                  <c:v>43</c:v>
                </c:pt>
                <c:pt idx="18">
                  <c:v>22</c:v>
                </c:pt>
                <c:pt idx="19">
                  <c:v>23</c:v>
                </c:pt>
                <c:pt idx="20">
                  <c:v>1</c:v>
                </c:pt>
                <c:pt idx="21">
                  <c:v>43</c:v>
                </c:pt>
                <c:pt idx="22">
                  <c:v>34</c:v>
                </c:pt>
                <c:pt idx="23">
                  <c:v>18</c:v>
                </c:pt>
                <c:pt idx="24">
                  <c:v>32</c:v>
                </c:pt>
                <c:pt idx="25">
                  <c:v>6</c:v>
                </c:pt>
                <c:pt idx="26">
                  <c:v>0</c:v>
                </c:pt>
                <c:pt idx="27">
                  <c:v>41</c:v>
                </c:pt>
                <c:pt idx="28">
                  <c:v>26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3-4E94-A863-2BCCD988397A}"/>
            </c:ext>
          </c:extLst>
        </c:ser>
        <c:ser>
          <c:idx val="1"/>
          <c:order val="1"/>
          <c:tx>
            <c:strRef>
              <c:f>'Apps &amp; Goals 19-20'!$O$3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19-20'!$B$5:$B$35</c:f>
              <c:strCache>
                <c:ptCount val="31"/>
                <c:pt idx="0">
                  <c:v>BELLERIN Hector</c:v>
                </c:pt>
                <c:pt idx="1">
                  <c:v>TIERNEY Kieran</c:v>
                </c:pt>
                <c:pt idx="2">
                  <c:v>ELNENY Mohamed</c:v>
                </c:pt>
                <c:pt idx="3">
                  <c:v>PAPASTATHOPULOS Sokratis</c:v>
                </c:pt>
                <c:pt idx="4">
                  <c:v>MKHITARYAN Henrikh</c:v>
                </c:pt>
                <c:pt idx="5">
                  <c:v>CEBALLOS Dani</c:v>
                </c:pt>
                <c:pt idx="6">
                  <c:v>LACAZETTE Alexandre</c:v>
                </c:pt>
                <c:pt idx="7">
                  <c:v>OZIL Mesut</c:v>
                </c:pt>
                <c:pt idx="8">
                  <c:v>TORREIRA Lucas</c:v>
                </c:pt>
                <c:pt idx="9">
                  <c:v>AUBAMEYANG Pierre-Emerick</c:v>
                </c:pt>
                <c:pt idx="10">
                  <c:v>MAITLAND-NILES Ainsley</c:v>
                </c:pt>
                <c:pt idx="11">
                  <c:v>HOLDING Rob</c:v>
                </c:pt>
                <c:pt idx="12">
                  <c:v>SOARES Cedric</c:v>
                </c:pt>
                <c:pt idx="13">
                  <c:v>PEPE Nicolas</c:v>
                </c:pt>
                <c:pt idx="14">
                  <c:v>MUSTAFI Shkodran</c:v>
                </c:pt>
                <c:pt idx="15">
                  <c:v>CHAMBERS Calum</c:v>
                </c:pt>
                <c:pt idx="16">
                  <c:v>MARI Pablo</c:v>
                </c:pt>
                <c:pt idx="17">
                  <c:v>LUIZ David</c:v>
                </c:pt>
                <c:pt idx="18">
                  <c:v>NELSON Reiss</c:v>
                </c:pt>
                <c:pt idx="19">
                  <c:v>MARTINEZ Emiliano</c:v>
                </c:pt>
                <c:pt idx="20">
                  <c:v>MAVROPANOS Konstantinos</c:v>
                </c:pt>
                <c:pt idx="21">
                  <c:v>WILLOCK Joe</c:v>
                </c:pt>
                <c:pt idx="22">
                  <c:v>GUENDOUZI Matteo</c:v>
                </c:pt>
                <c:pt idx="23">
                  <c:v>NKETIAH Eddie</c:v>
                </c:pt>
                <c:pt idx="24">
                  <c:v>KOLASINAC Sead</c:v>
                </c:pt>
                <c:pt idx="25">
                  <c:v>SMITH-ROWE Emile</c:v>
                </c:pt>
                <c:pt idx="26">
                  <c:v>MACEY Matt</c:v>
                </c:pt>
                <c:pt idx="27">
                  <c:v>XHAKA Granit</c:v>
                </c:pt>
                <c:pt idx="28">
                  <c:v>MARTINELLI Gabriel</c:v>
                </c:pt>
                <c:pt idx="29">
                  <c:v>MEDLEY Zech</c:v>
                </c:pt>
                <c:pt idx="30">
                  <c:v>SHEAF Ben</c:v>
                </c:pt>
              </c:strCache>
            </c:strRef>
          </c:cat>
          <c:val>
            <c:numRef>
              <c:f>'Apps &amp; Goals 19-20'!$O$5:$O$35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12</c:v>
                </c:pt>
                <c:pt idx="7">
                  <c:v>1</c:v>
                </c:pt>
                <c:pt idx="8">
                  <c:v>2</c:v>
                </c:pt>
                <c:pt idx="9">
                  <c:v>29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8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3-4E94-A863-2BCCD9883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20-21'!$M$3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20-21'!$B$4:$B$40</c:f>
              <c:strCache>
                <c:ptCount val="37"/>
                <c:pt idx="0">
                  <c:v>LENO Berndt</c:v>
                </c:pt>
                <c:pt idx="1">
                  <c:v>BELLERIN Hector</c:v>
                </c:pt>
                <c:pt idx="2">
                  <c:v>TIERNEY Kieran</c:v>
                </c:pt>
                <c:pt idx="3">
                  <c:v>SALIBA William</c:v>
                </c:pt>
                <c:pt idx="4">
                  <c:v>GABRIEL</c:v>
                </c:pt>
                <c:pt idx="5">
                  <c:v>SAKA Bukayo</c:v>
                </c:pt>
                <c:pt idx="6">
                  <c:v>CEBALLOS Dani</c:v>
                </c:pt>
                <c:pt idx="7">
                  <c:v>LACAZETTE Alexandre</c:v>
                </c:pt>
                <c:pt idx="8">
                  <c:v>TORREIRA Lucas</c:v>
                </c:pt>
                <c:pt idx="9">
                  <c:v>ODEGAARD Martin</c:v>
                </c:pt>
                <c:pt idx="10">
                  <c:v>WILLIAN</c:v>
                </c:pt>
                <c:pt idx="11">
                  <c:v>RUNARSSON Runar</c:v>
                </c:pt>
                <c:pt idx="12">
                  <c:v>AUBAMEYANG Pierre-Emerick</c:v>
                </c:pt>
                <c:pt idx="13">
                  <c:v>MAITLAND-NILES Ainsley</c:v>
                </c:pt>
                <c:pt idx="14">
                  <c:v>HOLDING Rob</c:v>
                </c:pt>
                <c:pt idx="15">
                  <c:v>SOARES Cedric</c:v>
                </c:pt>
                <c:pt idx="16">
                  <c:v>PARTEY Thomas</c:v>
                </c:pt>
                <c:pt idx="17">
                  <c:v>PEPE Nicolas</c:v>
                </c:pt>
                <c:pt idx="18">
                  <c:v>CHAMBERS Calum</c:v>
                </c:pt>
                <c:pt idx="19">
                  <c:v>MARI Pablo</c:v>
                </c:pt>
                <c:pt idx="20">
                  <c:v>LUIZ David</c:v>
                </c:pt>
                <c:pt idx="21">
                  <c:v>NELSON Reiss</c:v>
                </c:pt>
                <c:pt idx="22">
                  <c:v>ELNENY Mohamed</c:v>
                </c:pt>
                <c:pt idx="23">
                  <c:v>MAVROPANOS Konstantinos</c:v>
                </c:pt>
                <c:pt idx="24">
                  <c:v>WILLOCK Joe</c:v>
                </c:pt>
                <c:pt idx="25">
                  <c:v>GUENDOUZI Matteo</c:v>
                </c:pt>
                <c:pt idx="26">
                  <c:v>NKETIAH Eddie</c:v>
                </c:pt>
                <c:pt idx="27">
                  <c:v>KOLASINAC Sead</c:v>
                </c:pt>
                <c:pt idx="28">
                  <c:v>SMITH-ROWE Emile</c:v>
                </c:pt>
                <c:pt idx="29">
                  <c:v>RYAN Matthew</c:v>
                </c:pt>
                <c:pt idx="30">
                  <c:v>XHAKA Granit</c:v>
                </c:pt>
                <c:pt idx="31">
                  <c:v>MARTINELLI Gabriel</c:v>
                </c:pt>
                <c:pt idx="32">
                  <c:v>BALOGUN Folarin</c:v>
                </c:pt>
                <c:pt idx="33">
                  <c:v>COTTRELL Ben</c:v>
                </c:pt>
                <c:pt idx="34">
                  <c:v>MEDLEY Zech</c:v>
                </c:pt>
                <c:pt idx="35">
                  <c:v>SHEAF Ben</c:v>
                </c:pt>
                <c:pt idx="36">
                  <c:v>AZEEZ Miguel</c:v>
                </c:pt>
              </c:strCache>
            </c:strRef>
          </c:cat>
          <c:val>
            <c:numRef>
              <c:f>'Apps &amp; Goals 20-21'!$M$4:$M$40</c:f>
              <c:numCache>
                <c:formatCode>General</c:formatCode>
                <c:ptCount val="37"/>
                <c:pt idx="0">
                  <c:v>49</c:v>
                </c:pt>
                <c:pt idx="1">
                  <c:v>35</c:v>
                </c:pt>
                <c:pt idx="2">
                  <c:v>37</c:v>
                </c:pt>
                <c:pt idx="3">
                  <c:v>0</c:v>
                </c:pt>
                <c:pt idx="4">
                  <c:v>32</c:v>
                </c:pt>
                <c:pt idx="5">
                  <c:v>46</c:v>
                </c:pt>
                <c:pt idx="6">
                  <c:v>39</c:v>
                </c:pt>
                <c:pt idx="7">
                  <c:v>43</c:v>
                </c:pt>
                <c:pt idx="8">
                  <c:v>0</c:v>
                </c:pt>
                <c:pt idx="9">
                  <c:v>20</c:v>
                </c:pt>
                <c:pt idx="10">
                  <c:v>37</c:v>
                </c:pt>
                <c:pt idx="11">
                  <c:v>6</c:v>
                </c:pt>
                <c:pt idx="12">
                  <c:v>39</c:v>
                </c:pt>
                <c:pt idx="13">
                  <c:v>21</c:v>
                </c:pt>
                <c:pt idx="14">
                  <c:v>39</c:v>
                </c:pt>
                <c:pt idx="15">
                  <c:v>24</c:v>
                </c:pt>
                <c:pt idx="16">
                  <c:v>33</c:v>
                </c:pt>
                <c:pt idx="17">
                  <c:v>47</c:v>
                </c:pt>
                <c:pt idx="18">
                  <c:v>16</c:v>
                </c:pt>
                <c:pt idx="19">
                  <c:v>16</c:v>
                </c:pt>
                <c:pt idx="20">
                  <c:v>30</c:v>
                </c:pt>
                <c:pt idx="21">
                  <c:v>8</c:v>
                </c:pt>
                <c:pt idx="22">
                  <c:v>41</c:v>
                </c:pt>
                <c:pt idx="23">
                  <c:v>0</c:v>
                </c:pt>
                <c:pt idx="24">
                  <c:v>16</c:v>
                </c:pt>
                <c:pt idx="25">
                  <c:v>0</c:v>
                </c:pt>
                <c:pt idx="26">
                  <c:v>29</c:v>
                </c:pt>
                <c:pt idx="27">
                  <c:v>9</c:v>
                </c:pt>
                <c:pt idx="28">
                  <c:v>33</c:v>
                </c:pt>
                <c:pt idx="29">
                  <c:v>3</c:v>
                </c:pt>
                <c:pt idx="30">
                  <c:v>45</c:v>
                </c:pt>
                <c:pt idx="31">
                  <c:v>22</c:v>
                </c:pt>
                <c:pt idx="32">
                  <c:v>6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E-4CA3-A40A-2A38F6EF453C}"/>
            </c:ext>
          </c:extLst>
        </c:ser>
        <c:ser>
          <c:idx val="1"/>
          <c:order val="1"/>
          <c:tx>
            <c:strRef>
              <c:f>'Apps &amp; Goals 20-21'!$N$3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20-21'!$B$4:$B$40</c:f>
              <c:strCache>
                <c:ptCount val="37"/>
                <c:pt idx="0">
                  <c:v>LENO Berndt</c:v>
                </c:pt>
                <c:pt idx="1">
                  <c:v>BELLERIN Hector</c:v>
                </c:pt>
                <c:pt idx="2">
                  <c:v>TIERNEY Kieran</c:v>
                </c:pt>
                <c:pt idx="3">
                  <c:v>SALIBA William</c:v>
                </c:pt>
                <c:pt idx="4">
                  <c:v>GABRIEL</c:v>
                </c:pt>
                <c:pt idx="5">
                  <c:v>SAKA Bukayo</c:v>
                </c:pt>
                <c:pt idx="6">
                  <c:v>CEBALLOS Dani</c:v>
                </c:pt>
                <c:pt idx="7">
                  <c:v>LACAZETTE Alexandre</c:v>
                </c:pt>
                <c:pt idx="8">
                  <c:v>TORREIRA Lucas</c:v>
                </c:pt>
                <c:pt idx="9">
                  <c:v>ODEGAARD Martin</c:v>
                </c:pt>
                <c:pt idx="10">
                  <c:v>WILLIAN</c:v>
                </c:pt>
                <c:pt idx="11">
                  <c:v>RUNARSSON Runar</c:v>
                </c:pt>
                <c:pt idx="12">
                  <c:v>AUBAMEYANG Pierre-Emerick</c:v>
                </c:pt>
                <c:pt idx="13">
                  <c:v>MAITLAND-NILES Ainsley</c:v>
                </c:pt>
                <c:pt idx="14">
                  <c:v>HOLDING Rob</c:v>
                </c:pt>
                <c:pt idx="15">
                  <c:v>SOARES Cedric</c:v>
                </c:pt>
                <c:pt idx="16">
                  <c:v>PARTEY Thomas</c:v>
                </c:pt>
                <c:pt idx="17">
                  <c:v>PEPE Nicolas</c:v>
                </c:pt>
                <c:pt idx="18">
                  <c:v>CHAMBERS Calum</c:v>
                </c:pt>
                <c:pt idx="19">
                  <c:v>MARI Pablo</c:v>
                </c:pt>
                <c:pt idx="20">
                  <c:v>LUIZ David</c:v>
                </c:pt>
                <c:pt idx="21">
                  <c:v>NELSON Reiss</c:v>
                </c:pt>
                <c:pt idx="22">
                  <c:v>ELNENY Mohamed</c:v>
                </c:pt>
                <c:pt idx="23">
                  <c:v>MAVROPANOS Konstantinos</c:v>
                </c:pt>
                <c:pt idx="24">
                  <c:v>WILLOCK Joe</c:v>
                </c:pt>
                <c:pt idx="25">
                  <c:v>GUENDOUZI Matteo</c:v>
                </c:pt>
                <c:pt idx="26">
                  <c:v>NKETIAH Eddie</c:v>
                </c:pt>
                <c:pt idx="27">
                  <c:v>KOLASINAC Sead</c:v>
                </c:pt>
                <c:pt idx="28">
                  <c:v>SMITH-ROWE Emile</c:v>
                </c:pt>
                <c:pt idx="29">
                  <c:v>RYAN Matthew</c:v>
                </c:pt>
                <c:pt idx="30">
                  <c:v>XHAKA Granit</c:v>
                </c:pt>
                <c:pt idx="31">
                  <c:v>MARTINELLI Gabriel</c:v>
                </c:pt>
                <c:pt idx="32">
                  <c:v>BALOGUN Folarin</c:v>
                </c:pt>
                <c:pt idx="33">
                  <c:v>COTTRELL Ben</c:v>
                </c:pt>
                <c:pt idx="34">
                  <c:v>MEDLEY Zech</c:v>
                </c:pt>
                <c:pt idx="35">
                  <c:v>SHEAF Ben</c:v>
                </c:pt>
                <c:pt idx="36">
                  <c:v>AZEEZ Miguel</c:v>
                </c:pt>
              </c:strCache>
            </c:strRef>
          </c:cat>
          <c:val>
            <c:numRef>
              <c:f>'Apps &amp; Goals 20-21'!$N$4:$N$40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7</c:v>
                </c:pt>
                <c:pt idx="6">
                  <c:v>0</c:v>
                </c:pt>
                <c:pt idx="7">
                  <c:v>17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16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6</c:v>
                </c:pt>
                <c:pt idx="27">
                  <c:v>0</c:v>
                </c:pt>
                <c:pt idx="28">
                  <c:v>4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E-4CA3-A40A-2A38F6EF4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21-22'!$M$3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21-22'!$B$4:$B$36</c:f>
              <c:strCache>
                <c:ptCount val="33"/>
                <c:pt idx="0">
                  <c:v>LENO Berndt</c:v>
                </c:pt>
                <c:pt idx="1">
                  <c:v>BELLERIN Hector</c:v>
                </c:pt>
                <c:pt idx="2">
                  <c:v>TIERNEY Kieran</c:v>
                </c:pt>
                <c:pt idx="3">
                  <c:v>WHITE Ben</c:v>
                </c:pt>
                <c:pt idx="4">
                  <c:v>PARTEY Thomas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LACAZETTE Alexandre</c:v>
                </c:pt>
                <c:pt idx="9">
                  <c:v>SMITH-ROWE Emile</c:v>
                </c:pt>
                <c:pt idx="10">
                  <c:v>TORREIRA Lucas</c:v>
                </c:pt>
                <c:pt idx="11">
                  <c:v>RUNARSSON Runar</c:v>
                </c:pt>
                <c:pt idx="12">
                  <c:v>MAITLAND-NILES Ainsley</c:v>
                </c:pt>
                <c:pt idx="13">
                  <c:v>HOLDING Rob</c:v>
                </c:pt>
                <c:pt idx="14">
                  <c:v>SOARES Cedric</c:v>
                </c:pt>
                <c:pt idx="15">
                  <c:v>TOMIYASU Takehiro</c:v>
                </c:pt>
                <c:pt idx="16">
                  <c:v>PEPE Nicolas</c:v>
                </c:pt>
                <c:pt idx="17">
                  <c:v>TAVARES Nuno</c:v>
                </c:pt>
                <c:pt idx="18">
                  <c:v>MARI Pablo</c:v>
                </c:pt>
                <c:pt idx="19">
                  <c:v>LOKONGA Albert</c:v>
                </c:pt>
                <c:pt idx="20">
                  <c:v>NELSON Reiss</c:v>
                </c:pt>
                <c:pt idx="21">
                  <c:v>ELNENY Mohamed</c:v>
                </c:pt>
                <c:pt idx="22">
                  <c:v>BALOGUN Folarin</c:v>
                </c:pt>
                <c:pt idx="23">
                  <c:v>MAVROPANOS Konstantinos</c:v>
                </c:pt>
                <c:pt idx="24">
                  <c:v>GUENDOUZI Matteo</c:v>
                </c:pt>
                <c:pt idx="25">
                  <c:v>NKETIAH Eddie</c:v>
                </c:pt>
                <c:pt idx="26">
                  <c:v>RAMSDALE Aaron</c:v>
                </c:pt>
                <c:pt idx="27">
                  <c:v>OKONKWO Arthur</c:v>
                </c:pt>
                <c:pt idx="28">
                  <c:v>XHAKA Granit</c:v>
                </c:pt>
                <c:pt idx="29">
                  <c:v>MARTINELLI Gabriel</c:v>
                </c:pt>
                <c:pt idx="30">
                  <c:v>COTTRELL Ben</c:v>
                </c:pt>
                <c:pt idx="31">
                  <c:v>AZEEZ Miguel</c:v>
                </c:pt>
                <c:pt idx="32">
                  <c:v>PATINO Charlie</c:v>
                </c:pt>
              </c:strCache>
            </c:strRef>
          </c:cat>
          <c:val>
            <c:numRef>
              <c:f>'Apps &amp; Goals 21-22'!$M$4:$M$35</c:f>
              <c:numCache>
                <c:formatCode>General</c:formatCode>
                <c:ptCount val="32"/>
                <c:pt idx="0">
                  <c:v>8</c:v>
                </c:pt>
                <c:pt idx="1">
                  <c:v>0</c:v>
                </c:pt>
                <c:pt idx="2">
                  <c:v>25</c:v>
                </c:pt>
                <c:pt idx="3">
                  <c:v>36</c:v>
                </c:pt>
                <c:pt idx="4">
                  <c:v>26</c:v>
                </c:pt>
                <c:pt idx="5">
                  <c:v>38</c:v>
                </c:pt>
                <c:pt idx="6">
                  <c:v>42</c:v>
                </c:pt>
                <c:pt idx="7">
                  <c:v>39</c:v>
                </c:pt>
                <c:pt idx="8">
                  <c:v>36</c:v>
                </c:pt>
                <c:pt idx="9">
                  <c:v>39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21</c:v>
                </c:pt>
                <c:pt idx="14">
                  <c:v>26</c:v>
                </c:pt>
                <c:pt idx="15">
                  <c:v>22</c:v>
                </c:pt>
                <c:pt idx="16">
                  <c:v>23</c:v>
                </c:pt>
                <c:pt idx="17">
                  <c:v>28</c:v>
                </c:pt>
                <c:pt idx="18">
                  <c:v>4</c:v>
                </c:pt>
                <c:pt idx="19">
                  <c:v>24</c:v>
                </c:pt>
                <c:pt idx="20">
                  <c:v>1</c:v>
                </c:pt>
                <c:pt idx="21">
                  <c:v>17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27</c:v>
                </c:pt>
                <c:pt idx="26">
                  <c:v>37</c:v>
                </c:pt>
                <c:pt idx="27">
                  <c:v>0</c:v>
                </c:pt>
                <c:pt idx="28">
                  <c:v>30</c:v>
                </c:pt>
                <c:pt idx="29">
                  <c:v>34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6DB-8717-771C64FFD262}"/>
            </c:ext>
          </c:extLst>
        </c:ser>
        <c:ser>
          <c:idx val="1"/>
          <c:order val="1"/>
          <c:tx>
            <c:strRef>
              <c:f>'Apps &amp; Goals 21-22'!$N$3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21-22'!$B$4:$B$36</c:f>
              <c:strCache>
                <c:ptCount val="33"/>
                <c:pt idx="0">
                  <c:v>LENO Berndt</c:v>
                </c:pt>
                <c:pt idx="1">
                  <c:v>BELLERIN Hector</c:v>
                </c:pt>
                <c:pt idx="2">
                  <c:v>TIERNEY Kieran</c:v>
                </c:pt>
                <c:pt idx="3">
                  <c:v>WHITE Ben</c:v>
                </c:pt>
                <c:pt idx="4">
                  <c:v>PARTEY Thomas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LACAZETTE Alexandre</c:v>
                </c:pt>
                <c:pt idx="9">
                  <c:v>SMITH-ROWE Emile</c:v>
                </c:pt>
                <c:pt idx="10">
                  <c:v>TORREIRA Lucas</c:v>
                </c:pt>
                <c:pt idx="11">
                  <c:v>RUNARSSON Runar</c:v>
                </c:pt>
                <c:pt idx="12">
                  <c:v>MAITLAND-NILES Ainsley</c:v>
                </c:pt>
                <c:pt idx="13">
                  <c:v>HOLDING Rob</c:v>
                </c:pt>
                <c:pt idx="14">
                  <c:v>SOARES Cedric</c:v>
                </c:pt>
                <c:pt idx="15">
                  <c:v>TOMIYASU Takehiro</c:v>
                </c:pt>
                <c:pt idx="16">
                  <c:v>PEPE Nicolas</c:v>
                </c:pt>
                <c:pt idx="17">
                  <c:v>TAVARES Nuno</c:v>
                </c:pt>
                <c:pt idx="18">
                  <c:v>MARI Pablo</c:v>
                </c:pt>
                <c:pt idx="19">
                  <c:v>LOKONGA Albert</c:v>
                </c:pt>
                <c:pt idx="20">
                  <c:v>NELSON Reiss</c:v>
                </c:pt>
                <c:pt idx="21">
                  <c:v>ELNENY Mohamed</c:v>
                </c:pt>
                <c:pt idx="22">
                  <c:v>BALOGUN Folarin</c:v>
                </c:pt>
                <c:pt idx="23">
                  <c:v>MAVROPANOS Konstantinos</c:v>
                </c:pt>
                <c:pt idx="24">
                  <c:v>GUENDOUZI Matteo</c:v>
                </c:pt>
                <c:pt idx="25">
                  <c:v>NKETIAH Eddie</c:v>
                </c:pt>
                <c:pt idx="26">
                  <c:v>RAMSDALE Aaron</c:v>
                </c:pt>
                <c:pt idx="27">
                  <c:v>OKONKWO Arthur</c:v>
                </c:pt>
                <c:pt idx="28">
                  <c:v>XHAKA Granit</c:v>
                </c:pt>
                <c:pt idx="29">
                  <c:v>MARTINELLI Gabriel</c:v>
                </c:pt>
                <c:pt idx="30">
                  <c:v>COTTRELL Ben</c:v>
                </c:pt>
                <c:pt idx="31">
                  <c:v>AZEEZ Miguel</c:v>
                </c:pt>
                <c:pt idx="32">
                  <c:v>PATINO Charlie</c:v>
                </c:pt>
              </c:strCache>
            </c:strRef>
          </c:cat>
          <c:val>
            <c:numRef>
              <c:f>'Apps &amp; Goals 21-22'!$N$4:$N$36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12</c:v>
                </c:pt>
                <c:pt idx="7">
                  <c:v>7</c:v>
                </c:pt>
                <c:pt idx="8">
                  <c:v>6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6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6DB-8717-771C64FFD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22-23'!$M$3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22-23'!$B$4:$B$41</c:f>
              <c:strCache>
                <c:ptCount val="38"/>
                <c:pt idx="0">
                  <c:v>RAMSDALE Aaron</c:v>
                </c:pt>
                <c:pt idx="1">
                  <c:v>TIERNEY Kieran</c:v>
                </c:pt>
                <c:pt idx="2">
                  <c:v>WHITE Ben</c:v>
                </c:pt>
                <c:pt idx="3">
                  <c:v>PARTEY Thomas</c:v>
                </c:pt>
                <c:pt idx="4">
                  <c:v>GABRIEL</c:v>
                </c:pt>
                <c:pt idx="5">
                  <c:v>SAKA Bukayo</c:v>
                </c:pt>
                <c:pt idx="6">
                  <c:v>ODEGAARD Martin</c:v>
                </c:pt>
                <c:pt idx="7">
                  <c:v>JESUS Gabriel</c:v>
                </c:pt>
                <c:pt idx="8">
                  <c:v>SMITH-ROWE Emile</c:v>
                </c:pt>
                <c:pt idx="9">
                  <c:v>MARTINELLI Gabriel</c:v>
                </c:pt>
                <c:pt idx="10">
                  <c:v>SALIBA William</c:v>
                </c:pt>
                <c:pt idx="11">
                  <c:v>RUNARSSON Runar</c:v>
                </c:pt>
                <c:pt idx="12">
                  <c:v>NKETIAH Eddie</c:v>
                </c:pt>
                <c:pt idx="13">
                  <c:v>MAITLAND-NILES Ainsley</c:v>
                </c:pt>
                <c:pt idx="14">
                  <c:v>KIWIOR Jakub</c:v>
                </c:pt>
                <c:pt idx="15">
                  <c:v>HOLDING Rob</c:v>
                </c:pt>
                <c:pt idx="16">
                  <c:v>SOARES Cedric</c:v>
                </c:pt>
                <c:pt idx="17">
                  <c:v>TOMIYASU Takehiro</c:v>
                </c:pt>
                <c:pt idx="18">
                  <c:v>PEPE Nicolas</c:v>
                </c:pt>
                <c:pt idx="19">
                  <c:v>TROSSARD Leandro</c:v>
                </c:pt>
                <c:pt idx="20">
                  <c:v>TAVARES Nuno</c:v>
                </c:pt>
                <c:pt idx="21">
                  <c:v>JORGHINHO</c:v>
                </c:pt>
                <c:pt idx="22">
                  <c:v>VIEIRA Fabio</c:v>
                </c:pt>
                <c:pt idx="23">
                  <c:v>MARI Pablo</c:v>
                </c:pt>
                <c:pt idx="24">
                  <c:v>LOKONGA Albert</c:v>
                </c:pt>
                <c:pt idx="25">
                  <c:v>NELSON Reiss</c:v>
                </c:pt>
                <c:pt idx="26">
                  <c:v>ELNENY Mohamed</c:v>
                </c:pt>
                <c:pt idx="27">
                  <c:v>BALOGUN Folarin</c:v>
                </c:pt>
                <c:pt idx="28">
                  <c:v>MARQUINHOS</c:v>
                </c:pt>
                <c:pt idx="29">
                  <c:v>TURNER Matt</c:v>
                </c:pt>
                <c:pt idx="30">
                  <c:v>HEIN Karl</c:v>
                </c:pt>
                <c:pt idx="31">
                  <c:v>OKONKWO Arthur</c:v>
                </c:pt>
                <c:pt idx="32">
                  <c:v>XHAKA Granit</c:v>
                </c:pt>
                <c:pt idx="33">
                  <c:v>ZINCHENKO Oleksandr</c:v>
                </c:pt>
                <c:pt idx="34">
                  <c:v>COTTRELL Ben</c:v>
                </c:pt>
                <c:pt idx="35">
                  <c:v>AZEEZ Miguel</c:v>
                </c:pt>
                <c:pt idx="36">
                  <c:v>NWANERI Ethan</c:v>
                </c:pt>
                <c:pt idx="37">
                  <c:v>PATINO Charlie</c:v>
                </c:pt>
              </c:strCache>
            </c:strRef>
          </c:cat>
          <c:val>
            <c:numRef>
              <c:f>'Apps &amp; Goals 22-23'!$M$4:$M$41</c:f>
              <c:numCache>
                <c:formatCode>General</c:formatCode>
                <c:ptCount val="38"/>
                <c:pt idx="0">
                  <c:v>41</c:v>
                </c:pt>
                <c:pt idx="1">
                  <c:v>36</c:v>
                </c:pt>
                <c:pt idx="2">
                  <c:v>46</c:v>
                </c:pt>
                <c:pt idx="3">
                  <c:v>40</c:v>
                </c:pt>
                <c:pt idx="4">
                  <c:v>48</c:v>
                </c:pt>
                <c:pt idx="5">
                  <c:v>48</c:v>
                </c:pt>
                <c:pt idx="6">
                  <c:v>45</c:v>
                </c:pt>
                <c:pt idx="7">
                  <c:v>33</c:v>
                </c:pt>
                <c:pt idx="8">
                  <c:v>14</c:v>
                </c:pt>
                <c:pt idx="9">
                  <c:v>45</c:v>
                </c:pt>
                <c:pt idx="10">
                  <c:v>33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8</c:v>
                </c:pt>
                <c:pt idx="15">
                  <c:v>24</c:v>
                </c:pt>
                <c:pt idx="16">
                  <c:v>4</c:v>
                </c:pt>
                <c:pt idx="17">
                  <c:v>30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16</c:v>
                </c:pt>
                <c:pt idx="22">
                  <c:v>33</c:v>
                </c:pt>
                <c:pt idx="23">
                  <c:v>0</c:v>
                </c:pt>
                <c:pt idx="24">
                  <c:v>15</c:v>
                </c:pt>
                <c:pt idx="25">
                  <c:v>18</c:v>
                </c:pt>
                <c:pt idx="26">
                  <c:v>8</c:v>
                </c:pt>
                <c:pt idx="27">
                  <c:v>0</c:v>
                </c:pt>
                <c:pt idx="28">
                  <c:v>6</c:v>
                </c:pt>
                <c:pt idx="29">
                  <c:v>7</c:v>
                </c:pt>
                <c:pt idx="30">
                  <c:v>1</c:v>
                </c:pt>
                <c:pt idx="31">
                  <c:v>0</c:v>
                </c:pt>
                <c:pt idx="32">
                  <c:v>47</c:v>
                </c:pt>
                <c:pt idx="33">
                  <c:v>34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F-409D-A944-FD35D7554F31}"/>
            </c:ext>
          </c:extLst>
        </c:ser>
        <c:ser>
          <c:idx val="1"/>
          <c:order val="1"/>
          <c:tx>
            <c:strRef>
              <c:f>'Apps &amp; Goals 22-23'!$N$3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22-23'!$B$4:$B$41</c:f>
              <c:strCache>
                <c:ptCount val="38"/>
                <c:pt idx="0">
                  <c:v>RAMSDALE Aaron</c:v>
                </c:pt>
                <c:pt idx="1">
                  <c:v>TIERNEY Kieran</c:v>
                </c:pt>
                <c:pt idx="2">
                  <c:v>WHITE Ben</c:v>
                </c:pt>
                <c:pt idx="3">
                  <c:v>PARTEY Thomas</c:v>
                </c:pt>
                <c:pt idx="4">
                  <c:v>GABRIEL</c:v>
                </c:pt>
                <c:pt idx="5">
                  <c:v>SAKA Bukayo</c:v>
                </c:pt>
                <c:pt idx="6">
                  <c:v>ODEGAARD Martin</c:v>
                </c:pt>
                <c:pt idx="7">
                  <c:v>JESUS Gabriel</c:v>
                </c:pt>
                <c:pt idx="8">
                  <c:v>SMITH-ROWE Emile</c:v>
                </c:pt>
                <c:pt idx="9">
                  <c:v>MARTINELLI Gabriel</c:v>
                </c:pt>
                <c:pt idx="10">
                  <c:v>SALIBA William</c:v>
                </c:pt>
                <c:pt idx="11">
                  <c:v>RUNARSSON Runar</c:v>
                </c:pt>
                <c:pt idx="12">
                  <c:v>NKETIAH Eddie</c:v>
                </c:pt>
                <c:pt idx="13">
                  <c:v>MAITLAND-NILES Ainsley</c:v>
                </c:pt>
                <c:pt idx="14">
                  <c:v>KIWIOR Jakub</c:v>
                </c:pt>
                <c:pt idx="15">
                  <c:v>HOLDING Rob</c:v>
                </c:pt>
                <c:pt idx="16">
                  <c:v>SOARES Cedric</c:v>
                </c:pt>
                <c:pt idx="17">
                  <c:v>TOMIYASU Takehiro</c:v>
                </c:pt>
                <c:pt idx="18">
                  <c:v>PEPE Nicolas</c:v>
                </c:pt>
                <c:pt idx="19">
                  <c:v>TROSSARD Leandro</c:v>
                </c:pt>
                <c:pt idx="20">
                  <c:v>TAVARES Nuno</c:v>
                </c:pt>
                <c:pt idx="21">
                  <c:v>JORGHINHO</c:v>
                </c:pt>
                <c:pt idx="22">
                  <c:v>VIEIRA Fabio</c:v>
                </c:pt>
                <c:pt idx="23">
                  <c:v>MARI Pablo</c:v>
                </c:pt>
                <c:pt idx="24">
                  <c:v>LOKONGA Albert</c:v>
                </c:pt>
                <c:pt idx="25">
                  <c:v>NELSON Reiss</c:v>
                </c:pt>
                <c:pt idx="26">
                  <c:v>ELNENY Mohamed</c:v>
                </c:pt>
                <c:pt idx="27">
                  <c:v>BALOGUN Folarin</c:v>
                </c:pt>
                <c:pt idx="28">
                  <c:v>MARQUINHOS</c:v>
                </c:pt>
                <c:pt idx="29">
                  <c:v>TURNER Matt</c:v>
                </c:pt>
                <c:pt idx="30">
                  <c:v>HEIN Karl</c:v>
                </c:pt>
                <c:pt idx="31">
                  <c:v>OKONKWO Arthur</c:v>
                </c:pt>
                <c:pt idx="32">
                  <c:v>XHAKA Granit</c:v>
                </c:pt>
                <c:pt idx="33">
                  <c:v>ZINCHENKO Oleksandr</c:v>
                </c:pt>
                <c:pt idx="34">
                  <c:v>COTTRELL Ben</c:v>
                </c:pt>
                <c:pt idx="35">
                  <c:v>AZEEZ Miguel</c:v>
                </c:pt>
                <c:pt idx="36">
                  <c:v>NWANERI Ethan</c:v>
                </c:pt>
                <c:pt idx="37">
                  <c:v>PATINO Charlie</c:v>
                </c:pt>
              </c:strCache>
            </c:strRef>
          </c:cat>
          <c:val>
            <c:numRef>
              <c:f>'Apps &amp; Goals 22-23'!$N$4:$N$41</c:f>
              <c:numCache>
                <c:formatCode>General</c:formatCode>
                <c:ptCount val="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15</c:v>
                </c:pt>
                <c:pt idx="6">
                  <c:v>15</c:v>
                </c:pt>
                <c:pt idx="7">
                  <c:v>11</c:v>
                </c:pt>
                <c:pt idx="8">
                  <c:v>0</c:v>
                </c:pt>
                <c:pt idx="9">
                  <c:v>15</c:v>
                </c:pt>
                <c:pt idx="10">
                  <c:v>3</c:v>
                </c:pt>
                <c:pt idx="11">
                  <c:v>0</c:v>
                </c:pt>
                <c:pt idx="12">
                  <c:v>9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9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0F-409D-A944-FD35D7554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23-24'!$M$3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23-24'!$B$4:$B$38</c:f>
              <c:strCache>
                <c:ptCount val="35"/>
                <c:pt idx="0">
                  <c:v>RAMSDALE Aaron</c:v>
                </c:pt>
                <c:pt idx="1">
                  <c:v>SALIBA William</c:v>
                </c:pt>
                <c:pt idx="2">
                  <c:v>TIERNEY Kieran</c:v>
                </c:pt>
                <c:pt idx="3">
                  <c:v>WHITE Ben</c:v>
                </c:pt>
                <c:pt idx="4">
                  <c:v>PARTEY Thomas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JESUS Gabriel</c:v>
                </c:pt>
                <c:pt idx="9">
                  <c:v>SMITH-ROWE Emile</c:v>
                </c:pt>
                <c:pt idx="10">
                  <c:v>MARTINELLI Gabriel</c:v>
                </c:pt>
                <c:pt idx="11">
                  <c:v>TIMBER Jurrien</c:v>
                </c:pt>
                <c:pt idx="12">
                  <c:v>NKETIAH Eddie</c:v>
                </c:pt>
                <c:pt idx="13">
                  <c:v>KIWIOR Jakub</c:v>
                </c:pt>
                <c:pt idx="14">
                  <c:v>SOARES Cedric</c:v>
                </c:pt>
                <c:pt idx="15">
                  <c:v>TOMIYASU Takehiro</c:v>
                </c:pt>
                <c:pt idx="16">
                  <c:v>TROSSARD Leandro</c:v>
                </c:pt>
                <c:pt idx="17">
                  <c:v>TAVARES Nuno</c:v>
                </c:pt>
                <c:pt idx="18">
                  <c:v>JORGHINHO</c:v>
                </c:pt>
                <c:pt idx="19">
                  <c:v>VIEIRA Fabio</c:v>
                </c:pt>
                <c:pt idx="20">
                  <c:v>RAYA David</c:v>
                </c:pt>
                <c:pt idx="21">
                  <c:v>LOKONGA Albert</c:v>
                </c:pt>
                <c:pt idx="22">
                  <c:v>NELSON Reiss</c:v>
                </c:pt>
                <c:pt idx="23">
                  <c:v>ELNENY Mohamed</c:v>
                </c:pt>
                <c:pt idx="24">
                  <c:v>MARQUINHOS</c:v>
                </c:pt>
                <c:pt idx="25">
                  <c:v>HAVERTZ Kai</c:v>
                </c:pt>
                <c:pt idx="26">
                  <c:v>HEIN Karl</c:v>
                </c:pt>
                <c:pt idx="27">
                  <c:v>OKONKWO Arthur</c:v>
                </c:pt>
                <c:pt idx="28">
                  <c:v>ZINCHENKO Oleksandr</c:v>
                </c:pt>
                <c:pt idx="29">
                  <c:v>RICE Declan</c:v>
                </c:pt>
                <c:pt idx="30">
                  <c:v>COTTRELL Ben</c:v>
                </c:pt>
                <c:pt idx="31">
                  <c:v>NWANERI Ethan</c:v>
                </c:pt>
                <c:pt idx="32">
                  <c:v>AZEEZ Miguel</c:v>
                </c:pt>
                <c:pt idx="33">
                  <c:v>SAGOE JR Charles</c:v>
                </c:pt>
                <c:pt idx="34">
                  <c:v>PATINO Charlie</c:v>
                </c:pt>
              </c:strCache>
            </c:strRef>
          </c:cat>
          <c:val>
            <c:numRef>
              <c:f>'Apps &amp; Goals 23-24'!$M$4:$M$38</c:f>
              <c:numCache>
                <c:formatCode>General</c:formatCode>
                <c:ptCount val="35"/>
                <c:pt idx="0">
                  <c:v>11</c:v>
                </c:pt>
                <c:pt idx="1">
                  <c:v>50</c:v>
                </c:pt>
                <c:pt idx="2">
                  <c:v>1</c:v>
                </c:pt>
                <c:pt idx="3">
                  <c:v>51</c:v>
                </c:pt>
                <c:pt idx="4">
                  <c:v>16</c:v>
                </c:pt>
                <c:pt idx="5">
                  <c:v>50</c:v>
                </c:pt>
                <c:pt idx="6">
                  <c:v>47</c:v>
                </c:pt>
                <c:pt idx="7">
                  <c:v>48</c:v>
                </c:pt>
                <c:pt idx="8">
                  <c:v>36</c:v>
                </c:pt>
                <c:pt idx="9">
                  <c:v>19</c:v>
                </c:pt>
                <c:pt idx="10">
                  <c:v>45</c:v>
                </c:pt>
                <c:pt idx="11">
                  <c:v>3</c:v>
                </c:pt>
                <c:pt idx="12">
                  <c:v>37</c:v>
                </c:pt>
                <c:pt idx="13">
                  <c:v>30</c:v>
                </c:pt>
                <c:pt idx="14">
                  <c:v>5</c:v>
                </c:pt>
                <c:pt idx="15">
                  <c:v>30</c:v>
                </c:pt>
                <c:pt idx="16">
                  <c:v>47</c:v>
                </c:pt>
                <c:pt idx="17">
                  <c:v>0</c:v>
                </c:pt>
                <c:pt idx="18">
                  <c:v>35</c:v>
                </c:pt>
                <c:pt idx="19">
                  <c:v>16</c:v>
                </c:pt>
                <c:pt idx="20">
                  <c:v>41</c:v>
                </c:pt>
                <c:pt idx="21">
                  <c:v>0</c:v>
                </c:pt>
                <c:pt idx="22">
                  <c:v>23</c:v>
                </c:pt>
                <c:pt idx="23">
                  <c:v>6</c:v>
                </c:pt>
                <c:pt idx="24">
                  <c:v>0</c:v>
                </c:pt>
                <c:pt idx="25">
                  <c:v>52</c:v>
                </c:pt>
                <c:pt idx="26">
                  <c:v>0</c:v>
                </c:pt>
                <c:pt idx="27">
                  <c:v>0</c:v>
                </c:pt>
                <c:pt idx="28">
                  <c:v>35</c:v>
                </c:pt>
                <c:pt idx="29">
                  <c:v>51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1-4A3F-A004-8E0BCEDACA26}"/>
            </c:ext>
          </c:extLst>
        </c:ser>
        <c:ser>
          <c:idx val="1"/>
          <c:order val="1"/>
          <c:tx>
            <c:strRef>
              <c:f>'Apps &amp; Goals 23-24'!$N$3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23-24'!$B$4:$B$38</c:f>
              <c:strCache>
                <c:ptCount val="35"/>
                <c:pt idx="0">
                  <c:v>RAMSDALE Aaron</c:v>
                </c:pt>
                <c:pt idx="1">
                  <c:v>SALIBA William</c:v>
                </c:pt>
                <c:pt idx="2">
                  <c:v>TIERNEY Kieran</c:v>
                </c:pt>
                <c:pt idx="3">
                  <c:v>WHITE Ben</c:v>
                </c:pt>
                <c:pt idx="4">
                  <c:v>PARTEY Thomas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JESUS Gabriel</c:v>
                </c:pt>
                <c:pt idx="9">
                  <c:v>SMITH-ROWE Emile</c:v>
                </c:pt>
                <c:pt idx="10">
                  <c:v>MARTINELLI Gabriel</c:v>
                </c:pt>
                <c:pt idx="11">
                  <c:v>TIMBER Jurrien</c:v>
                </c:pt>
                <c:pt idx="12">
                  <c:v>NKETIAH Eddie</c:v>
                </c:pt>
                <c:pt idx="13">
                  <c:v>KIWIOR Jakub</c:v>
                </c:pt>
                <c:pt idx="14">
                  <c:v>SOARES Cedric</c:v>
                </c:pt>
                <c:pt idx="15">
                  <c:v>TOMIYASU Takehiro</c:v>
                </c:pt>
                <c:pt idx="16">
                  <c:v>TROSSARD Leandro</c:v>
                </c:pt>
                <c:pt idx="17">
                  <c:v>TAVARES Nuno</c:v>
                </c:pt>
                <c:pt idx="18">
                  <c:v>JORGHINHO</c:v>
                </c:pt>
                <c:pt idx="19">
                  <c:v>VIEIRA Fabio</c:v>
                </c:pt>
                <c:pt idx="20">
                  <c:v>RAYA David</c:v>
                </c:pt>
                <c:pt idx="21">
                  <c:v>LOKONGA Albert</c:v>
                </c:pt>
                <c:pt idx="22">
                  <c:v>NELSON Reiss</c:v>
                </c:pt>
                <c:pt idx="23">
                  <c:v>ELNENY Mohamed</c:v>
                </c:pt>
                <c:pt idx="24">
                  <c:v>MARQUINHOS</c:v>
                </c:pt>
                <c:pt idx="25">
                  <c:v>HAVERTZ Kai</c:v>
                </c:pt>
                <c:pt idx="26">
                  <c:v>HEIN Karl</c:v>
                </c:pt>
                <c:pt idx="27">
                  <c:v>OKONKWO Arthur</c:v>
                </c:pt>
                <c:pt idx="28">
                  <c:v>ZINCHENKO Oleksandr</c:v>
                </c:pt>
                <c:pt idx="29">
                  <c:v>RICE Declan</c:v>
                </c:pt>
                <c:pt idx="30">
                  <c:v>COTTRELL Ben</c:v>
                </c:pt>
                <c:pt idx="31">
                  <c:v>NWANERI Ethan</c:v>
                </c:pt>
                <c:pt idx="32">
                  <c:v>AZEEZ Miguel</c:v>
                </c:pt>
                <c:pt idx="33">
                  <c:v>SAGOE JR Charles</c:v>
                </c:pt>
                <c:pt idx="34">
                  <c:v>PATINO Charlie</c:v>
                </c:pt>
              </c:strCache>
            </c:strRef>
          </c:cat>
          <c:val>
            <c:numRef>
              <c:f>'Apps &amp; Goals 23-24'!$N$4:$N$38</c:f>
              <c:numCache>
                <c:formatCode>General</c:formatCode>
                <c:ptCount val="3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4</c:v>
                </c:pt>
                <c:pt idx="6">
                  <c:v>20</c:v>
                </c:pt>
                <c:pt idx="7">
                  <c:v>11</c:v>
                </c:pt>
                <c:pt idx="8">
                  <c:v>8</c:v>
                </c:pt>
                <c:pt idx="9">
                  <c:v>0</c:v>
                </c:pt>
                <c:pt idx="10">
                  <c:v>8</c:v>
                </c:pt>
                <c:pt idx="11">
                  <c:v>0</c:v>
                </c:pt>
                <c:pt idx="12">
                  <c:v>6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17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14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1-4A3F-A004-8E0BCEDAC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24-25'!$M$3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24-25'!$B$4:$B$41</c:f>
              <c:strCache>
                <c:ptCount val="38"/>
                <c:pt idx="0">
                  <c:v>SALIBA William</c:v>
                </c:pt>
                <c:pt idx="1">
                  <c:v>TIERNEY Kieran</c:v>
                </c:pt>
                <c:pt idx="2">
                  <c:v>WHITE Ben</c:v>
                </c:pt>
                <c:pt idx="3">
                  <c:v>PARTEY Thomas</c:v>
                </c:pt>
                <c:pt idx="4">
                  <c:v>GABRIEL</c:v>
                </c:pt>
                <c:pt idx="5">
                  <c:v>SAKA Bukayo</c:v>
                </c:pt>
                <c:pt idx="6">
                  <c:v>ODEGAARD Martin</c:v>
                </c:pt>
                <c:pt idx="7">
                  <c:v>JESUS Gabriel</c:v>
                </c:pt>
                <c:pt idx="8">
                  <c:v>MARTINELLI Gabriel</c:v>
                </c:pt>
                <c:pt idx="9">
                  <c:v>TIMBER Jurrien</c:v>
                </c:pt>
                <c:pt idx="10">
                  <c:v>KIWIOR Jakub</c:v>
                </c:pt>
                <c:pt idx="11">
                  <c:v>ZINCHENKO Oleksandr</c:v>
                </c:pt>
                <c:pt idx="12">
                  <c:v>TOMIYASU Takehiro</c:v>
                </c:pt>
                <c:pt idx="13">
                  <c:v>TROSSARD Leandro</c:v>
                </c:pt>
                <c:pt idx="14">
                  <c:v>TAVARES Nuno</c:v>
                </c:pt>
                <c:pt idx="15">
                  <c:v>JORGHINHO</c:v>
                </c:pt>
                <c:pt idx="16">
                  <c:v>VIEIRA Fabio</c:v>
                </c:pt>
                <c:pt idx="17">
                  <c:v>RAYA David</c:v>
                </c:pt>
                <c:pt idx="18">
                  <c:v>MERINO Mikel</c:v>
                </c:pt>
                <c:pt idx="19">
                  <c:v>LOKONGA Albert</c:v>
                </c:pt>
                <c:pt idx="20">
                  <c:v>NELSON Reiss</c:v>
                </c:pt>
                <c:pt idx="21">
                  <c:v>MARQUINHOS</c:v>
                </c:pt>
                <c:pt idx="22">
                  <c:v>HAVERTZ Kai</c:v>
                </c:pt>
                <c:pt idx="23">
                  <c:v>STERLING Raheem</c:v>
                </c:pt>
                <c:pt idx="24">
                  <c:v>HEIN Karl</c:v>
                </c:pt>
                <c:pt idx="25">
                  <c:v>NETO</c:v>
                </c:pt>
                <c:pt idx="26">
                  <c:v>CALAFIORI Riccardo</c:v>
                </c:pt>
                <c:pt idx="27">
                  <c:v>SETFORD Tommy</c:v>
                </c:pt>
                <c:pt idx="28">
                  <c:v>BUTLER-OYEDEJI Nathan</c:v>
                </c:pt>
                <c:pt idx="29">
                  <c:v>RICE Declan</c:v>
                </c:pt>
                <c:pt idx="30">
                  <c:v>KABIA Ismeal</c:v>
                </c:pt>
                <c:pt idx="31">
                  <c:v>KACURRI Maldini</c:v>
                </c:pt>
                <c:pt idx="32">
                  <c:v>LEWIS-SKELLY Myles</c:v>
                </c:pt>
                <c:pt idx="33">
                  <c:v>NICHOLS Josh</c:v>
                </c:pt>
                <c:pt idx="34">
                  <c:v>NWANERI Ethan</c:v>
                </c:pt>
                <c:pt idx="35">
                  <c:v>SAGOE JR Charles</c:v>
                </c:pt>
                <c:pt idx="36">
                  <c:v>HEAVEN Ayden</c:v>
                </c:pt>
                <c:pt idx="37">
                  <c:v>PORTER Jack</c:v>
                </c:pt>
              </c:strCache>
            </c:strRef>
          </c:cat>
          <c:val>
            <c:numRef>
              <c:f>'Apps &amp; Goals 24-25'!$M$4:$M$41</c:f>
              <c:numCache>
                <c:formatCode>General</c:formatCode>
                <c:ptCount val="38"/>
                <c:pt idx="0">
                  <c:v>50</c:v>
                </c:pt>
                <c:pt idx="1">
                  <c:v>20</c:v>
                </c:pt>
                <c:pt idx="2">
                  <c:v>26</c:v>
                </c:pt>
                <c:pt idx="3">
                  <c:v>49</c:v>
                </c:pt>
                <c:pt idx="4">
                  <c:v>40</c:v>
                </c:pt>
                <c:pt idx="5">
                  <c:v>36</c:v>
                </c:pt>
                <c:pt idx="6">
                  <c:v>44</c:v>
                </c:pt>
                <c:pt idx="7">
                  <c:v>27</c:v>
                </c:pt>
                <c:pt idx="8">
                  <c:v>50</c:v>
                </c:pt>
                <c:pt idx="9">
                  <c:v>46</c:v>
                </c:pt>
                <c:pt idx="10">
                  <c:v>28</c:v>
                </c:pt>
                <c:pt idx="11">
                  <c:v>23</c:v>
                </c:pt>
                <c:pt idx="12">
                  <c:v>1</c:v>
                </c:pt>
                <c:pt idx="13">
                  <c:v>54</c:v>
                </c:pt>
                <c:pt idx="14">
                  <c:v>0</c:v>
                </c:pt>
                <c:pt idx="15">
                  <c:v>25</c:v>
                </c:pt>
                <c:pt idx="16">
                  <c:v>0</c:v>
                </c:pt>
                <c:pt idx="17">
                  <c:v>54</c:v>
                </c:pt>
                <c:pt idx="18">
                  <c:v>42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34</c:v>
                </c:pt>
                <c:pt idx="23">
                  <c:v>27</c:v>
                </c:pt>
                <c:pt idx="24">
                  <c:v>0</c:v>
                </c:pt>
                <c:pt idx="25">
                  <c:v>0</c:v>
                </c:pt>
                <c:pt idx="26">
                  <c:v>27</c:v>
                </c:pt>
                <c:pt idx="27">
                  <c:v>1</c:v>
                </c:pt>
                <c:pt idx="28">
                  <c:v>2</c:v>
                </c:pt>
                <c:pt idx="29">
                  <c:v>50</c:v>
                </c:pt>
                <c:pt idx="30">
                  <c:v>1</c:v>
                </c:pt>
                <c:pt idx="31">
                  <c:v>1</c:v>
                </c:pt>
                <c:pt idx="32">
                  <c:v>39</c:v>
                </c:pt>
                <c:pt idx="33">
                  <c:v>1</c:v>
                </c:pt>
                <c:pt idx="34">
                  <c:v>34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E-4A42-A655-52E904FEB06D}"/>
            </c:ext>
          </c:extLst>
        </c:ser>
        <c:ser>
          <c:idx val="1"/>
          <c:order val="1"/>
          <c:tx>
            <c:strRef>
              <c:f>'Apps &amp; Goals 24-25'!$N$3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24-25'!$B$4:$B$41</c:f>
              <c:strCache>
                <c:ptCount val="38"/>
                <c:pt idx="0">
                  <c:v>SALIBA William</c:v>
                </c:pt>
                <c:pt idx="1">
                  <c:v>TIERNEY Kieran</c:v>
                </c:pt>
                <c:pt idx="2">
                  <c:v>WHITE Ben</c:v>
                </c:pt>
                <c:pt idx="3">
                  <c:v>PARTEY Thomas</c:v>
                </c:pt>
                <c:pt idx="4">
                  <c:v>GABRIEL</c:v>
                </c:pt>
                <c:pt idx="5">
                  <c:v>SAKA Bukayo</c:v>
                </c:pt>
                <c:pt idx="6">
                  <c:v>ODEGAARD Martin</c:v>
                </c:pt>
                <c:pt idx="7">
                  <c:v>JESUS Gabriel</c:v>
                </c:pt>
                <c:pt idx="8">
                  <c:v>MARTINELLI Gabriel</c:v>
                </c:pt>
                <c:pt idx="9">
                  <c:v>TIMBER Jurrien</c:v>
                </c:pt>
                <c:pt idx="10">
                  <c:v>KIWIOR Jakub</c:v>
                </c:pt>
                <c:pt idx="11">
                  <c:v>ZINCHENKO Oleksandr</c:v>
                </c:pt>
                <c:pt idx="12">
                  <c:v>TOMIYASU Takehiro</c:v>
                </c:pt>
                <c:pt idx="13">
                  <c:v>TROSSARD Leandro</c:v>
                </c:pt>
                <c:pt idx="14">
                  <c:v>TAVARES Nuno</c:v>
                </c:pt>
                <c:pt idx="15">
                  <c:v>JORGHINHO</c:v>
                </c:pt>
                <c:pt idx="16">
                  <c:v>VIEIRA Fabio</c:v>
                </c:pt>
                <c:pt idx="17">
                  <c:v>RAYA David</c:v>
                </c:pt>
                <c:pt idx="18">
                  <c:v>MERINO Mikel</c:v>
                </c:pt>
                <c:pt idx="19">
                  <c:v>LOKONGA Albert</c:v>
                </c:pt>
                <c:pt idx="20">
                  <c:v>NELSON Reiss</c:v>
                </c:pt>
                <c:pt idx="21">
                  <c:v>MARQUINHOS</c:v>
                </c:pt>
                <c:pt idx="22">
                  <c:v>HAVERTZ Kai</c:v>
                </c:pt>
                <c:pt idx="23">
                  <c:v>STERLING Raheem</c:v>
                </c:pt>
                <c:pt idx="24">
                  <c:v>HEIN Karl</c:v>
                </c:pt>
                <c:pt idx="25">
                  <c:v>NETO</c:v>
                </c:pt>
                <c:pt idx="26">
                  <c:v>CALAFIORI Riccardo</c:v>
                </c:pt>
                <c:pt idx="27">
                  <c:v>SETFORD Tommy</c:v>
                </c:pt>
                <c:pt idx="28">
                  <c:v>BUTLER-OYEDEJI Nathan</c:v>
                </c:pt>
                <c:pt idx="29">
                  <c:v>RICE Declan</c:v>
                </c:pt>
                <c:pt idx="30">
                  <c:v>KABIA Ismeal</c:v>
                </c:pt>
                <c:pt idx="31">
                  <c:v>KACURRI Maldini</c:v>
                </c:pt>
                <c:pt idx="32">
                  <c:v>LEWIS-SKELLY Myles</c:v>
                </c:pt>
                <c:pt idx="33">
                  <c:v>NICHOLS Josh</c:v>
                </c:pt>
                <c:pt idx="34">
                  <c:v>NWANERI Ethan</c:v>
                </c:pt>
                <c:pt idx="35">
                  <c:v>SAGOE JR Charles</c:v>
                </c:pt>
                <c:pt idx="36">
                  <c:v>HEAVEN Ayden</c:v>
                </c:pt>
                <c:pt idx="37">
                  <c:v>PORTER Jack</c:v>
                </c:pt>
              </c:strCache>
            </c:strRef>
          </c:cat>
          <c:val>
            <c:numRef>
              <c:f>'Apps &amp; Goals 24-25'!$N$4:$N$41</c:f>
              <c:numCache>
                <c:formatCode>General</c:formatCode>
                <c:ptCount val="38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9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1E-4A42-A655-52E904FEB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25-26'!$M$3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25-26'!$B$4:$B$37</c:f>
              <c:strCache>
                <c:ptCount val="34"/>
                <c:pt idx="0">
                  <c:v>RAYA David</c:v>
                </c:pt>
                <c:pt idx="1">
                  <c:v>SALIBA William</c:v>
                </c:pt>
                <c:pt idx="2">
                  <c:v>MOSQUERA Cristhian</c:v>
                </c:pt>
                <c:pt idx="3">
                  <c:v>WHITE Ben</c:v>
                </c:pt>
                <c:pt idx="4">
                  <c:v>HINCAPIE Piero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JESUS Gabriel</c:v>
                </c:pt>
                <c:pt idx="9">
                  <c:v>EZE Eberechi</c:v>
                </c:pt>
                <c:pt idx="10">
                  <c:v>MARTINELLI Gabriel</c:v>
                </c:pt>
                <c:pt idx="11">
                  <c:v>TIMBER Jurrien</c:v>
                </c:pt>
                <c:pt idx="12">
                  <c:v>KEPA Arrizabalaga</c:v>
                </c:pt>
                <c:pt idx="13">
                  <c:v>GYOKERES Viktor</c:v>
                </c:pt>
                <c:pt idx="14">
                  <c:v>KIWIOR Jakub</c:v>
                </c:pt>
                <c:pt idx="15">
                  <c:v>NORGAARD Christian</c:v>
                </c:pt>
                <c:pt idx="16">
                  <c:v>TROSSARD Leandro</c:v>
                </c:pt>
                <c:pt idx="17">
                  <c:v>MADUEKE Nuno</c:v>
                </c:pt>
                <c:pt idx="18">
                  <c:v>VIEIRA Fabio</c:v>
                </c:pt>
                <c:pt idx="19">
                  <c:v>NWANERI Ethan</c:v>
                </c:pt>
                <c:pt idx="20">
                  <c:v>MERINO Mikel</c:v>
                </c:pt>
                <c:pt idx="21">
                  <c:v>NELSON Reiss</c:v>
                </c:pt>
                <c:pt idx="22">
                  <c:v>HAVERTZ Kai</c:v>
                </c:pt>
                <c:pt idx="23">
                  <c:v>HEIN Karl</c:v>
                </c:pt>
                <c:pt idx="24">
                  <c:v>CALAFIORI Riccardo</c:v>
                </c:pt>
                <c:pt idx="25">
                  <c:v>SETFORD Tommy</c:v>
                </c:pt>
                <c:pt idx="26">
                  <c:v>ZUBIMENDI Martin</c:v>
                </c:pt>
                <c:pt idx="27">
                  <c:v>RICE Declan</c:v>
                </c:pt>
                <c:pt idx="28">
                  <c:v>KABIA Ismeal</c:v>
                </c:pt>
                <c:pt idx="29">
                  <c:v>LEWIS-SKELLY Myles</c:v>
                </c:pt>
                <c:pt idx="30">
                  <c:v>NICHOLS Josh</c:v>
                </c:pt>
                <c:pt idx="31">
                  <c:v>DIXON Jaden</c:v>
                </c:pt>
                <c:pt idx="32">
                  <c:v>SAGOE JR Charles</c:v>
                </c:pt>
                <c:pt idx="33">
                  <c:v>DOWMAN Max</c:v>
                </c:pt>
              </c:strCache>
            </c:strRef>
          </c:cat>
          <c:val>
            <c:numRef>
              <c:f>'Apps &amp; Goals 25-26'!$M$4:$M$37</c:f>
              <c:numCache>
                <c:formatCode>General</c:formatCode>
                <c:ptCount val="34"/>
                <c:pt idx="0">
                  <c:v>51</c:v>
                </c:pt>
                <c:pt idx="1">
                  <c:v>50</c:v>
                </c:pt>
                <c:pt idx="2">
                  <c:v>35</c:v>
                </c:pt>
                <c:pt idx="3">
                  <c:v>29</c:v>
                </c:pt>
                <c:pt idx="4">
                  <c:v>38</c:v>
                </c:pt>
                <c:pt idx="5">
                  <c:v>51</c:v>
                </c:pt>
                <c:pt idx="6">
                  <c:v>49</c:v>
                </c:pt>
                <c:pt idx="7">
                  <c:v>35</c:v>
                </c:pt>
                <c:pt idx="8">
                  <c:v>27</c:v>
                </c:pt>
                <c:pt idx="9">
                  <c:v>52</c:v>
                </c:pt>
                <c:pt idx="10">
                  <c:v>51</c:v>
                </c:pt>
                <c:pt idx="11">
                  <c:v>44</c:v>
                </c:pt>
                <c:pt idx="12">
                  <c:v>12</c:v>
                </c:pt>
                <c:pt idx="13">
                  <c:v>55</c:v>
                </c:pt>
                <c:pt idx="14">
                  <c:v>0</c:v>
                </c:pt>
                <c:pt idx="15">
                  <c:v>20</c:v>
                </c:pt>
                <c:pt idx="16">
                  <c:v>50</c:v>
                </c:pt>
                <c:pt idx="17">
                  <c:v>42</c:v>
                </c:pt>
                <c:pt idx="18">
                  <c:v>0</c:v>
                </c:pt>
                <c:pt idx="19">
                  <c:v>12</c:v>
                </c:pt>
                <c:pt idx="20">
                  <c:v>35</c:v>
                </c:pt>
                <c:pt idx="21">
                  <c:v>0</c:v>
                </c:pt>
                <c:pt idx="22">
                  <c:v>24</c:v>
                </c:pt>
                <c:pt idx="23">
                  <c:v>0</c:v>
                </c:pt>
                <c:pt idx="24">
                  <c:v>34</c:v>
                </c:pt>
                <c:pt idx="25">
                  <c:v>1</c:v>
                </c:pt>
                <c:pt idx="26">
                  <c:v>56</c:v>
                </c:pt>
                <c:pt idx="27">
                  <c:v>55</c:v>
                </c:pt>
                <c:pt idx="28">
                  <c:v>0</c:v>
                </c:pt>
                <c:pt idx="29">
                  <c:v>36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4-4A07-B6EE-7769F17CF977}"/>
            </c:ext>
          </c:extLst>
        </c:ser>
        <c:ser>
          <c:idx val="1"/>
          <c:order val="1"/>
          <c:tx>
            <c:strRef>
              <c:f>'Apps &amp; Goals 25-26'!$N$3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25-26'!$B$4:$B$37</c:f>
              <c:strCache>
                <c:ptCount val="34"/>
                <c:pt idx="0">
                  <c:v>RAYA David</c:v>
                </c:pt>
                <c:pt idx="1">
                  <c:v>SALIBA William</c:v>
                </c:pt>
                <c:pt idx="2">
                  <c:v>MOSQUERA Cristhian</c:v>
                </c:pt>
                <c:pt idx="3">
                  <c:v>WHITE Ben</c:v>
                </c:pt>
                <c:pt idx="4">
                  <c:v>HINCAPIE Piero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JESUS Gabriel</c:v>
                </c:pt>
                <c:pt idx="9">
                  <c:v>EZE Eberechi</c:v>
                </c:pt>
                <c:pt idx="10">
                  <c:v>MARTINELLI Gabriel</c:v>
                </c:pt>
                <c:pt idx="11">
                  <c:v>TIMBER Jurrien</c:v>
                </c:pt>
                <c:pt idx="12">
                  <c:v>KEPA Arrizabalaga</c:v>
                </c:pt>
                <c:pt idx="13">
                  <c:v>GYOKERES Viktor</c:v>
                </c:pt>
                <c:pt idx="14">
                  <c:v>KIWIOR Jakub</c:v>
                </c:pt>
                <c:pt idx="15">
                  <c:v>NORGAARD Christian</c:v>
                </c:pt>
                <c:pt idx="16">
                  <c:v>TROSSARD Leandro</c:v>
                </c:pt>
                <c:pt idx="17">
                  <c:v>MADUEKE Nuno</c:v>
                </c:pt>
                <c:pt idx="18">
                  <c:v>VIEIRA Fabio</c:v>
                </c:pt>
                <c:pt idx="19">
                  <c:v>NWANERI Ethan</c:v>
                </c:pt>
                <c:pt idx="20">
                  <c:v>MERINO Mikel</c:v>
                </c:pt>
                <c:pt idx="21">
                  <c:v>NELSON Reiss</c:v>
                </c:pt>
                <c:pt idx="22">
                  <c:v>HAVERTZ Kai</c:v>
                </c:pt>
                <c:pt idx="23">
                  <c:v>HEIN Karl</c:v>
                </c:pt>
                <c:pt idx="24">
                  <c:v>CALAFIORI Riccardo</c:v>
                </c:pt>
                <c:pt idx="25">
                  <c:v>SETFORD Tommy</c:v>
                </c:pt>
                <c:pt idx="26">
                  <c:v>ZUBIMENDI Martin</c:v>
                </c:pt>
                <c:pt idx="27">
                  <c:v>RICE Declan</c:v>
                </c:pt>
                <c:pt idx="28">
                  <c:v>KABIA Ismeal</c:v>
                </c:pt>
                <c:pt idx="29">
                  <c:v>LEWIS-SKELLY Myles</c:v>
                </c:pt>
                <c:pt idx="30">
                  <c:v>NICHOLS Josh</c:v>
                </c:pt>
                <c:pt idx="31">
                  <c:v>DIXON Jaden</c:v>
                </c:pt>
                <c:pt idx="32">
                  <c:v>SAGOE JR Charles</c:v>
                </c:pt>
                <c:pt idx="33">
                  <c:v>DOWMAN Max</c:v>
                </c:pt>
              </c:strCache>
            </c:strRef>
          </c:cat>
          <c:val>
            <c:numRef>
              <c:f>'Apps &amp; Goals 25-26'!$N$4:$N$37</c:f>
              <c:numCache>
                <c:formatCode>General</c:formatCode>
                <c:ptCount val="3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11</c:v>
                </c:pt>
                <c:pt idx="7">
                  <c:v>1</c:v>
                </c:pt>
                <c:pt idx="8">
                  <c:v>6</c:v>
                </c:pt>
                <c:pt idx="9">
                  <c:v>9</c:v>
                </c:pt>
                <c:pt idx="10">
                  <c:v>11</c:v>
                </c:pt>
                <c:pt idx="11">
                  <c:v>4</c:v>
                </c:pt>
                <c:pt idx="12">
                  <c:v>0</c:v>
                </c:pt>
                <c:pt idx="13">
                  <c:v>21</c:v>
                </c:pt>
                <c:pt idx="14">
                  <c:v>0</c:v>
                </c:pt>
                <c:pt idx="15">
                  <c:v>0</c:v>
                </c:pt>
                <c:pt idx="16">
                  <c:v>8</c:v>
                </c:pt>
                <c:pt idx="17">
                  <c:v>8</c:v>
                </c:pt>
                <c:pt idx="18">
                  <c:v>0</c:v>
                </c:pt>
                <c:pt idx="19">
                  <c:v>1</c:v>
                </c:pt>
                <c:pt idx="20">
                  <c:v>6</c:v>
                </c:pt>
                <c:pt idx="21">
                  <c:v>0</c:v>
                </c:pt>
                <c:pt idx="22">
                  <c:v>7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6</c:v>
                </c:pt>
                <c:pt idx="27">
                  <c:v>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4-4A07-B6EE-7769F17CF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26-27'!$R$3</c:f>
              <c:strCache>
                <c:ptCount val="1"/>
                <c:pt idx="0">
                  <c:v>App</c:v>
                </c:pt>
              </c:strCache>
            </c:strRef>
          </c:tx>
          <c:invertIfNegative val="0"/>
          <c:cat>
            <c:strRef>
              <c:f>'Apps &amp; Goals 26-27'!$B$4:$B$36</c:f>
              <c:strCache>
                <c:ptCount val="33"/>
                <c:pt idx="0">
                  <c:v>RAYA David</c:v>
                </c:pt>
                <c:pt idx="1">
                  <c:v>SALIBA William</c:v>
                </c:pt>
                <c:pt idx="2">
                  <c:v>MOSQUERA Cristhian</c:v>
                </c:pt>
                <c:pt idx="3">
                  <c:v>WHITE Ben</c:v>
                </c:pt>
                <c:pt idx="4">
                  <c:v>HINCAPIE Piero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EZE Eberechi</c:v>
                </c:pt>
                <c:pt idx="9">
                  <c:v>TIMBER Jurrien</c:v>
                </c:pt>
                <c:pt idx="10">
                  <c:v>KEPA Arrizabalaga</c:v>
                </c:pt>
                <c:pt idx="11">
                  <c:v>GYOKERES Viktor</c:v>
                </c:pt>
                <c:pt idx="12">
                  <c:v>KONSA Ezri</c:v>
                </c:pt>
                <c:pt idx="13">
                  <c:v>TZOLIS Christos</c:v>
                </c:pt>
                <c:pt idx="14">
                  <c:v>MADUEKE Nuno</c:v>
                </c:pt>
                <c:pt idx="15">
                  <c:v>NWANERI Ethan</c:v>
                </c:pt>
                <c:pt idx="16">
                  <c:v>MERINO Mikel</c:v>
                </c:pt>
                <c:pt idx="17">
                  <c:v>HAVERTZ Kai</c:v>
                </c:pt>
                <c:pt idx="18">
                  <c:v>MESLIER Illan</c:v>
                </c:pt>
                <c:pt idx="19">
                  <c:v>CALAFIORI Riccardo</c:v>
                </c:pt>
                <c:pt idx="20">
                  <c:v>SETFORD Tommy</c:v>
                </c:pt>
                <c:pt idx="21">
                  <c:v>ZUBIMENDI Martin</c:v>
                </c:pt>
                <c:pt idx="22">
                  <c:v>GUIMARES Bruno</c:v>
                </c:pt>
                <c:pt idx="23">
                  <c:v>DIXON Jaden</c:v>
                </c:pt>
                <c:pt idx="24">
                  <c:v>RICE Declan</c:v>
                </c:pt>
                <c:pt idx="25">
                  <c:v>HARRIMAN-ANNOUS Andre</c:v>
                </c:pt>
                <c:pt idx="26">
                  <c:v>IBRAHIM Ife</c:v>
                </c:pt>
                <c:pt idx="27">
                  <c:v>JULIENNE Theo</c:v>
                </c:pt>
                <c:pt idx="28">
                  <c:v>KABIA Ismeal</c:v>
                </c:pt>
                <c:pt idx="29">
                  <c:v>LEWIS-SKELLY Myles</c:v>
                </c:pt>
                <c:pt idx="30">
                  <c:v>SAGOE JR Charles</c:v>
                </c:pt>
                <c:pt idx="31">
                  <c:v>PORTER Jack</c:v>
                </c:pt>
                <c:pt idx="32">
                  <c:v>DOWMAN Max</c:v>
                </c:pt>
              </c:strCache>
            </c:strRef>
          </c:cat>
          <c:val>
            <c:numRef>
              <c:f>'Apps &amp; Goals 26-27'!$R$4:$R$36</c:f>
              <c:numCache>
                <c:formatCode>General</c:formatCode>
                <c:ptCount val="33"/>
                <c:pt idx="0">
                  <c:v>8</c:v>
                </c:pt>
                <c:pt idx="1">
                  <c:v>0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9</c:v>
                </c:pt>
                <c:pt idx="6">
                  <c:v>8</c:v>
                </c:pt>
                <c:pt idx="7">
                  <c:v>9</c:v>
                </c:pt>
                <c:pt idx="8">
                  <c:v>7</c:v>
                </c:pt>
                <c:pt idx="9">
                  <c:v>3</c:v>
                </c:pt>
                <c:pt idx="10">
                  <c:v>1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0</c:v>
                </c:pt>
                <c:pt idx="16">
                  <c:v>8</c:v>
                </c:pt>
                <c:pt idx="17">
                  <c:v>8</c:v>
                </c:pt>
                <c:pt idx="18">
                  <c:v>0</c:v>
                </c:pt>
                <c:pt idx="19">
                  <c:v>7</c:v>
                </c:pt>
                <c:pt idx="20">
                  <c:v>0</c:v>
                </c:pt>
                <c:pt idx="21">
                  <c:v>8</c:v>
                </c:pt>
                <c:pt idx="22">
                  <c:v>7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7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0-49EB-9A69-08B9B6E3721E}"/>
            </c:ext>
          </c:extLst>
        </c:ser>
        <c:ser>
          <c:idx val="1"/>
          <c:order val="1"/>
          <c:tx>
            <c:strRef>
              <c:f>'Apps &amp; Goals 26-27'!$S$3</c:f>
              <c:strCache>
                <c:ptCount val="1"/>
                <c:pt idx="0">
                  <c:v>Gls</c:v>
                </c:pt>
              </c:strCache>
            </c:strRef>
          </c:tx>
          <c:invertIfNegative val="0"/>
          <c:cat>
            <c:strRef>
              <c:f>'Apps &amp; Goals 26-27'!$B$4:$B$36</c:f>
              <c:strCache>
                <c:ptCount val="33"/>
                <c:pt idx="0">
                  <c:v>RAYA David</c:v>
                </c:pt>
                <c:pt idx="1">
                  <c:v>SALIBA William</c:v>
                </c:pt>
                <c:pt idx="2">
                  <c:v>MOSQUERA Cristhian</c:v>
                </c:pt>
                <c:pt idx="3">
                  <c:v>WHITE Ben</c:v>
                </c:pt>
                <c:pt idx="4">
                  <c:v>HINCAPIE Piero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EZE Eberechi</c:v>
                </c:pt>
                <c:pt idx="9">
                  <c:v>TIMBER Jurrien</c:v>
                </c:pt>
                <c:pt idx="10">
                  <c:v>KEPA Arrizabalaga</c:v>
                </c:pt>
                <c:pt idx="11">
                  <c:v>GYOKERES Viktor</c:v>
                </c:pt>
                <c:pt idx="12">
                  <c:v>KONSA Ezri</c:v>
                </c:pt>
                <c:pt idx="13">
                  <c:v>TZOLIS Christos</c:v>
                </c:pt>
                <c:pt idx="14">
                  <c:v>MADUEKE Nuno</c:v>
                </c:pt>
                <c:pt idx="15">
                  <c:v>NWANERI Ethan</c:v>
                </c:pt>
                <c:pt idx="16">
                  <c:v>MERINO Mikel</c:v>
                </c:pt>
                <c:pt idx="17">
                  <c:v>HAVERTZ Kai</c:v>
                </c:pt>
                <c:pt idx="18">
                  <c:v>MESLIER Illan</c:v>
                </c:pt>
                <c:pt idx="19">
                  <c:v>CALAFIORI Riccardo</c:v>
                </c:pt>
                <c:pt idx="20">
                  <c:v>SETFORD Tommy</c:v>
                </c:pt>
                <c:pt idx="21">
                  <c:v>ZUBIMENDI Martin</c:v>
                </c:pt>
                <c:pt idx="22">
                  <c:v>GUIMARES Bruno</c:v>
                </c:pt>
                <c:pt idx="23">
                  <c:v>DIXON Jaden</c:v>
                </c:pt>
                <c:pt idx="24">
                  <c:v>RICE Declan</c:v>
                </c:pt>
                <c:pt idx="25">
                  <c:v>HARRIMAN-ANNOUS Andre</c:v>
                </c:pt>
                <c:pt idx="26">
                  <c:v>IBRAHIM Ife</c:v>
                </c:pt>
                <c:pt idx="27">
                  <c:v>JULIENNE Theo</c:v>
                </c:pt>
                <c:pt idx="28">
                  <c:v>KABIA Ismeal</c:v>
                </c:pt>
                <c:pt idx="29">
                  <c:v>LEWIS-SKELLY Myles</c:v>
                </c:pt>
                <c:pt idx="30">
                  <c:v>SAGOE JR Charles</c:v>
                </c:pt>
                <c:pt idx="31">
                  <c:v>PORTER Jack</c:v>
                </c:pt>
                <c:pt idx="32">
                  <c:v>DOWMAN Max</c:v>
                </c:pt>
              </c:strCache>
            </c:strRef>
          </c:cat>
          <c:val>
            <c:numRef>
              <c:f>'Apps &amp; Goals 26-27'!$S$4:$S$36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0-49EB-9A69-08B9B6E37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Appearances/Goals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'Apps &amp; Goals'!$T$3:$U$3</c:f>
              <c:strCache>
                <c:ptCount val="1"/>
                <c:pt idx="0">
                  <c:v>App Gls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10"/>
          </c:marker>
          <c:dPt>
            <c:idx val="0"/>
            <c:marker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6F-4E71-A5BF-790D0BBA85FB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6F-4E71-A5BF-790D0BBA85FB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6F-4E71-A5BF-790D0BBA85FB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6F-4E71-A5BF-790D0BBA85FB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86F-4E71-A5BF-790D0BBA85FB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86F-4E71-A5BF-790D0BBA85FB}"/>
              </c:ext>
            </c:extLst>
          </c:dPt>
          <c:dPt>
            <c:idx val="6"/>
            <c:marker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786F-4E71-A5BF-790D0BBA85FB}"/>
              </c:ext>
            </c:extLst>
          </c:dPt>
          <c:dPt>
            <c:idx val="7"/>
            <c:marker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86F-4E71-A5BF-790D0BBA85FB}"/>
              </c:ext>
            </c:extLst>
          </c:dPt>
          <c:dPt>
            <c:idx val="8"/>
            <c:marker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786F-4E71-A5BF-790D0BBA85FB}"/>
              </c:ext>
            </c:extLst>
          </c:dPt>
          <c:dPt>
            <c:idx val="9"/>
            <c:marker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786F-4E71-A5BF-790D0BBA85FB}"/>
              </c:ext>
            </c:extLst>
          </c:dPt>
          <c:dPt>
            <c:idx val="10"/>
            <c:marker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786F-4E71-A5BF-790D0BBA85FB}"/>
              </c:ext>
            </c:extLst>
          </c:dPt>
          <c:dPt>
            <c:idx val="11"/>
            <c:marker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786F-4E71-A5BF-790D0BBA85FB}"/>
              </c:ext>
            </c:extLst>
          </c:dPt>
          <c:dPt>
            <c:idx val="12"/>
            <c:marker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786F-4E71-A5BF-790D0BBA85FB}"/>
              </c:ext>
            </c:extLst>
          </c:dPt>
          <c:dPt>
            <c:idx val="13"/>
            <c:marker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786F-4E71-A5BF-790D0BBA85FB}"/>
              </c:ext>
            </c:extLst>
          </c:dPt>
          <c:dPt>
            <c:idx val="14"/>
            <c:marker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786F-4E71-A5BF-790D0BBA85FB}"/>
              </c:ext>
            </c:extLst>
          </c:dPt>
          <c:dPt>
            <c:idx val="15"/>
            <c:marker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786F-4E71-A5BF-790D0BBA85FB}"/>
              </c:ext>
            </c:extLst>
          </c:dPt>
          <c:dPt>
            <c:idx val="16"/>
            <c:marker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786F-4E71-A5BF-790D0BBA85FB}"/>
              </c:ext>
            </c:extLst>
          </c:dPt>
          <c:dPt>
            <c:idx val="17"/>
            <c:marker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786F-4E71-A5BF-790D0BBA85FB}"/>
              </c:ext>
            </c:extLst>
          </c:dPt>
          <c:dPt>
            <c:idx val="18"/>
            <c:marker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786F-4E71-A5BF-790D0BBA85FB}"/>
              </c:ext>
            </c:extLst>
          </c:dPt>
          <c:dPt>
            <c:idx val="19"/>
            <c:marker>
              <c:spPr>
                <a:solidFill>
                  <a:schemeClr val="accent2">
                    <a:lumMod val="80000"/>
                  </a:schemeClr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786F-4E71-A5BF-790D0BBA85FB}"/>
              </c:ext>
            </c:extLst>
          </c:dPt>
          <c:dPt>
            <c:idx val="20"/>
            <c:marker>
              <c:spPr>
                <a:solidFill>
                  <a:schemeClr val="accent3">
                    <a:lumMod val="80000"/>
                  </a:schemeClr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786F-4E71-A5BF-790D0BBA85FB}"/>
              </c:ext>
            </c:extLst>
          </c:dPt>
          <c:dPt>
            <c:idx val="21"/>
            <c:marker>
              <c:spPr>
                <a:solidFill>
                  <a:schemeClr val="accent4">
                    <a:lumMod val="80000"/>
                  </a:schemeClr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786F-4E71-A5BF-790D0BBA85FB}"/>
              </c:ext>
            </c:extLst>
          </c:dPt>
          <c:dPt>
            <c:idx val="22"/>
            <c:marker>
              <c:spPr>
                <a:solidFill>
                  <a:schemeClr val="accent5">
                    <a:lumMod val="80000"/>
                  </a:schemeClr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786F-4E71-A5BF-790D0BBA85FB}"/>
              </c:ext>
            </c:extLst>
          </c:dPt>
          <c:dPt>
            <c:idx val="23"/>
            <c:marker>
              <c:spPr>
                <a:solidFill>
                  <a:schemeClr val="accent6">
                    <a:lumMod val="80000"/>
                  </a:schemeClr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786F-4E71-A5BF-790D0BBA85FB}"/>
              </c:ext>
            </c:extLst>
          </c:dPt>
          <c:dPt>
            <c:idx val="24"/>
            <c:marker>
              <c:spPr>
                <a:solidFill>
                  <a:schemeClr val="accent1">
                    <a:lumMod val="60000"/>
                    <a:lumOff val="40000"/>
                  </a:schemeClr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786F-4E71-A5BF-790D0BBA85FB}"/>
              </c:ext>
            </c:extLst>
          </c:dPt>
          <c:dPt>
            <c:idx val="25"/>
            <c:marker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786F-4E71-A5BF-790D0BBA85FB}"/>
              </c:ext>
            </c:extLst>
          </c:dPt>
          <c:dPt>
            <c:idx val="26"/>
            <c:marker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786F-4E71-A5BF-790D0BBA85FB}"/>
              </c:ext>
            </c:extLst>
          </c:dPt>
          <c:dPt>
            <c:idx val="27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786F-4E71-A5BF-790D0BBA85FB}"/>
              </c:ext>
            </c:extLst>
          </c:dPt>
          <c:dPt>
            <c:idx val="28"/>
            <c:marker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786F-4E71-A5BF-790D0BBA85FB}"/>
              </c:ext>
            </c:extLst>
          </c:dPt>
          <c:dPt>
            <c:idx val="29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786F-4E71-A5BF-790D0BBA85FB}"/>
              </c:ext>
            </c:extLst>
          </c:dPt>
          <c:dPt>
            <c:idx val="30"/>
            <c:marker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786F-4E71-A5BF-790D0BBA85FB}"/>
              </c:ext>
            </c:extLst>
          </c:dPt>
          <c:dPt>
            <c:idx val="31"/>
            <c:marker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786F-4E71-A5BF-790D0BBA85FB}"/>
              </c:ext>
            </c:extLst>
          </c:dPt>
          <c:dPt>
            <c:idx val="32"/>
            <c:marker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786F-4E71-A5BF-790D0BBA85FB}"/>
              </c:ext>
            </c:extLst>
          </c:dPt>
          <c:dPt>
            <c:idx val="33"/>
            <c:marker>
              <c:spPr>
                <a:solidFill>
                  <a:schemeClr val="accent4">
                    <a:lumMod val="50000"/>
                  </a:schemeClr>
                </a:solidFill>
                <a:ln w="9525">
                  <a:solidFill>
                    <a:schemeClr val="accent4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786F-4E71-A5BF-790D0BBA85FB}"/>
              </c:ext>
            </c:extLst>
          </c:dPt>
          <c:dPt>
            <c:idx val="34"/>
            <c:marker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786F-4E71-A5BF-790D0BBA85FB}"/>
              </c:ext>
            </c:extLst>
          </c:dPt>
          <c:dPt>
            <c:idx val="35"/>
            <c:marker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786F-4E71-A5BF-790D0BBA85FB}"/>
              </c:ext>
            </c:extLst>
          </c:dPt>
          <c:dPt>
            <c:idx val="36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786F-4E71-A5BF-790D0BBA85FB}"/>
              </c:ext>
            </c:extLst>
          </c:dPt>
          <c:dPt>
            <c:idx val="37"/>
            <c:marker>
              <c:spPr>
                <a:solidFill>
                  <a:schemeClr val="accent2">
                    <a:lumMod val="70000"/>
                    <a:lumOff val="30000"/>
                  </a:schemeClr>
                </a:solidFill>
                <a:ln w="9525">
                  <a:solidFill>
                    <a:schemeClr val="accent2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786F-4E71-A5BF-790D0BBA85FB}"/>
              </c:ext>
            </c:extLst>
          </c:dPt>
          <c:dPt>
            <c:idx val="38"/>
            <c:marker>
              <c:spPr>
                <a:solidFill>
                  <a:schemeClr val="accent3">
                    <a:lumMod val="70000"/>
                    <a:lumOff val="30000"/>
                  </a:schemeClr>
                </a:solidFill>
                <a:ln w="9525">
                  <a:solidFill>
                    <a:schemeClr val="accent3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786F-4E71-A5BF-790D0BBA85FB}"/>
              </c:ext>
            </c:extLst>
          </c:dPt>
          <c:dPt>
            <c:idx val="39"/>
            <c:marker>
              <c:spPr>
                <a:solidFill>
                  <a:schemeClr val="accent4">
                    <a:lumMod val="70000"/>
                    <a:lumOff val="30000"/>
                  </a:schemeClr>
                </a:solidFill>
                <a:ln w="9525">
                  <a:solidFill>
                    <a:schemeClr val="accent4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786F-4E71-A5BF-790D0BBA85F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1234DD1-76A6-436D-8BB2-1A32A6622966}" type="CELLRANGE">
                      <a:rPr lang="en-US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86F-4E71-A5BF-790D0BBA85F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86A9F6-9CE2-484D-863A-8D9EEF6C9A67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86F-4E71-A5BF-790D0BBA85F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8D528F4-52B6-43FB-B985-444B268D58BD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86F-4E71-A5BF-790D0BBA85F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6110BB-0686-4710-8543-05D273F98E06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86F-4E71-A5BF-790D0BBA85F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57E0001-B673-4275-BE5C-2974F37E38E8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86F-4E71-A5BF-790D0BBA85F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7908D16-A707-4FE1-ADB6-B4F0E3F32071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86F-4E71-A5BF-790D0BBA85F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A12F139-FE87-427D-8C87-6CEE96D7F7DF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86F-4E71-A5BF-790D0BBA85F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F1FCFC3-8621-4C67-A866-DCEE2172C714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86F-4E71-A5BF-790D0BBA85F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B220D83-9BA5-4B8C-9BCE-7BB8BD5AE44F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86F-4E71-A5BF-790D0BBA85F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61CC650-0950-4B66-B1AA-BFC9FB667972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86F-4E71-A5BF-790D0BBA85F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688C2B5-EFE9-4361-9292-45503FC402FF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86F-4E71-A5BF-790D0BBA85F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0818CA7-1E43-4113-B9FD-BB649D6DFB34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86F-4E71-A5BF-790D0BBA85F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75B0745-5ACD-48C8-874B-B0C7CFFE957B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86F-4E71-A5BF-790D0BBA85FB}"/>
                </c:ext>
              </c:extLst>
            </c:dLbl>
            <c:dLbl>
              <c:idx val="1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B637FCC-7019-4663-8F1C-EB7408FF9339}" type="CELLRANGE">
                      <a:rPr lang="pl-PL"/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pl-PL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86F-4E71-A5BF-790D0BBA85F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A134787-70AA-437E-A8F9-A7DE1CC54D34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86F-4E71-A5BF-790D0BBA85F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29F6D06-AE65-415A-813A-ACE26C3BF65E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86F-4E71-A5BF-790D0BBA85F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B6A8264-1166-4DB6-AA0B-5188D7E72867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86F-4E71-A5BF-790D0BBA85F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003B611-C38E-4DF6-B027-4DBF581516E1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86F-4E71-A5BF-790D0BBA85F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E616879-B774-7B44-A658-270AA3DC028F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786F-4E71-A5BF-790D0BBA85F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5AD2B43C-5BBA-F743-8EE1-5D48ED414DF4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786F-4E71-A5BF-790D0BBA85F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982A47D5-2557-BF43-856C-1296EE612081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786F-4E71-A5BF-790D0BBA85FB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'Apps &amp; Goals'!$T$7:$T$24</c:f>
              <c:numCache>
                <c:formatCode>General</c:formatCode>
                <c:ptCount val="18"/>
                <c:pt idx="0">
                  <c:v>197</c:v>
                </c:pt>
                <c:pt idx="1">
                  <c:v>44</c:v>
                </c:pt>
                <c:pt idx="2">
                  <c:v>270</c:v>
                </c:pt>
                <c:pt idx="3">
                  <c:v>320</c:v>
                </c:pt>
                <c:pt idx="4">
                  <c:v>243</c:v>
                </c:pt>
                <c:pt idx="5">
                  <c:v>59</c:v>
                </c:pt>
                <c:pt idx="6">
                  <c:v>98</c:v>
                </c:pt>
                <c:pt idx="7">
                  <c:v>13</c:v>
                </c:pt>
                <c:pt idx="8">
                  <c:v>61</c:v>
                </c:pt>
                <c:pt idx="9">
                  <c:v>7</c:v>
                </c:pt>
                <c:pt idx="10">
                  <c:v>8</c:v>
                </c:pt>
                <c:pt idx="11">
                  <c:v>48</c:v>
                </c:pt>
                <c:pt idx="12">
                  <c:v>51</c:v>
                </c:pt>
                <c:pt idx="13">
                  <c:v>86</c:v>
                </c:pt>
                <c:pt idx="14">
                  <c:v>119</c:v>
                </c:pt>
                <c:pt idx="15">
                  <c:v>0</c:v>
                </c:pt>
                <c:pt idx="16">
                  <c:v>72</c:v>
                </c:pt>
                <c:pt idx="17">
                  <c:v>2</c:v>
                </c:pt>
              </c:numCache>
            </c:numRef>
          </c:xVal>
          <c:yVal>
            <c:numRef>
              <c:f>'Apps &amp; Goals'!$U$7:$U$24</c:f>
              <c:numCache>
                <c:formatCode>General</c:formatCode>
                <c:ptCount val="18"/>
                <c:pt idx="0">
                  <c:v>7</c:v>
                </c:pt>
                <c:pt idx="1">
                  <c:v>1</c:v>
                </c:pt>
                <c:pt idx="2">
                  <c:v>24</c:v>
                </c:pt>
                <c:pt idx="3">
                  <c:v>84</c:v>
                </c:pt>
                <c:pt idx="4">
                  <c:v>46</c:v>
                </c:pt>
                <c:pt idx="5">
                  <c:v>10</c:v>
                </c:pt>
                <c:pt idx="6">
                  <c:v>6</c:v>
                </c:pt>
                <c:pt idx="7">
                  <c:v>0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9</c:v>
                </c:pt>
                <c:pt idx="12">
                  <c:v>10</c:v>
                </c:pt>
                <c:pt idx="13">
                  <c:v>16</c:v>
                </c:pt>
                <c:pt idx="14">
                  <c:v>39</c:v>
                </c:pt>
                <c:pt idx="15">
                  <c:v>0</c:v>
                </c:pt>
                <c:pt idx="16">
                  <c:v>6</c:v>
                </c:pt>
                <c:pt idx="17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'Apps &amp; Goals'!$D$7:$D$24</c15:f>
                <c15:dlblRangeCache>
                  <c:ptCount val="18"/>
                  <c:pt idx="0">
                    <c:v>WHITE Ben</c:v>
                  </c:pt>
                  <c:pt idx="1">
                    <c:v>HINCAPIE Piero</c:v>
                  </c:pt>
                  <c:pt idx="2">
                    <c:v>GABRIEL</c:v>
                  </c:pt>
                  <c:pt idx="3">
                    <c:v>SAKA Bukayo</c:v>
                  </c:pt>
                  <c:pt idx="4">
                    <c:v>ODEGAARD Martin</c:v>
                  </c:pt>
                  <c:pt idx="5">
                    <c:v>EZE Eberechi</c:v>
                  </c:pt>
                  <c:pt idx="6">
                    <c:v>TIMBER Jurrien</c:v>
                  </c:pt>
                  <c:pt idx="7">
                    <c:v>KEPA Arrizabalaga</c:v>
                  </c:pt>
                  <c:pt idx="8">
                    <c:v>GYOKERES Viktor</c:v>
                  </c:pt>
                  <c:pt idx="9">
                    <c:v>KONSA Ezri</c:v>
                  </c:pt>
                  <c:pt idx="10">
                    <c:v>TZOLIS Christos</c:v>
                  </c:pt>
                  <c:pt idx="11">
                    <c:v>MADUEKE Nuno</c:v>
                  </c:pt>
                  <c:pt idx="12">
                    <c:v>NWANERI Ethan</c:v>
                  </c:pt>
                  <c:pt idx="13">
                    <c:v>MERINO Mikel</c:v>
                  </c:pt>
                  <c:pt idx="14">
                    <c:v>HAVERTZ Kai</c:v>
                  </c:pt>
                  <c:pt idx="15">
                    <c:v>MESLIER Illan</c:v>
                  </c:pt>
                  <c:pt idx="16">
                    <c:v>CALAFIORI Riccardo</c:v>
                  </c:pt>
                  <c:pt idx="17">
                    <c:v>SETFORD Tommy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0-786F-4E71-A5BF-790D0BBA8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10592"/>
        <c:axId val="1073479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8575">
                    <a:noFill/>
                  </a:ln>
                </c:spPr>
                <c:xVal>
                  <c:strRef>
                    <c:extLst>
                      <c:ext uri="{02D57815-91ED-43cb-92C2-25804820EDAC}">
                        <c15:formulaRef>
                          <c15:sqref>'Apps &amp; Goals'!$D$7:$D$24</c15:sqref>
                        </c15:formulaRef>
                      </c:ext>
                    </c:extLst>
                    <c:strCache>
                      <c:ptCount val="18"/>
                      <c:pt idx="0">
                        <c:v>WHITE Ben</c:v>
                      </c:pt>
                      <c:pt idx="1">
                        <c:v>HINCAPIE Piero</c:v>
                      </c:pt>
                      <c:pt idx="2">
                        <c:v>GABRIEL</c:v>
                      </c:pt>
                      <c:pt idx="3">
                        <c:v>SAKA Bukayo</c:v>
                      </c:pt>
                      <c:pt idx="4">
                        <c:v>ODEGAARD Martin</c:v>
                      </c:pt>
                      <c:pt idx="5">
                        <c:v>EZE Eberechi</c:v>
                      </c:pt>
                      <c:pt idx="6">
                        <c:v>TIMBER Jurrien</c:v>
                      </c:pt>
                      <c:pt idx="7">
                        <c:v>KEPA Arrizabalaga</c:v>
                      </c:pt>
                      <c:pt idx="8">
                        <c:v>GYOKERES Viktor</c:v>
                      </c:pt>
                      <c:pt idx="9">
                        <c:v>KONSA Ezri</c:v>
                      </c:pt>
                      <c:pt idx="10">
                        <c:v>TZOLIS Christos</c:v>
                      </c:pt>
                      <c:pt idx="11">
                        <c:v>MADUEKE Nuno</c:v>
                      </c:pt>
                      <c:pt idx="12">
                        <c:v>NWANERI Ethan</c:v>
                      </c:pt>
                      <c:pt idx="13">
                        <c:v>MERINO Mikel</c:v>
                      </c:pt>
                      <c:pt idx="14">
                        <c:v>HAVERTZ Kai</c:v>
                      </c:pt>
                      <c:pt idx="15">
                        <c:v>MESLIER Illan</c:v>
                      </c:pt>
                      <c:pt idx="16">
                        <c:v>CALAFIORI Riccardo</c:v>
                      </c:pt>
                      <c:pt idx="17">
                        <c:v>SETFORD Tommy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'Apps &amp; Goals'!$U$7:$U$24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7</c:v>
                      </c:pt>
                      <c:pt idx="1">
                        <c:v>1</c:v>
                      </c:pt>
                      <c:pt idx="2">
                        <c:v>24</c:v>
                      </c:pt>
                      <c:pt idx="3">
                        <c:v>84</c:v>
                      </c:pt>
                      <c:pt idx="4">
                        <c:v>46</c:v>
                      </c:pt>
                      <c:pt idx="5">
                        <c:v>10</c:v>
                      </c:pt>
                      <c:pt idx="6">
                        <c:v>6</c:v>
                      </c:pt>
                      <c:pt idx="7">
                        <c:v>0</c:v>
                      </c:pt>
                      <c:pt idx="8">
                        <c:v>21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9</c:v>
                      </c:pt>
                      <c:pt idx="12">
                        <c:v>10</c:v>
                      </c:pt>
                      <c:pt idx="13">
                        <c:v>16</c:v>
                      </c:pt>
                      <c:pt idx="14">
                        <c:v>39</c:v>
                      </c:pt>
                      <c:pt idx="15">
                        <c:v>0</c:v>
                      </c:pt>
                      <c:pt idx="16">
                        <c:v>6</c:v>
                      </c:pt>
                      <c:pt idx="17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54-C53B-4A92-9CDE-F88A9C5AE833}"/>
                  </c:ext>
                </c:extLst>
              </c15:ser>
            </c15:filteredScatterSeries>
          </c:ext>
        </c:extLst>
      </c:scatterChart>
      <c:valAx>
        <c:axId val="10651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7347968"/>
        <c:crosses val="autoZero"/>
        <c:crossBetween val="midCat"/>
      </c:valAx>
      <c:valAx>
        <c:axId val="1073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651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Points/Week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'Season Breakdown'!$A$3:$A$40</c:f>
              <c:numCache>
                <c:formatCode>0.000</c:formatCode>
                <c:ptCount val="38"/>
                <c:pt idx="0">
                  <c:v>1.9714285714285715</c:v>
                </c:pt>
                <c:pt idx="1">
                  <c:v>1.7142857142857142</c:v>
                </c:pt>
                <c:pt idx="2">
                  <c:v>1.8571428571428572</c:v>
                </c:pt>
                <c:pt idx="3">
                  <c:v>2.1714285714285713</c:v>
                </c:pt>
                <c:pt idx="4">
                  <c:v>2.0571428571428569</c:v>
                </c:pt>
                <c:pt idx="5">
                  <c:v>1.8235294117647058</c:v>
                </c:pt>
                <c:pt idx="6">
                  <c:v>2.2647058823529411</c:v>
                </c:pt>
                <c:pt idx="7">
                  <c:v>2.0882352941176472</c:v>
                </c:pt>
                <c:pt idx="8">
                  <c:v>2.3235294117647061</c:v>
                </c:pt>
                <c:pt idx="9">
                  <c:v>1.8529411764705883</c:v>
                </c:pt>
                <c:pt idx="10">
                  <c:v>1.4705882352941178</c:v>
                </c:pt>
                <c:pt idx="11">
                  <c:v>1.9705882352941178</c:v>
                </c:pt>
                <c:pt idx="12">
                  <c:v>1.7941176470588236</c:v>
                </c:pt>
                <c:pt idx="13">
                  <c:v>1.7352941176470589</c:v>
                </c:pt>
                <c:pt idx="14">
                  <c:v>1.5294117647058822</c:v>
                </c:pt>
                <c:pt idx="15">
                  <c:v>1.7647058823529411</c:v>
                </c:pt>
                <c:pt idx="16">
                  <c:v>1.7058823529411764</c:v>
                </c:pt>
                <c:pt idx="17">
                  <c:v>1.911764705882353</c:v>
                </c:pt>
                <c:pt idx="18">
                  <c:v>1.9411764705882353</c:v>
                </c:pt>
                <c:pt idx="19">
                  <c:v>1.8823529411764706</c:v>
                </c:pt>
                <c:pt idx="20">
                  <c:v>1.7647058823529411</c:v>
                </c:pt>
                <c:pt idx="21">
                  <c:v>1.4411764705882353</c:v>
                </c:pt>
                <c:pt idx="22">
                  <c:v>1.7941176470588236</c:v>
                </c:pt>
                <c:pt idx="23">
                  <c:v>2.2058823529411766</c:v>
                </c:pt>
                <c:pt idx="24">
                  <c:v>1.5588235294117647</c:v>
                </c:pt>
                <c:pt idx="25">
                  <c:v>2.1176470588235294</c:v>
                </c:pt>
                <c:pt idx="26">
                  <c:v>1.8823529411764706</c:v>
                </c:pt>
                <c:pt idx="27">
                  <c:v>1.8529411764705883</c:v>
                </c:pt>
                <c:pt idx="28">
                  <c:v>2.2941176470588234</c:v>
                </c:pt>
                <c:pt idx="29">
                  <c:v>2.1470588235294117</c:v>
                </c:pt>
                <c:pt idx="30">
                  <c:v>2.2058823529411766</c:v>
                </c:pt>
                <c:pt idx="31">
                  <c:v>1.9705882352941178</c:v>
                </c:pt>
                <c:pt idx="32">
                  <c:v>1.588235294117647</c:v>
                </c:pt>
                <c:pt idx="33">
                  <c:v>2.1176470588235294</c:v>
                </c:pt>
                <c:pt idx="34">
                  <c:v>1.8823529411764706</c:v>
                </c:pt>
                <c:pt idx="35">
                  <c:v>1.8235294117647058</c:v>
                </c:pt>
                <c:pt idx="36">
                  <c:v>1.5294117647058822</c:v>
                </c:pt>
                <c:pt idx="37">
                  <c:v>2.4117647058823528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D-49E3-9A60-5A5F20AA6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739072"/>
        <c:axId val="573739400"/>
      </c:lineChart>
      <c:catAx>
        <c:axId val="573739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3739400"/>
        <c:crosses val="autoZero"/>
        <c:auto val="1"/>
        <c:lblAlgn val="ctr"/>
        <c:lblOffset val="100"/>
        <c:noMultiLvlLbl val="0"/>
      </c:catAx>
      <c:valAx>
        <c:axId val="57373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373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266700</xdr:colOff>
      <xdr:row>1</xdr:row>
      <xdr:rowOff>171450</xdr:rowOff>
    </xdr:from>
    <xdr:to>
      <xdr:col>28</xdr:col>
      <xdr:colOff>523875</xdr:colOff>
      <xdr:row>39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266700</xdr:colOff>
      <xdr:row>1</xdr:row>
      <xdr:rowOff>171450</xdr:rowOff>
    </xdr:from>
    <xdr:to>
      <xdr:col>28</xdr:col>
      <xdr:colOff>523875</xdr:colOff>
      <xdr:row>33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7B239-FA7F-47D8-A9D6-9140F2EFF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266700</xdr:colOff>
      <xdr:row>1</xdr:row>
      <xdr:rowOff>171450</xdr:rowOff>
    </xdr:from>
    <xdr:to>
      <xdr:col>28</xdr:col>
      <xdr:colOff>523875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FA0482-8B96-4326-9C23-B4E654CD8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171450</xdr:rowOff>
    </xdr:from>
    <xdr:to>
      <xdr:col>31</xdr:col>
      <xdr:colOff>206828</xdr:colOff>
      <xdr:row>43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AA1C7-C7BA-4C4C-86C7-30BB1965CA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171450</xdr:rowOff>
    </xdr:from>
    <xdr:to>
      <xdr:col>31</xdr:col>
      <xdr:colOff>206828</xdr:colOff>
      <xdr:row>38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01546-39E4-43FA-A4F3-8B7B6E763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171450</xdr:rowOff>
    </xdr:from>
    <xdr:to>
      <xdr:col>31</xdr:col>
      <xdr:colOff>206828</xdr:colOff>
      <xdr:row>43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AAB42-F3B2-4497-83F4-D82A034B8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171450</xdr:rowOff>
    </xdr:from>
    <xdr:to>
      <xdr:col>31</xdr:col>
      <xdr:colOff>206828</xdr:colOff>
      <xdr:row>40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5ABFB-D0FA-43AF-9285-BFA086368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171450</xdr:rowOff>
    </xdr:from>
    <xdr:to>
      <xdr:col>31</xdr:col>
      <xdr:colOff>206828</xdr:colOff>
      <xdr:row>42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6DD37-671F-4670-95B9-F28E37655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171450</xdr:rowOff>
    </xdr:from>
    <xdr:to>
      <xdr:col>31</xdr:col>
      <xdr:colOff>206828</xdr:colOff>
      <xdr:row>41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95A862-1D4B-4FF6-BEBD-C0C608A35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266700</xdr:colOff>
      <xdr:row>1</xdr:row>
      <xdr:rowOff>171450</xdr:rowOff>
    </xdr:from>
    <xdr:to>
      <xdr:col>37</xdr:col>
      <xdr:colOff>206828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B4D1D-5937-414A-8796-EC9D585A7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34637</xdr:colOff>
      <xdr:row>0</xdr:row>
      <xdr:rowOff>49646</xdr:rowOff>
    </xdr:from>
    <xdr:to>
      <xdr:col>29</xdr:col>
      <xdr:colOff>54429</xdr:colOff>
      <xdr:row>40</xdr:row>
      <xdr:rowOff>176893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49</xdr:row>
      <xdr:rowOff>0</xdr:rowOff>
    </xdr:from>
    <xdr:to>
      <xdr:col>34</xdr:col>
      <xdr:colOff>209487</xdr:colOff>
      <xdr:row>75</xdr:row>
      <xdr:rowOff>32809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9DC2C-B030-41F5-A418-052A1DE34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9C1B-1B7D-427E-807A-641B6399ADCB}">
  <dimension ref="A1:N38"/>
  <sheetViews>
    <sheetView workbookViewId="0">
      <selection activeCell="Q26" sqref="Q26"/>
    </sheetView>
  </sheetViews>
  <sheetFormatPr defaultColWidth="8.85546875" defaultRowHeight="15" x14ac:dyDescent="0.25"/>
  <cols>
    <col min="1" max="1" width="3" bestFit="1" customWidth="1"/>
    <col min="2" max="2" width="26.28515625" bestFit="1" customWidth="1"/>
    <col min="3" max="3" width="5.42578125" bestFit="1" customWidth="1"/>
    <col min="4" max="4" width="6" bestFit="1" customWidth="1"/>
    <col min="5" max="5" width="5.42578125" bestFit="1" customWidth="1"/>
    <col min="6" max="6" width="6" bestFit="1" customWidth="1"/>
    <col min="7" max="7" width="5.85546875" bestFit="1" customWidth="1"/>
    <col min="8" max="8" width="6" bestFit="1" customWidth="1"/>
    <col min="9" max="9" width="5.42578125" bestFit="1" customWidth="1"/>
    <col min="10" max="10" width="6" bestFit="1" customWidth="1"/>
    <col min="11" max="11" width="5.42578125" bestFit="1" customWidth="1"/>
    <col min="12" max="12" width="6" bestFit="1" customWidth="1"/>
    <col min="13" max="13" width="5.42578125" bestFit="1" customWidth="1"/>
    <col min="14" max="14" width="6" bestFit="1" customWidth="1"/>
  </cols>
  <sheetData>
    <row r="1" spans="1:14" x14ac:dyDescent="0.25">
      <c r="A1" s="3"/>
      <c r="B1" s="5"/>
      <c r="C1" s="206" t="s">
        <v>4</v>
      </c>
      <c r="D1" s="206"/>
      <c r="E1" s="207" t="s">
        <v>120</v>
      </c>
      <c r="F1" s="207"/>
      <c r="G1" s="206" t="s">
        <v>108</v>
      </c>
      <c r="H1" s="206"/>
      <c r="I1" s="207" t="s">
        <v>110</v>
      </c>
      <c r="J1" s="207"/>
      <c r="K1" s="206" t="s">
        <v>39</v>
      </c>
      <c r="L1" s="206"/>
      <c r="M1" s="204" t="s">
        <v>7</v>
      </c>
      <c r="N1" s="205"/>
    </row>
    <row r="2" spans="1:14" x14ac:dyDescent="0.25">
      <c r="A2" s="3" t="s">
        <v>48</v>
      </c>
      <c r="B2" s="5" t="s">
        <v>1</v>
      </c>
      <c r="C2" s="5" t="s">
        <v>2</v>
      </c>
      <c r="D2" s="5" t="s">
        <v>3</v>
      </c>
      <c r="E2" s="3" t="s">
        <v>2</v>
      </c>
      <c r="F2" s="3" t="s">
        <v>3</v>
      </c>
      <c r="G2" s="5" t="s">
        <v>5</v>
      </c>
      <c r="H2" s="5" t="s">
        <v>3</v>
      </c>
      <c r="I2" s="3" t="s">
        <v>2</v>
      </c>
      <c r="J2" s="3" t="s">
        <v>3</v>
      </c>
      <c r="K2" s="5" t="s">
        <v>2</v>
      </c>
      <c r="L2" s="5" t="s">
        <v>3</v>
      </c>
      <c r="M2" s="13" t="s">
        <v>2</v>
      </c>
      <c r="N2" s="59" t="s">
        <v>3</v>
      </c>
    </row>
    <row r="3" spans="1:14" x14ac:dyDescent="0.25">
      <c r="A3" s="27">
        <v>1</v>
      </c>
      <c r="B3" s="36" t="s">
        <v>92</v>
      </c>
      <c r="C3" s="6">
        <v>103</v>
      </c>
      <c r="D3" s="6">
        <v>0</v>
      </c>
      <c r="E3" s="4">
        <v>8</v>
      </c>
      <c r="F3" s="4">
        <v>0</v>
      </c>
      <c r="G3" s="6">
        <v>3</v>
      </c>
      <c r="H3" s="6">
        <v>0</v>
      </c>
      <c r="I3" s="4">
        <v>1</v>
      </c>
      <c r="J3" s="4">
        <v>0</v>
      </c>
      <c r="K3" s="6">
        <v>2</v>
      </c>
      <c r="L3" s="6">
        <v>0</v>
      </c>
      <c r="M3" s="2">
        <v>117</v>
      </c>
      <c r="N3" s="60">
        <v>0</v>
      </c>
    </row>
    <row r="4" spans="1:14" x14ac:dyDescent="0.25">
      <c r="A4" s="28">
        <v>2</v>
      </c>
      <c r="B4" s="37" t="s">
        <v>36</v>
      </c>
      <c r="C4" s="6">
        <v>122</v>
      </c>
      <c r="D4" s="6">
        <v>6</v>
      </c>
      <c r="E4" s="4">
        <v>21</v>
      </c>
      <c r="F4" s="4">
        <v>1</v>
      </c>
      <c r="G4" s="6">
        <v>8</v>
      </c>
      <c r="H4" s="6">
        <v>0</v>
      </c>
      <c r="I4" s="4">
        <v>3</v>
      </c>
      <c r="J4" s="4">
        <v>0</v>
      </c>
      <c r="K4" s="6">
        <v>2</v>
      </c>
      <c r="L4" s="6">
        <v>0</v>
      </c>
      <c r="M4" s="2">
        <v>156</v>
      </c>
      <c r="N4" s="60">
        <v>7</v>
      </c>
    </row>
    <row r="5" spans="1:14" x14ac:dyDescent="0.25">
      <c r="A5" s="27">
        <v>4</v>
      </c>
      <c r="B5" s="39" t="s">
        <v>100</v>
      </c>
      <c r="C5" s="6">
        <v>37</v>
      </c>
      <c r="D5" s="6">
        <v>0</v>
      </c>
      <c r="E5" s="4">
        <v>17</v>
      </c>
      <c r="F5" s="4">
        <v>2</v>
      </c>
      <c r="G5" s="6">
        <v>7</v>
      </c>
      <c r="H5" s="6">
        <v>0</v>
      </c>
      <c r="I5" s="4">
        <v>7</v>
      </c>
      <c r="J5" s="4">
        <v>0</v>
      </c>
      <c r="K5" s="6">
        <v>1</v>
      </c>
      <c r="L5" s="6">
        <v>0</v>
      </c>
      <c r="M5" s="2">
        <v>69</v>
      </c>
      <c r="N5" s="60">
        <v>2</v>
      </c>
    </row>
    <row r="6" spans="1:14" x14ac:dyDescent="0.25">
      <c r="A6" s="27">
        <v>6</v>
      </c>
      <c r="B6" s="34" t="s">
        <v>12</v>
      </c>
      <c r="C6" s="6">
        <v>238</v>
      </c>
      <c r="D6" s="6">
        <v>19</v>
      </c>
      <c r="E6" s="4">
        <v>48</v>
      </c>
      <c r="F6" s="4">
        <v>2</v>
      </c>
      <c r="G6" s="6">
        <v>22</v>
      </c>
      <c r="H6" s="6">
        <v>1</v>
      </c>
      <c r="I6" s="4">
        <v>10</v>
      </c>
      <c r="J6" s="4">
        <v>2</v>
      </c>
      <c r="K6" s="6">
        <v>2</v>
      </c>
      <c r="L6" s="6">
        <v>0</v>
      </c>
      <c r="M6" s="2">
        <v>320</v>
      </c>
      <c r="N6" s="60">
        <v>24</v>
      </c>
    </row>
    <row r="7" spans="1:14" x14ac:dyDescent="0.25">
      <c r="A7" s="27">
        <v>7</v>
      </c>
      <c r="B7" s="35" t="s">
        <v>130</v>
      </c>
      <c r="C7" s="6">
        <v>11</v>
      </c>
      <c r="D7" s="6">
        <v>2</v>
      </c>
      <c r="E7" s="4">
        <v>5</v>
      </c>
      <c r="F7" s="4">
        <v>1</v>
      </c>
      <c r="G7" s="6">
        <v>0</v>
      </c>
      <c r="H7" s="6">
        <v>0</v>
      </c>
      <c r="I7" s="4">
        <v>0</v>
      </c>
      <c r="J7" s="4">
        <v>0</v>
      </c>
      <c r="K7" s="6">
        <v>0</v>
      </c>
      <c r="L7" s="6">
        <v>0</v>
      </c>
      <c r="M7" s="2">
        <v>16</v>
      </c>
      <c r="N7" s="60">
        <v>3</v>
      </c>
    </row>
    <row r="8" spans="1:14" x14ac:dyDescent="0.25">
      <c r="A8" s="27">
        <v>8</v>
      </c>
      <c r="B8" s="39" t="s">
        <v>22</v>
      </c>
      <c r="C8" s="6">
        <v>235</v>
      </c>
      <c r="D8" s="6">
        <v>36</v>
      </c>
      <c r="E8" s="4">
        <v>54</v>
      </c>
      <c r="F8" s="4">
        <v>15</v>
      </c>
      <c r="G8" s="6">
        <v>25</v>
      </c>
      <c r="H8" s="6">
        <v>6</v>
      </c>
      <c r="I8" s="4">
        <v>11</v>
      </c>
      <c r="J8" s="4">
        <v>0</v>
      </c>
      <c r="K8" s="6">
        <v>2</v>
      </c>
      <c r="L8" s="6">
        <v>1</v>
      </c>
      <c r="M8" s="2">
        <v>327</v>
      </c>
      <c r="N8" s="60">
        <v>58</v>
      </c>
    </row>
    <row r="9" spans="1:14" x14ac:dyDescent="0.25">
      <c r="A9" s="27">
        <v>9</v>
      </c>
      <c r="B9" s="39" t="s">
        <v>112</v>
      </c>
      <c r="C9" s="6">
        <v>31</v>
      </c>
      <c r="D9" s="6">
        <v>14</v>
      </c>
      <c r="E9" s="4">
        <v>2</v>
      </c>
      <c r="F9" s="4">
        <v>2</v>
      </c>
      <c r="G9" s="6">
        <v>0</v>
      </c>
      <c r="H9" s="6">
        <v>0</v>
      </c>
      <c r="I9" s="4">
        <v>1</v>
      </c>
      <c r="J9" s="4">
        <v>0</v>
      </c>
      <c r="K9" s="6">
        <v>1</v>
      </c>
      <c r="L9" s="6">
        <v>0</v>
      </c>
      <c r="M9" s="2">
        <v>35</v>
      </c>
      <c r="N9" s="60">
        <v>16</v>
      </c>
    </row>
    <row r="10" spans="1:14" x14ac:dyDescent="0.25">
      <c r="A10" s="27">
        <v>10</v>
      </c>
      <c r="B10" s="39" t="s">
        <v>16</v>
      </c>
      <c r="C10" s="6">
        <v>125</v>
      </c>
      <c r="D10" s="6">
        <v>7</v>
      </c>
      <c r="E10" s="4">
        <v>38</v>
      </c>
      <c r="F10" s="4">
        <v>5</v>
      </c>
      <c r="G10" s="6">
        <v>13</v>
      </c>
      <c r="H10" s="6">
        <v>1</v>
      </c>
      <c r="I10" s="4">
        <v>17</v>
      </c>
      <c r="J10" s="4">
        <v>1</v>
      </c>
      <c r="K10" s="6">
        <v>1</v>
      </c>
      <c r="L10" s="6">
        <v>0</v>
      </c>
      <c r="M10" s="2">
        <v>194</v>
      </c>
      <c r="N10" s="60">
        <v>14</v>
      </c>
    </row>
    <row r="11" spans="1:14" x14ac:dyDescent="0.25">
      <c r="A11" s="27">
        <v>11</v>
      </c>
      <c r="B11" s="39" t="s">
        <v>17</v>
      </c>
      <c r="C11" s="6">
        <v>142</v>
      </c>
      <c r="D11" s="6">
        <v>27</v>
      </c>
      <c r="E11" s="4">
        <v>34</v>
      </c>
      <c r="F11" s="4">
        <v>8</v>
      </c>
      <c r="G11" s="6">
        <v>15</v>
      </c>
      <c r="H11" s="6">
        <v>2</v>
      </c>
      <c r="I11" s="4">
        <v>2</v>
      </c>
      <c r="J11" s="4">
        <v>0</v>
      </c>
      <c r="K11" s="6">
        <v>1</v>
      </c>
      <c r="L11" s="6">
        <v>0</v>
      </c>
      <c r="M11" s="2">
        <v>194</v>
      </c>
      <c r="N11" s="60">
        <v>37</v>
      </c>
    </row>
    <row r="12" spans="1:14" x14ac:dyDescent="0.25">
      <c r="A12" s="27">
        <v>12</v>
      </c>
      <c r="B12" s="39" t="s">
        <v>168</v>
      </c>
      <c r="C12" s="6">
        <v>0</v>
      </c>
      <c r="D12" s="6">
        <v>0</v>
      </c>
      <c r="E12" s="4">
        <v>0</v>
      </c>
      <c r="F12" s="4">
        <v>0</v>
      </c>
      <c r="G12" s="6">
        <v>0</v>
      </c>
      <c r="H12" s="6">
        <v>0</v>
      </c>
      <c r="I12" s="4">
        <v>0</v>
      </c>
      <c r="J12" s="4">
        <v>0</v>
      </c>
      <c r="K12" s="6">
        <v>0</v>
      </c>
      <c r="L12" s="6">
        <v>0</v>
      </c>
      <c r="M12" s="2">
        <v>0</v>
      </c>
      <c r="N12" s="60">
        <v>0</v>
      </c>
    </row>
    <row r="13" spans="1:14" x14ac:dyDescent="0.25">
      <c r="A13" s="27">
        <v>13</v>
      </c>
      <c r="B13" s="36" t="s">
        <v>21</v>
      </c>
      <c r="C13" s="6">
        <v>28</v>
      </c>
      <c r="D13" s="6">
        <v>0</v>
      </c>
      <c r="E13" s="4">
        <v>21</v>
      </c>
      <c r="F13" s="4">
        <v>0</v>
      </c>
      <c r="G13" s="6">
        <v>10</v>
      </c>
      <c r="H13" s="6">
        <v>0</v>
      </c>
      <c r="I13" s="4">
        <v>6</v>
      </c>
      <c r="J13" s="4">
        <v>0</v>
      </c>
      <c r="K13" s="6">
        <v>0</v>
      </c>
      <c r="L13" s="6">
        <v>0</v>
      </c>
      <c r="M13" s="2">
        <v>65</v>
      </c>
      <c r="N13" s="60">
        <v>0</v>
      </c>
    </row>
    <row r="14" spans="1:14" x14ac:dyDescent="0.25">
      <c r="A14" s="27">
        <v>14</v>
      </c>
      <c r="B14" s="36" t="s">
        <v>131</v>
      </c>
      <c r="C14" s="6">
        <v>13</v>
      </c>
      <c r="D14" s="6">
        <v>10</v>
      </c>
      <c r="E14" s="4">
        <v>0</v>
      </c>
      <c r="F14" s="4">
        <v>0</v>
      </c>
      <c r="G14" s="6">
        <v>0</v>
      </c>
      <c r="H14" s="6">
        <v>0</v>
      </c>
      <c r="I14" s="4">
        <v>1</v>
      </c>
      <c r="J14" s="4">
        <v>0</v>
      </c>
      <c r="K14" s="6">
        <v>0</v>
      </c>
      <c r="L14" s="6">
        <v>0</v>
      </c>
      <c r="M14" s="2">
        <v>14</v>
      </c>
      <c r="N14" s="60">
        <v>10</v>
      </c>
    </row>
    <row r="15" spans="1:14" x14ac:dyDescent="0.25">
      <c r="A15" s="27">
        <v>16</v>
      </c>
      <c r="B15" s="39" t="s">
        <v>103</v>
      </c>
      <c r="C15" s="6">
        <v>21</v>
      </c>
      <c r="D15" s="6">
        <v>0</v>
      </c>
      <c r="E15" s="4">
        <v>9</v>
      </c>
      <c r="F15" s="4">
        <v>1</v>
      </c>
      <c r="G15" s="6">
        <v>6</v>
      </c>
      <c r="H15" s="6">
        <v>0</v>
      </c>
      <c r="I15" s="4">
        <v>7</v>
      </c>
      <c r="J15" s="4">
        <v>0</v>
      </c>
      <c r="K15" s="6">
        <v>1</v>
      </c>
      <c r="L15" s="6">
        <v>0</v>
      </c>
      <c r="M15" s="2">
        <v>44</v>
      </c>
      <c r="N15" s="60">
        <v>1</v>
      </c>
    </row>
    <row r="16" spans="1:14" x14ac:dyDescent="0.25">
      <c r="A16" s="28">
        <v>17</v>
      </c>
      <c r="B16" s="37" t="s">
        <v>95</v>
      </c>
      <c r="C16" s="6">
        <v>64</v>
      </c>
      <c r="D16" s="6">
        <v>8</v>
      </c>
      <c r="E16" s="4">
        <v>15</v>
      </c>
      <c r="F16" s="4">
        <v>1</v>
      </c>
      <c r="G16" s="6">
        <v>9</v>
      </c>
      <c r="H16" s="6">
        <v>0</v>
      </c>
      <c r="I16" s="4">
        <v>8</v>
      </c>
      <c r="J16" s="4">
        <v>0</v>
      </c>
      <c r="K16" s="6">
        <v>1</v>
      </c>
      <c r="L16" s="6">
        <v>0</v>
      </c>
      <c r="M16" s="2">
        <v>97</v>
      </c>
      <c r="N16" s="60">
        <v>9</v>
      </c>
    </row>
    <row r="17" spans="1:14" x14ac:dyDescent="0.25">
      <c r="A17" s="27">
        <v>18</v>
      </c>
      <c r="B17" s="34" t="s">
        <v>24</v>
      </c>
      <c r="C17" s="6">
        <v>162</v>
      </c>
      <c r="D17" s="6">
        <v>6</v>
      </c>
      <c r="E17" s="4">
        <v>28</v>
      </c>
      <c r="F17" s="4">
        <v>1</v>
      </c>
      <c r="G17" s="6">
        <v>13</v>
      </c>
      <c r="H17" s="6">
        <v>2</v>
      </c>
      <c r="I17" s="4">
        <v>3</v>
      </c>
      <c r="J17" s="4">
        <v>0</v>
      </c>
      <c r="K17" s="6">
        <v>3</v>
      </c>
      <c r="L17" s="6">
        <v>0</v>
      </c>
      <c r="M17" s="2">
        <v>209</v>
      </c>
      <c r="N17" s="60">
        <v>9</v>
      </c>
    </row>
    <row r="18" spans="1:14" x14ac:dyDescent="0.25">
      <c r="A18" s="27">
        <v>20</v>
      </c>
      <c r="B18" s="39" t="s">
        <v>107</v>
      </c>
      <c r="C18" s="6">
        <v>53</v>
      </c>
      <c r="D18" s="6">
        <v>5</v>
      </c>
      <c r="E18" s="4">
        <v>13</v>
      </c>
      <c r="F18" s="4">
        <v>0</v>
      </c>
      <c r="G18" s="6">
        <v>4</v>
      </c>
      <c r="H18" s="6">
        <v>0</v>
      </c>
      <c r="I18" s="4">
        <v>2</v>
      </c>
      <c r="J18" s="4">
        <v>0</v>
      </c>
      <c r="K18" s="6">
        <v>0</v>
      </c>
      <c r="L18" s="6">
        <v>0</v>
      </c>
      <c r="M18" s="2">
        <v>72</v>
      </c>
      <c r="N18" s="60">
        <v>5</v>
      </c>
    </row>
    <row r="19" spans="1:14" x14ac:dyDescent="0.25">
      <c r="A19" s="27">
        <v>21</v>
      </c>
      <c r="B19" s="34" t="s">
        <v>26</v>
      </c>
      <c r="C19" s="6">
        <v>48</v>
      </c>
      <c r="D19" s="6">
        <v>2</v>
      </c>
      <c r="E19" s="4">
        <v>17</v>
      </c>
      <c r="F19" s="4">
        <v>0</v>
      </c>
      <c r="G19" s="6">
        <v>8</v>
      </c>
      <c r="H19" s="6">
        <v>1</v>
      </c>
      <c r="I19" s="4">
        <v>7</v>
      </c>
      <c r="J19" s="4">
        <v>0</v>
      </c>
      <c r="K19" s="6">
        <v>1</v>
      </c>
      <c r="L19" s="6">
        <v>0</v>
      </c>
      <c r="M19" s="2">
        <v>81</v>
      </c>
      <c r="N19" s="60">
        <v>3</v>
      </c>
    </row>
    <row r="20" spans="1:14" x14ac:dyDescent="0.25">
      <c r="A20" s="28">
        <v>22</v>
      </c>
      <c r="B20" s="35" t="s">
        <v>105</v>
      </c>
      <c r="C20" s="6">
        <v>0</v>
      </c>
      <c r="D20" s="6">
        <v>0</v>
      </c>
      <c r="E20" s="4">
        <v>0</v>
      </c>
      <c r="F20" s="4">
        <v>0</v>
      </c>
      <c r="G20" s="6">
        <v>5</v>
      </c>
      <c r="H20" s="6">
        <v>0</v>
      </c>
      <c r="I20" s="4">
        <v>3</v>
      </c>
      <c r="J20" s="4">
        <v>0</v>
      </c>
      <c r="K20" s="6">
        <v>0</v>
      </c>
      <c r="L20" s="6">
        <v>0</v>
      </c>
      <c r="M20" s="2">
        <v>8</v>
      </c>
      <c r="N20" s="60">
        <v>0</v>
      </c>
    </row>
    <row r="21" spans="1:14" x14ac:dyDescent="0.25">
      <c r="A21" s="27">
        <v>23</v>
      </c>
      <c r="B21" s="35" t="s">
        <v>28</v>
      </c>
      <c r="C21" s="6">
        <v>80</v>
      </c>
      <c r="D21" s="6">
        <v>15</v>
      </c>
      <c r="E21" s="4">
        <v>16</v>
      </c>
      <c r="F21" s="4">
        <v>6</v>
      </c>
      <c r="G21" s="6">
        <v>10</v>
      </c>
      <c r="H21" s="6">
        <v>5</v>
      </c>
      <c r="I21" s="4">
        <v>3</v>
      </c>
      <c r="J21" s="4">
        <v>1</v>
      </c>
      <c r="K21" s="6">
        <v>1</v>
      </c>
      <c r="L21" s="6">
        <v>0</v>
      </c>
      <c r="M21" s="2">
        <v>110</v>
      </c>
      <c r="N21" s="60">
        <v>27</v>
      </c>
    </row>
    <row r="22" spans="1:14" x14ac:dyDescent="0.25">
      <c r="A22" s="27">
        <v>25</v>
      </c>
      <c r="B22" s="34" t="s">
        <v>41</v>
      </c>
      <c r="C22" s="6">
        <v>38</v>
      </c>
      <c r="D22" s="6">
        <v>1</v>
      </c>
      <c r="E22" s="4">
        <v>14</v>
      </c>
      <c r="F22" s="4">
        <v>0</v>
      </c>
      <c r="G22" s="6">
        <v>4</v>
      </c>
      <c r="H22" s="6">
        <v>0</v>
      </c>
      <c r="I22" s="4">
        <v>6</v>
      </c>
      <c r="J22" s="4">
        <v>0</v>
      </c>
      <c r="K22" s="6">
        <v>0</v>
      </c>
      <c r="L22" s="6">
        <v>0</v>
      </c>
      <c r="M22" s="2">
        <v>62</v>
      </c>
      <c r="N22" s="60">
        <v>1</v>
      </c>
    </row>
    <row r="23" spans="1:14" x14ac:dyDescent="0.25">
      <c r="A23" s="27">
        <v>26</v>
      </c>
      <c r="B23" s="36" t="s">
        <v>30</v>
      </c>
      <c r="C23" s="6">
        <v>6</v>
      </c>
      <c r="D23" s="6">
        <v>0</v>
      </c>
      <c r="E23" s="4">
        <v>2</v>
      </c>
      <c r="F23" s="4">
        <v>0</v>
      </c>
      <c r="G23" s="6">
        <v>0</v>
      </c>
      <c r="H23" s="6">
        <v>0</v>
      </c>
      <c r="I23" s="4">
        <v>5</v>
      </c>
      <c r="J23" s="4">
        <v>0</v>
      </c>
      <c r="K23" s="6">
        <v>0</v>
      </c>
      <c r="L23" s="6">
        <v>0</v>
      </c>
      <c r="M23" s="2">
        <v>13</v>
      </c>
      <c r="N23" s="60">
        <v>0</v>
      </c>
    </row>
    <row r="24" spans="1:14" x14ac:dyDescent="0.25">
      <c r="A24" s="27">
        <v>27</v>
      </c>
      <c r="B24" s="36" t="s">
        <v>167</v>
      </c>
      <c r="C24" s="6">
        <v>3</v>
      </c>
      <c r="D24" s="6">
        <v>0</v>
      </c>
      <c r="E24" s="4">
        <v>0</v>
      </c>
      <c r="F24" s="4">
        <v>0</v>
      </c>
      <c r="G24" s="6">
        <v>0</v>
      </c>
      <c r="H24" s="6">
        <v>0</v>
      </c>
      <c r="I24" s="4">
        <v>0</v>
      </c>
      <c r="J24" s="4">
        <v>0</v>
      </c>
      <c r="K24" s="6">
        <v>0</v>
      </c>
      <c r="L24" s="6">
        <v>0</v>
      </c>
      <c r="M24" s="2">
        <v>3</v>
      </c>
      <c r="N24" s="60">
        <v>0</v>
      </c>
    </row>
    <row r="25" spans="1:14" x14ac:dyDescent="0.25">
      <c r="A25" s="28" t="s">
        <v>166</v>
      </c>
      <c r="B25" s="35" t="s">
        <v>32</v>
      </c>
      <c r="C25" s="6">
        <v>23</v>
      </c>
      <c r="D25" s="6">
        <v>3</v>
      </c>
      <c r="E25" s="4">
        <v>8</v>
      </c>
      <c r="F25" s="4">
        <v>0</v>
      </c>
      <c r="G25" s="6">
        <v>4</v>
      </c>
      <c r="H25" s="6">
        <v>1</v>
      </c>
      <c r="I25" s="4">
        <v>3</v>
      </c>
      <c r="J25" s="4">
        <v>0</v>
      </c>
      <c r="K25" s="6">
        <v>1</v>
      </c>
      <c r="L25" s="6">
        <v>0</v>
      </c>
      <c r="M25" s="2">
        <v>39</v>
      </c>
      <c r="N25" s="60">
        <v>4</v>
      </c>
    </row>
    <row r="26" spans="1:14" x14ac:dyDescent="0.25">
      <c r="A26" s="27">
        <v>28</v>
      </c>
      <c r="B26" s="35" t="s">
        <v>106</v>
      </c>
      <c r="C26" s="6">
        <v>12</v>
      </c>
      <c r="D26" s="6">
        <v>1</v>
      </c>
      <c r="E26" s="4">
        <v>3</v>
      </c>
      <c r="F26" s="4">
        <v>3</v>
      </c>
      <c r="G26" s="6">
        <v>4</v>
      </c>
      <c r="H26" s="6">
        <v>1</v>
      </c>
      <c r="I26" s="4">
        <v>3</v>
      </c>
      <c r="J26" s="4">
        <v>2</v>
      </c>
      <c r="K26" s="6">
        <v>0</v>
      </c>
      <c r="L26" s="6">
        <v>0</v>
      </c>
      <c r="M26" s="2">
        <v>22</v>
      </c>
      <c r="N26" s="60">
        <v>7</v>
      </c>
    </row>
    <row r="27" spans="1:14" x14ac:dyDescent="0.25">
      <c r="A27" s="28">
        <v>30</v>
      </c>
      <c r="B27" s="37" t="s">
        <v>43</v>
      </c>
      <c r="C27" s="6">
        <v>18</v>
      </c>
      <c r="D27" s="6">
        <v>0</v>
      </c>
      <c r="E27" s="4">
        <v>10</v>
      </c>
      <c r="F27" s="4">
        <v>0</v>
      </c>
      <c r="G27" s="6">
        <v>5</v>
      </c>
      <c r="H27" s="6">
        <v>0</v>
      </c>
      <c r="I27" s="4">
        <v>6</v>
      </c>
      <c r="J27" s="4">
        <v>0</v>
      </c>
      <c r="K27" s="6">
        <v>0</v>
      </c>
      <c r="L27" s="6">
        <v>0</v>
      </c>
      <c r="M27" s="2">
        <v>39</v>
      </c>
      <c r="N27" s="60">
        <v>0</v>
      </c>
    </row>
    <row r="28" spans="1:14" x14ac:dyDescent="0.25">
      <c r="A28" s="27">
        <v>31</v>
      </c>
      <c r="B28" s="35" t="s">
        <v>114</v>
      </c>
      <c r="C28" s="6">
        <v>26</v>
      </c>
      <c r="D28" s="6">
        <v>2</v>
      </c>
      <c r="E28" s="4">
        <v>5</v>
      </c>
      <c r="F28" s="4">
        <v>2</v>
      </c>
      <c r="G28" s="6">
        <v>0</v>
      </c>
      <c r="H28" s="6">
        <v>0</v>
      </c>
      <c r="I28" s="4">
        <v>2</v>
      </c>
      <c r="J28" s="4">
        <v>0</v>
      </c>
      <c r="K28" s="6">
        <v>1</v>
      </c>
      <c r="L28" s="6">
        <v>1</v>
      </c>
      <c r="M28" s="2">
        <v>34</v>
      </c>
      <c r="N28" s="60">
        <v>5</v>
      </c>
    </row>
    <row r="29" spans="1:14" x14ac:dyDescent="0.25">
      <c r="A29" s="28">
        <v>32</v>
      </c>
      <c r="B29" s="38" t="s">
        <v>35</v>
      </c>
      <c r="C29" s="6">
        <v>3</v>
      </c>
      <c r="D29" s="6">
        <v>0</v>
      </c>
      <c r="E29" s="4">
        <v>0</v>
      </c>
      <c r="F29" s="4">
        <v>0</v>
      </c>
      <c r="G29" s="6">
        <v>4</v>
      </c>
      <c r="H29" s="6">
        <v>0</v>
      </c>
      <c r="I29" s="4">
        <v>3</v>
      </c>
      <c r="J29" s="4">
        <v>0</v>
      </c>
      <c r="K29" s="6">
        <v>0</v>
      </c>
      <c r="L29" s="6">
        <v>0</v>
      </c>
      <c r="M29" s="2">
        <v>10</v>
      </c>
      <c r="N29" s="60">
        <v>0</v>
      </c>
    </row>
    <row r="30" spans="1:14" x14ac:dyDescent="0.25">
      <c r="A30" s="27">
        <v>34</v>
      </c>
      <c r="B30" s="35" t="s">
        <v>104</v>
      </c>
      <c r="C30" s="6">
        <v>70</v>
      </c>
      <c r="D30" s="6">
        <v>3</v>
      </c>
      <c r="E30" s="4">
        <v>11</v>
      </c>
      <c r="F30" s="4">
        <v>2</v>
      </c>
      <c r="G30" s="6">
        <v>5</v>
      </c>
      <c r="H30" s="6">
        <v>0</v>
      </c>
      <c r="I30" s="4">
        <v>4</v>
      </c>
      <c r="J30" s="4">
        <v>1</v>
      </c>
      <c r="K30" s="6">
        <v>1</v>
      </c>
      <c r="L30" s="6">
        <v>0</v>
      </c>
      <c r="M30" s="2">
        <v>91</v>
      </c>
      <c r="N30" s="60">
        <v>6</v>
      </c>
    </row>
    <row r="31" spans="1:14" x14ac:dyDescent="0.25">
      <c r="A31" s="28">
        <v>37</v>
      </c>
      <c r="B31" s="40" t="s">
        <v>85</v>
      </c>
      <c r="C31" s="6">
        <v>0</v>
      </c>
      <c r="D31" s="6">
        <v>0</v>
      </c>
      <c r="E31" s="4">
        <v>0</v>
      </c>
      <c r="F31" s="4">
        <v>0</v>
      </c>
      <c r="G31" s="6">
        <v>0</v>
      </c>
      <c r="H31" s="6">
        <v>0</v>
      </c>
      <c r="I31" s="4">
        <v>2</v>
      </c>
      <c r="J31" s="4">
        <v>0</v>
      </c>
      <c r="K31" s="6">
        <v>0</v>
      </c>
      <c r="L31" s="6">
        <v>0</v>
      </c>
      <c r="M31" s="2">
        <v>2</v>
      </c>
      <c r="N31" s="60">
        <v>0</v>
      </c>
    </row>
    <row r="32" spans="1:14" x14ac:dyDescent="0.25">
      <c r="A32" s="28">
        <v>40</v>
      </c>
      <c r="B32" s="40" t="s">
        <v>34</v>
      </c>
      <c r="C32" s="6">
        <v>0</v>
      </c>
      <c r="D32" s="6">
        <v>0</v>
      </c>
      <c r="E32" s="4">
        <v>1</v>
      </c>
      <c r="F32" s="4">
        <v>0</v>
      </c>
      <c r="G32" s="6">
        <v>0</v>
      </c>
      <c r="H32" s="6">
        <v>0</v>
      </c>
      <c r="I32" s="4">
        <v>3</v>
      </c>
      <c r="J32" s="4">
        <v>0</v>
      </c>
      <c r="K32" s="6">
        <v>0</v>
      </c>
      <c r="L32" s="6">
        <v>0</v>
      </c>
      <c r="M32" s="2">
        <v>4</v>
      </c>
      <c r="N32" s="60">
        <v>0</v>
      </c>
    </row>
    <row r="33" spans="1:14" x14ac:dyDescent="0.25">
      <c r="A33" s="28">
        <v>43</v>
      </c>
      <c r="B33" s="40" t="s">
        <v>118</v>
      </c>
      <c r="C33" s="6">
        <v>0</v>
      </c>
      <c r="D33" s="6">
        <v>0</v>
      </c>
      <c r="E33" s="4">
        <v>0</v>
      </c>
      <c r="F33" s="4">
        <v>0</v>
      </c>
      <c r="G33" s="6">
        <v>0</v>
      </c>
      <c r="H33" s="6">
        <v>0</v>
      </c>
      <c r="I33" s="4">
        <v>3</v>
      </c>
      <c r="J33" s="4">
        <v>0</v>
      </c>
      <c r="K33" s="6">
        <v>0</v>
      </c>
      <c r="L33" s="6">
        <v>0</v>
      </c>
      <c r="M33" s="2">
        <v>3</v>
      </c>
      <c r="N33" s="60">
        <v>0</v>
      </c>
    </row>
    <row r="34" spans="1:14" x14ac:dyDescent="0.25">
      <c r="A34" s="28">
        <v>54</v>
      </c>
      <c r="B34" s="40" t="s">
        <v>124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6">
        <v>0</v>
      </c>
      <c r="I34" s="4">
        <v>1</v>
      </c>
      <c r="J34" s="4">
        <v>0</v>
      </c>
      <c r="K34" s="6">
        <v>0</v>
      </c>
      <c r="L34" s="6">
        <v>0</v>
      </c>
      <c r="M34" s="2">
        <v>1</v>
      </c>
      <c r="N34" s="60">
        <v>0</v>
      </c>
    </row>
    <row r="35" spans="1:14" x14ac:dyDescent="0.25">
      <c r="A35" s="28">
        <v>61</v>
      </c>
      <c r="B35" s="40" t="s">
        <v>115</v>
      </c>
      <c r="C35" s="6">
        <v>0</v>
      </c>
      <c r="D35" s="6">
        <v>0</v>
      </c>
      <c r="E35" s="4">
        <v>8</v>
      </c>
      <c r="F35" s="4">
        <v>0</v>
      </c>
      <c r="G35" s="6">
        <v>0</v>
      </c>
      <c r="H35" s="6">
        <v>0</v>
      </c>
      <c r="I35" s="4">
        <v>3</v>
      </c>
      <c r="J35" s="4">
        <v>0</v>
      </c>
      <c r="K35" s="6">
        <v>1</v>
      </c>
      <c r="L35" s="6">
        <v>0</v>
      </c>
      <c r="M35" s="2">
        <v>12</v>
      </c>
      <c r="N35" s="60">
        <v>0</v>
      </c>
    </row>
    <row r="36" spans="1:14" x14ac:dyDescent="0.25">
      <c r="A36" s="28">
        <v>62</v>
      </c>
      <c r="B36" s="40" t="s">
        <v>123</v>
      </c>
      <c r="C36" s="6">
        <v>0</v>
      </c>
      <c r="D36" s="6">
        <v>0</v>
      </c>
      <c r="E36" s="4">
        <v>5</v>
      </c>
      <c r="F36" s="4">
        <v>0</v>
      </c>
      <c r="G36" s="6">
        <v>0</v>
      </c>
      <c r="H36" s="6">
        <v>0</v>
      </c>
      <c r="I36" s="4">
        <v>1</v>
      </c>
      <c r="J36" s="4">
        <v>2</v>
      </c>
      <c r="K36" s="6">
        <v>0</v>
      </c>
      <c r="L36" s="6">
        <v>0</v>
      </c>
      <c r="M36" s="2">
        <v>6</v>
      </c>
      <c r="N36" s="60">
        <v>2</v>
      </c>
    </row>
    <row r="37" spans="1:14" x14ac:dyDescent="0.25">
      <c r="A37" s="28">
        <v>65</v>
      </c>
      <c r="B37" s="40" t="s">
        <v>121</v>
      </c>
      <c r="C37" s="6">
        <v>0</v>
      </c>
      <c r="D37" s="6">
        <v>0</v>
      </c>
      <c r="E37" s="4">
        <v>1</v>
      </c>
      <c r="F37" s="4">
        <v>0</v>
      </c>
      <c r="G37" s="6">
        <v>0</v>
      </c>
      <c r="H37" s="6">
        <v>0</v>
      </c>
      <c r="I37" s="4">
        <v>1</v>
      </c>
      <c r="J37" s="4">
        <v>0</v>
      </c>
      <c r="K37" s="6">
        <v>0</v>
      </c>
      <c r="L37" s="6">
        <v>0</v>
      </c>
      <c r="M37" s="2">
        <v>2</v>
      </c>
      <c r="N37" s="60">
        <v>0</v>
      </c>
    </row>
    <row r="38" spans="1:14" x14ac:dyDescent="0.25">
      <c r="A38" s="28">
        <v>69</v>
      </c>
      <c r="B38" s="40" t="s">
        <v>117</v>
      </c>
      <c r="C38" s="6">
        <v>0</v>
      </c>
      <c r="D38" s="6">
        <v>0</v>
      </c>
      <c r="E38" s="4">
        <v>5</v>
      </c>
      <c r="F38" s="4">
        <v>0</v>
      </c>
      <c r="G38" s="6">
        <v>0</v>
      </c>
      <c r="H38" s="6">
        <v>0</v>
      </c>
      <c r="I38" s="4">
        <v>3</v>
      </c>
      <c r="J38" s="4">
        <v>0</v>
      </c>
      <c r="K38" s="6">
        <v>0</v>
      </c>
      <c r="L38" s="6">
        <v>0</v>
      </c>
      <c r="M38" s="2">
        <v>8</v>
      </c>
      <c r="N38" s="60">
        <v>0</v>
      </c>
    </row>
  </sheetData>
  <mergeCells count="6">
    <mergeCell ref="M1:N1"/>
    <mergeCell ref="C1:D1"/>
    <mergeCell ref="E1:F1"/>
    <mergeCell ref="G1:H1"/>
    <mergeCell ref="I1:J1"/>
    <mergeCell ref="K1:L1"/>
  </mergeCells>
  <conditionalFormatting sqref="M3:M38">
    <cfRule type="cellIs" dxfId="40" priority="3" operator="greaterThan">
      <formula>396</formula>
    </cfRule>
  </conditionalFormatting>
  <conditionalFormatting sqref="N3:N38">
    <cfRule type="cellIs" dxfId="39" priority="1" operator="greaterThan">
      <formula>92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DE717419-EEFF-4FCE-BB29-BA4ABD1A81B6}">
            <xm:f>'All-time records'!$C$22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M3:M38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3:BH40"/>
  <sheetViews>
    <sheetView zoomScale="70" zoomScaleNormal="70" zoomScalePageLayoutView="140" workbookViewId="0">
      <selection activeCell="AR52" sqref="AR52"/>
    </sheetView>
  </sheetViews>
  <sheetFormatPr defaultColWidth="8.85546875" defaultRowHeight="15" x14ac:dyDescent="0.25"/>
  <cols>
    <col min="1" max="1" width="5.7109375" bestFit="1" customWidth="1"/>
    <col min="2" max="2" width="25" bestFit="1" customWidth="1"/>
    <col min="3" max="5" width="5.7109375" customWidth="1"/>
    <col min="7" max="12" width="5.7109375" customWidth="1"/>
    <col min="14" max="14" width="25" bestFit="1" customWidth="1"/>
    <col min="15" max="17" width="5.7109375" customWidth="1"/>
    <col min="19" max="24" width="5.7109375" customWidth="1"/>
    <col min="26" max="26" width="25" bestFit="1" customWidth="1"/>
    <col min="27" max="29" width="5.7109375" customWidth="1"/>
    <col min="31" max="36" width="5.7109375" customWidth="1"/>
    <col min="38" max="38" width="26.85546875" bestFit="1" customWidth="1"/>
    <col min="39" max="41" width="5.7109375" customWidth="1"/>
    <col min="43" max="48" width="5.7109375" customWidth="1"/>
    <col min="50" max="50" width="25" bestFit="1" customWidth="1"/>
    <col min="51" max="53" width="5.7109375" customWidth="1"/>
    <col min="55" max="60" width="5.7109375" customWidth="1"/>
  </cols>
  <sheetData>
    <row r="3" spans="1:60" x14ac:dyDescent="0.25">
      <c r="B3" s="69" t="s">
        <v>90</v>
      </c>
      <c r="C3" s="69"/>
      <c r="D3" s="69"/>
      <c r="E3" s="69"/>
      <c r="F3" s="69"/>
      <c r="G3" s="69"/>
      <c r="H3" s="69"/>
      <c r="I3" s="69"/>
      <c r="J3" s="69"/>
      <c r="K3" s="69"/>
      <c r="L3" s="69"/>
      <c r="N3" s="68" t="s">
        <v>116</v>
      </c>
      <c r="O3" s="68"/>
      <c r="P3" s="68"/>
      <c r="Q3" s="68"/>
      <c r="R3" s="68"/>
      <c r="S3" s="68"/>
      <c r="T3" s="68"/>
      <c r="U3" s="68"/>
      <c r="V3" s="68"/>
      <c r="W3" s="68"/>
      <c r="X3" s="68"/>
      <c r="Z3" s="67" t="s">
        <v>91</v>
      </c>
      <c r="AA3" s="67"/>
      <c r="AB3" s="67"/>
      <c r="AC3" s="67"/>
      <c r="AD3" s="67"/>
      <c r="AE3" s="67"/>
      <c r="AF3" s="67"/>
      <c r="AG3" s="67"/>
      <c r="AH3" s="67"/>
      <c r="AI3" s="67"/>
      <c r="AJ3" s="67"/>
      <c r="AL3" s="191" t="s">
        <v>119</v>
      </c>
      <c r="AM3" s="191"/>
      <c r="AN3" s="191"/>
      <c r="AO3" s="191"/>
      <c r="AP3" s="191"/>
      <c r="AQ3" s="191"/>
      <c r="AR3" s="191"/>
      <c r="AS3" s="191"/>
      <c r="AT3" s="191"/>
      <c r="AU3" s="191"/>
      <c r="AV3" s="191"/>
    </row>
    <row r="4" spans="1:60" x14ac:dyDescent="0.25"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X4" s="66" t="s">
        <v>93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</row>
    <row r="5" spans="1:60" x14ac:dyDescent="0.25">
      <c r="A5" t="s">
        <v>101</v>
      </c>
      <c r="B5" s="46" t="s">
        <v>102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Z5" s="62" t="s">
        <v>102</v>
      </c>
      <c r="AA5" s="62"/>
      <c r="AB5" s="62"/>
      <c r="AC5" s="62"/>
      <c r="AD5" s="62"/>
      <c r="AE5" s="62"/>
      <c r="AF5" s="62"/>
      <c r="AG5" s="62"/>
      <c r="AH5" s="62"/>
      <c r="AI5" s="62"/>
      <c r="AJ5" s="62"/>
      <c r="AL5" s="63" t="s">
        <v>102</v>
      </c>
      <c r="AM5" s="63"/>
      <c r="AN5" s="63"/>
      <c r="AO5" s="63"/>
      <c r="AP5" s="63"/>
      <c r="AQ5" s="63"/>
      <c r="AR5" s="63"/>
      <c r="AS5" s="63"/>
      <c r="AT5" s="63"/>
      <c r="AU5" s="63"/>
      <c r="AV5" s="63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</row>
    <row r="6" spans="1:60" x14ac:dyDescent="0.25">
      <c r="A6" s="4">
        <v>1</v>
      </c>
      <c r="B6" s="21" t="s">
        <v>278</v>
      </c>
      <c r="C6" s="25">
        <v>107</v>
      </c>
      <c r="D6" s="25">
        <v>0</v>
      </c>
      <c r="E6" s="25">
        <v>0</v>
      </c>
      <c r="F6" s="25"/>
      <c r="G6" s="21">
        <f>'Apps &amp; Goals 26-27'!C4</f>
        <v>6</v>
      </c>
      <c r="H6" s="21">
        <f>'Apps &amp; Goals 26-27'!D4</f>
        <v>0</v>
      </c>
      <c r="I6" s="21">
        <f>'Apps &amp; Goals 26-27'!E4</f>
        <v>0</v>
      </c>
      <c r="J6" s="25">
        <f>G6+C6</f>
        <v>113</v>
      </c>
      <c r="K6" s="25">
        <f>H6+D6</f>
        <v>0</v>
      </c>
      <c r="L6" s="25">
        <f>I6+E6</f>
        <v>0</v>
      </c>
      <c r="M6">
        <v>1</v>
      </c>
      <c r="N6" s="20" t="s">
        <v>278</v>
      </c>
      <c r="O6" s="26">
        <v>36</v>
      </c>
      <c r="P6" s="26">
        <v>0</v>
      </c>
      <c r="Q6" s="26">
        <v>0</v>
      </c>
      <c r="R6" s="26"/>
      <c r="S6" s="20">
        <f>'Apps &amp; Goals 26-27'!F4</f>
        <v>1</v>
      </c>
      <c r="T6" s="20">
        <f>'Apps &amp; Goals 26-27'!G4</f>
        <v>0</v>
      </c>
      <c r="U6" s="20">
        <f>'Apps &amp; Goals 26-27'!H4</f>
        <v>0</v>
      </c>
      <c r="V6" s="26">
        <f>S6+O6</f>
        <v>37</v>
      </c>
      <c r="W6" s="26">
        <f>T6+P6</f>
        <v>0</v>
      </c>
      <c r="X6" s="26">
        <f>U6+Q6</f>
        <v>0</v>
      </c>
      <c r="Z6" s="23" t="s">
        <v>278</v>
      </c>
      <c r="AA6" s="24">
        <v>1</v>
      </c>
      <c r="AB6" s="24">
        <v>0</v>
      </c>
      <c r="AC6" s="24">
        <v>0</v>
      </c>
      <c r="AD6" s="24"/>
      <c r="AE6" s="57">
        <f>'Apps &amp; Goals 26-27'!I4</f>
        <v>0</v>
      </c>
      <c r="AF6" s="57">
        <f>'Apps &amp; Goals 26-27'!J4</f>
        <v>0</v>
      </c>
      <c r="AG6" s="57">
        <f>'Apps &amp; Goals 26-27'!K4</f>
        <v>0</v>
      </c>
      <c r="AH6" s="24">
        <f>AE6+AA6</f>
        <v>1</v>
      </c>
      <c r="AI6" s="24">
        <f>AF6+AB6</f>
        <v>0</v>
      </c>
      <c r="AJ6" s="24">
        <f>AG6+AC6</f>
        <v>0</v>
      </c>
      <c r="AL6" s="19" t="s">
        <v>278</v>
      </c>
      <c r="AM6" s="18">
        <v>3</v>
      </c>
      <c r="AN6" s="18">
        <v>0</v>
      </c>
      <c r="AO6" s="18">
        <v>0</v>
      </c>
      <c r="AP6" s="18"/>
      <c r="AQ6" s="63">
        <f>'Apps &amp; Goals 26-27'!L4</f>
        <v>0</v>
      </c>
      <c r="AR6" s="63">
        <f>'Apps &amp; Goals 26-27'!M4</f>
        <v>0</v>
      </c>
      <c r="AS6" s="63">
        <f>'Apps &amp; Goals 26-27'!N4</f>
        <v>0</v>
      </c>
      <c r="AT6" s="18">
        <f>AQ6+AM6</f>
        <v>3</v>
      </c>
      <c r="AU6" s="18">
        <f>AR6+AN6</f>
        <v>0</v>
      </c>
      <c r="AV6" s="18">
        <f>AS6+AO6</f>
        <v>0</v>
      </c>
      <c r="AX6" s="64" t="s">
        <v>278</v>
      </c>
      <c r="AY6" s="33">
        <v>0</v>
      </c>
      <c r="AZ6" s="33">
        <v>0</v>
      </c>
      <c r="BA6" s="33">
        <v>0</v>
      </c>
      <c r="BB6" s="33"/>
      <c r="BC6" s="64">
        <f>'Apps &amp; Goals 26-27'!O4</f>
        <v>1</v>
      </c>
      <c r="BD6" s="64">
        <f>'Apps &amp; Goals 26-27'!P4</f>
        <v>0</v>
      </c>
      <c r="BE6" s="64">
        <f>'Apps &amp; Goals 26-27'!Q4</f>
        <v>0</v>
      </c>
      <c r="BF6" s="33">
        <f>BC6+AY6</f>
        <v>1</v>
      </c>
      <c r="BG6" s="33">
        <f>BD6+AZ6</f>
        <v>0</v>
      </c>
      <c r="BH6" s="33">
        <f>BE6+BA6</f>
        <v>0</v>
      </c>
    </row>
    <row r="7" spans="1:60" x14ac:dyDescent="0.25">
      <c r="A7" s="4">
        <v>2</v>
      </c>
      <c r="B7" s="22" t="s">
        <v>196</v>
      </c>
      <c r="C7" s="25">
        <v>131</v>
      </c>
      <c r="D7" s="25">
        <v>7</v>
      </c>
      <c r="E7" s="25">
        <v>2</v>
      </c>
      <c r="F7" s="25"/>
      <c r="G7" s="21">
        <f>'Apps &amp; Goals 26-27'!C5</f>
        <v>0</v>
      </c>
      <c r="H7" s="21">
        <f>'Apps &amp; Goals 26-27'!D5</f>
        <v>0</v>
      </c>
      <c r="I7" s="21">
        <f>'Apps &amp; Goals 26-27'!E5</f>
        <v>0</v>
      </c>
      <c r="J7" s="25">
        <f t="shared" ref="J7:J40" si="0">G7+C7</f>
        <v>131</v>
      </c>
      <c r="K7" s="25">
        <f t="shared" ref="K7:K40" si="1">H7+D7</f>
        <v>7</v>
      </c>
      <c r="L7" s="25">
        <f t="shared" ref="L7:L40" si="2">I7+E7</f>
        <v>2</v>
      </c>
      <c r="M7">
        <v>2</v>
      </c>
      <c r="N7" s="45" t="s">
        <v>196</v>
      </c>
      <c r="O7" s="26">
        <v>37</v>
      </c>
      <c r="P7" s="26">
        <v>1</v>
      </c>
      <c r="Q7" s="26">
        <v>0</v>
      </c>
      <c r="R7" s="26"/>
      <c r="S7" s="20">
        <f>'Apps &amp; Goals 26-27'!F5</f>
        <v>0</v>
      </c>
      <c r="T7" s="20">
        <f>'Apps &amp; Goals 26-27'!G5</f>
        <v>0</v>
      </c>
      <c r="U7" s="20">
        <f>'Apps &amp; Goals 26-27'!H5</f>
        <v>0</v>
      </c>
      <c r="V7" s="26">
        <f t="shared" ref="V7:V40" si="3">S7+O7</f>
        <v>37</v>
      </c>
      <c r="W7" s="26">
        <f t="shared" ref="W7:W40" si="4">T7+P7</f>
        <v>1</v>
      </c>
      <c r="X7" s="26">
        <f t="shared" ref="X7:X40" si="5">U7+Q7</f>
        <v>0</v>
      </c>
      <c r="Z7" s="23" t="s">
        <v>196</v>
      </c>
      <c r="AA7" s="24">
        <v>5</v>
      </c>
      <c r="AB7" s="24">
        <v>0</v>
      </c>
      <c r="AC7" s="24">
        <v>0</v>
      </c>
      <c r="AD7" s="24"/>
      <c r="AE7" s="57">
        <f>'Apps &amp; Goals 26-27'!I5</f>
        <v>0</v>
      </c>
      <c r="AF7" s="57">
        <f>'Apps &amp; Goals 26-27'!J5</f>
        <v>0</v>
      </c>
      <c r="AG7" s="57">
        <f>'Apps &amp; Goals 26-27'!K5</f>
        <v>0</v>
      </c>
      <c r="AH7" s="24">
        <f t="shared" ref="AH7:AH40" si="6">AE7+AA7</f>
        <v>5</v>
      </c>
      <c r="AI7" s="24">
        <f t="shared" ref="AI7:AI40" si="7">AF7+AB7</f>
        <v>0</v>
      </c>
      <c r="AJ7" s="24">
        <f t="shared" ref="AJ7:AJ40" si="8">AG7+AC7</f>
        <v>0</v>
      </c>
      <c r="AL7" s="63" t="s">
        <v>196</v>
      </c>
      <c r="AM7" s="18">
        <v>10</v>
      </c>
      <c r="AN7" s="18">
        <v>0</v>
      </c>
      <c r="AO7" s="18">
        <v>1</v>
      </c>
      <c r="AP7" s="18"/>
      <c r="AQ7" s="63">
        <f>'Apps &amp; Goals 26-27'!L5</f>
        <v>0</v>
      </c>
      <c r="AR7" s="63">
        <f>'Apps &amp; Goals 26-27'!M5</f>
        <v>0</v>
      </c>
      <c r="AS7" s="63">
        <f>'Apps &amp; Goals 26-27'!N5</f>
        <v>0</v>
      </c>
      <c r="AT7" s="18">
        <f t="shared" ref="AT7:AT40" si="9">AQ7+AM7</f>
        <v>10</v>
      </c>
      <c r="AU7" s="18">
        <f t="shared" ref="AU7:AU40" si="10">AR7+AN7</f>
        <v>0</v>
      </c>
      <c r="AV7" s="18">
        <f t="shared" ref="AV7:AV40" si="11">AS7+AO7</f>
        <v>1</v>
      </c>
      <c r="AX7" s="32" t="s">
        <v>196</v>
      </c>
      <c r="AY7" s="33">
        <v>1</v>
      </c>
      <c r="AZ7" s="33">
        <v>0</v>
      </c>
      <c r="BA7" s="33">
        <v>0</v>
      </c>
      <c r="BB7" s="33"/>
      <c r="BC7" s="64">
        <f>'Apps &amp; Goals 26-27'!O5</f>
        <v>0</v>
      </c>
      <c r="BD7" s="64">
        <f>'Apps &amp; Goals 26-27'!P5</f>
        <v>0</v>
      </c>
      <c r="BE7" s="64">
        <f>'Apps &amp; Goals 26-27'!Q5</f>
        <v>0</v>
      </c>
      <c r="BF7" s="33">
        <f t="shared" ref="BF7:BF40" si="12">BC7+AY7</f>
        <v>1</v>
      </c>
      <c r="BG7" s="33">
        <f t="shared" ref="BG7:BG40" si="13">BD7+AZ7</f>
        <v>0</v>
      </c>
      <c r="BH7" s="33">
        <f t="shared" ref="BH7:BH40" si="14">BE7+BA7</f>
        <v>0</v>
      </c>
    </row>
    <row r="8" spans="1:60" x14ac:dyDescent="0.25">
      <c r="A8" s="4">
        <v>3</v>
      </c>
      <c r="B8" s="22" t="s">
        <v>316</v>
      </c>
      <c r="C8" s="25">
        <v>20</v>
      </c>
      <c r="D8" s="25">
        <v>0</v>
      </c>
      <c r="E8" s="25">
        <v>0</v>
      </c>
      <c r="F8" s="25"/>
      <c r="G8" s="21">
        <f>'Apps &amp; Goals 26-27'!C6</f>
        <v>2</v>
      </c>
      <c r="H8" s="21">
        <f>'Apps &amp; Goals 26-27'!D6</f>
        <v>0</v>
      </c>
      <c r="I8" s="21">
        <f>'Apps &amp; Goals 26-27'!E6</f>
        <v>0</v>
      </c>
      <c r="J8" s="25">
        <f t="shared" si="0"/>
        <v>22</v>
      </c>
      <c r="K8" s="25">
        <f t="shared" si="1"/>
        <v>0</v>
      </c>
      <c r="L8" s="25">
        <f t="shared" si="2"/>
        <v>0</v>
      </c>
      <c r="M8">
        <v>3</v>
      </c>
      <c r="N8" s="45" t="s">
        <v>316</v>
      </c>
      <c r="O8" s="26">
        <v>10</v>
      </c>
      <c r="P8" s="26">
        <v>0</v>
      </c>
      <c r="Q8" s="26">
        <v>0</v>
      </c>
      <c r="R8" s="26"/>
      <c r="S8" s="20">
        <f>'Apps &amp; Goals 26-27'!F6</f>
        <v>0</v>
      </c>
      <c r="T8" s="20">
        <f>'Apps &amp; Goals 26-27'!G6</f>
        <v>0</v>
      </c>
      <c r="U8" s="20">
        <f>'Apps &amp; Goals 26-27'!H6</f>
        <v>0</v>
      </c>
      <c r="V8" s="26">
        <f t="shared" si="3"/>
        <v>10</v>
      </c>
      <c r="W8" s="26">
        <f t="shared" si="4"/>
        <v>0</v>
      </c>
      <c r="X8" s="26">
        <f t="shared" si="5"/>
        <v>0</v>
      </c>
      <c r="Z8" s="23" t="s">
        <v>316</v>
      </c>
      <c r="AA8" s="24">
        <v>3</v>
      </c>
      <c r="AB8" s="24">
        <v>0</v>
      </c>
      <c r="AC8" s="24">
        <v>0</v>
      </c>
      <c r="AD8" s="24"/>
      <c r="AE8" s="57">
        <f>'Apps &amp; Goals 26-27'!I6</f>
        <v>0</v>
      </c>
      <c r="AF8" s="57">
        <f>'Apps &amp; Goals 26-27'!J6</f>
        <v>0</v>
      </c>
      <c r="AG8" s="57">
        <f>'Apps &amp; Goals 26-27'!K6</f>
        <v>0</v>
      </c>
      <c r="AH8" s="24">
        <f t="shared" si="6"/>
        <v>3</v>
      </c>
      <c r="AI8" s="24">
        <f t="shared" si="7"/>
        <v>0</v>
      </c>
      <c r="AJ8" s="24">
        <f t="shared" si="8"/>
        <v>0</v>
      </c>
      <c r="AL8" s="63" t="s">
        <v>316</v>
      </c>
      <c r="AM8" s="18">
        <v>2</v>
      </c>
      <c r="AN8" s="18">
        <v>0</v>
      </c>
      <c r="AO8" s="18">
        <v>0</v>
      </c>
      <c r="AP8" s="18"/>
      <c r="AQ8" s="63">
        <f>'Apps &amp; Goals 26-27'!L6</f>
        <v>0</v>
      </c>
      <c r="AR8" s="63">
        <f>'Apps &amp; Goals 26-27'!M6</f>
        <v>0</v>
      </c>
      <c r="AS8" s="63">
        <f>'Apps &amp; Goals 26-27'!N6</f>
        <v>0</v>
      </c>
      <c r="AT8" s="18">
        <f t="shared" si="9"/>
        <v>2</v>
      </c>
      <c r="AU8" s="18">
        <f t="shared" si="10"/>
        <v>0</v>
      </c>
      <c r="AV8" s="18">
        <f t="shared" si="11"/>
        <v>0</v>
      </c>
      <c r="AX8" s="32" t="s">
        <v>316</v>
      </c>
      <c r="AY8" s="33">
        <v>0</v>
      </c>
      <c r="AZ8" s="33">
        <v>0</v>
      </c>
      <c r="BA8" s="33">
        <v>0</v>
      </c>
      <c r="BB8" s="33"/>
      <c r="BC8" s="64">
        <f>'Apps &amp; Goals 26-27'!O6</f>
        <v>1</v>
      </c>
      <c r="BD8" s="64">
        <f>'Apps &amp; Goals 26-27'!P6</f>
        <v>0</v>
      </c>
      <c r="BE8" s="64">
        <f>'Apps &amp; Goals 26-27'!Q6</f>
        <v>0</v>
      </c>
      <c r="BF8" s="33">
        <f t="shared" si="12"/>
        <v>1</v>
      </c>
      <c r="BG8" s="33">
        <f t="shared" si="13"/>
        <v>0</v>
      </c>
      <c r="BH8" s="33">
        <f t="shared" si="14"/>
        <v>0</v>
      </c>
    </row>
    <row r="9" spans="1:60" x14ac:dyDescent="0.25">
      <c r="A9" s="4">
        <v>4</v>
      </c>
      <c r="B9" s="21" t="s">
        <v>220</v>
      </c>
      <c r="C9" s="25">
        <v>136</v>
      </c>
      <c r="D9" s="25">
        <v>6</v>
      </c>
      <c r="E9" s="25">
        <v>12</v>
      </c>
      <c r="F9" s="25"/>
      <c r="G9" s="21">
        <f>'Apps &amp; Goals 26-27'!C7</f>
        <v>5</v>
      </c>
      <c r="H9" s="21">
        <f>'Apps &amp; Goals 26-27'!D7</f>
        <v>0</v>
      </c>
      <c r="I9" s="21">
        <f>'Apps &amp; Goals 26-27'!E7</f>
        <v>2</v>
      </c>
      <c r="J9" s="25">
        <f t="shared" si="0"/>
        <v>141</v>
      </c>
      <c r="K9" s="25">
        <f t="shared" si="1"/>
        <v>6</v>
      </c>
      <c r="L9" s="25">
        <f t="shared" si="2"/>
        <v>14</v>
      </c>
      <c r="M9">
        <v>4</v>
      </c>
      <c r="N9" s="20" t="s">
        <v>220</v>
      </c>
      <c r="O9" s="26">
        <v>37</v>
      </c>
      <c r="P9" s="26">
        <v>0</v>
      </c>
      <c r="Q9" s="26">
        <v>2</v>
      </c>
      <c r="R9" s="26"/>
      <c r="S9" s="20">
        <f>'Apps &amp; Goals 26-27'!F7</f>
        <v>1</v>
      </c>
      <c r="T9" s="20">
        <f>'Apps &amp; Goals 26-27'!G7</f>
        <v>0</v>
      </c>
      <c r="U9" s="20">
        <f>'Apps &amp; Goals 26-27'!H7</f>
        <v>0</v>
      </c>
      <c r="V9" s="26">
        <f t="shared" si="3"/>
        <v>38</v>
      </c>
      <c r="W9" s="26">
        <f t="shared" si="4"/>
        <v>0</v>
      </c>
      <c r="X9" s="26">
        <f t="shared" si="5"/>
        <v>2</v>
      </c>
      <c r="Z9" s="57" t="s">
        <v>220</v>
      </c>
      <c r="AA9" s="24">
        <v>6</v>
      </c>
      <c r="AB9" s="24">
        <v>0</v>
      </c>
      <c r="AC9" s="24">
        <v>0</v>
      </c>
      <c r="AD9" s="24"/>
      <c r="AE9" s="57">
        <f>'Apps &amp; Goals 26-27'!I7</f>
        <v>0</v>
      </c>
      <c r="AF9" s="57">
        <f>'Apps &amp; Goals 26-27'!J7</f>
        <v>0</v>
      </c>
      <c r="AG9" s="57">
        <f>'Apps &amp; Goals 26-27'!K7</f>
        <v>0</v>
      </c>
      <c r="AH9" s="24">
        <f t="shared" si="6"/>
        <v>6</v>
      </c>
      <c r="AI9" s="24">
        <f t="shared" si="7"/>
        <v>0</v>
      </c>
      <c r="AJ9" s="24">
        <f t="shared" si="8"/>
        <v>0</v>
      </c>
      <c r="AL9" s="63" t="s">
        <v>220</v>
      </c>
      <c r="AM9" s="18">
        <v>10</v>
      </c>
      <c r="AN9" s="18">
        <v>1</v>
      </c>
      <c r="AO9" s="18">
        <v>0</v>
      </c>
      <c r="AP9" s="18"/>
      <c r="AQ9" s="63">
        <f>'Apps &amp; Goals 26-27'!L7</f>
        <v>0</v>
      </c>
      <c r="AR9" s="63">
        <f>'Apps &amp; Goals 26-27'!M7</f>
        <v>0</v>
      </c>
      <c r="AS9" s="63">
        <f>'Apps &amp; Goals 26-27'!N7</f>
        <v>0</v>
      </c>
      <c r="AT9" s="18">
        <f t="shared" si="9"/>
        <v>10</v>
      </c>
      <c r="AU9" s="18">
        <f t="shared" si="10"/>
        <v>1</v>
      </c>
      <c r="AV9" s="18">
        <f t="shared" si="11"/>
        <v>0</v>
      </c>
      <c r="AX9" s="64" t="s">
        <v>220</v>
      </c>
      <c r="AY9" s="33">
        <v>1</v>
      </c>
      <c r="AZ9" s="33">
        <v>0</v>
      </c>
      <c r="BA9" s="33">
        <v>0</v>
      </c>
      <c r="BB9" s="33"/>
      <c r="BC9" s="64">
        <f>'Apps &amp; Goals 26-27'!O7</f>
        <v>1</v>
      </c>
      <c r="BD9" s="64">
        <f>'Apps &amp; Goals 26-27'!P7</f>
        <v>0</v>
      </c>
      <c r="BE9" s="64">
        <f>'Apps &amp; Goals 26-27'!Q7</f>
        <v>0</v>
      </c>
      <c r="BF9" s="33">
        <f t="shared" si="12"/>
        <v>2</v>
      </c>
      <c r="BG9" s="33">
        <f t="shared" si="13"/>
        <v>0</v>
      </c>
      <c r="BH9" s="33">
        <f t="shared" si="14"/>
        <v>0</v>
      </c>
    </row>
    <row r="10" spans="1:60" x14ac:dyDescent="0.25">
      <c r="A10" s="4">
        <v>5</v>
      </c>
      <c r="B10" s="21" t="s">
        <v>318</v>
      </c>
      <c r="C10" s="25">
        <v>25</v>
      </c>
      <c r="D10" s="25">
        <v>1</v>
      </c>
      <c r="E10" s="25">
        <v>2</v>
      </c>
      <c r="F10" s="25"/>
      <c r="G10" s="21">
        <f>'Apps &amp; Goals 26-27'!C8</f>
        <v>3</v>
      </c>
      <c r="H10" s="21">
        <f>'Apps &amp; Goals 26-27'!D8</f>
        <v>0</v>
      </c>
      <c r="I10" s="21">
        <f>'Apps &amp; Goals 26-27'!E8</f>
        <v>0</v>
      </c>
      <c r="J10" s="25">
        <f t="shared" si="0"/>
        <v>28</v>
      </c>
      <c r="K10" s="25">
        <f t="shared" si="1"/>
        <v>1</v>
      </c>
      <c r="L10" s="25">
        <f t="shared" si="2"/>
        <v>2</v>
      </c>
      <c r="M10">
        <v>5</v>
      </c>
      <c r="N10" s="20" t="s">
        <v>318</v>
      </c>
      <c r="O10" s="26">
        <v>10</v>
      </c>
      <c r="P10" s="26">
        <v>0</v>
      </c>
      <c r="Q10" s="26">
        <v>0</v>
      </c>
      <c r="R10" s="26"/>
      <c r="S10" s="20">
        <f>'Apps &amp; Goals 26-27'!F8</f>
        <v>1</v>
      </c>
      <c r="T10" s="20">
        <f>'Apps &amp; Goals 26-27'!G8</f>
        <v>0</v>
      </c>
      <c r="U10" s="20">
        <f>'Apps &amp; Goals 26-27'!H8</f>
        <v>0</v>
      </c>
      <c r="V10" s="26">
        <f t="shared" si="3"/>
        <v>11</v>
      </c>
      <c r="W10" s="26">
        <f t="shared" si="4"/>
        <v>0</v>
      </c>
      <c r="X10" s="26">
        <f t="shared" si="5"/>
        <v>0</v>
      </c>
      <c r="Z10" s="57" t="s">
        <v>318</v>
      </c>
      <c r="AA10" s="24">
        <v>1</v>
      </c>
      <c r="AB10" s="24">
        <v>0</v>
      </c>
      <c r="AC10" s="24">
        <v>0</v>
      </c>
      <c r="AD10" s="24"/>
      <c r="AE10" s="57">
        <f>'Apps &amp; Goals 26-27'!I8</f>
        <v>0</v>
      </c>
      <c r="AF10" s="57">
        <f>'Apps &amp; Goals 26-27'!J8</f>
        <v>0</v>
      </c>
      <c r="AG10" s="57">
        <f>'Apps &amp; Goals 26-27'!K8</f>
        <v>0</v>
      </c>
      <c r="AH10" s="24">
        <f t="shared" si="6"/>
        <v>1</v>
      </c>
      <c r="AI10" s="24">
        <f t="shared" si="7"/>
        <v>0</v>
      </c>
      <c r="AJ10" s="24">
        <f t="shared" si="8"/>
        <v>0</v>
      </c>
      <c r="AL10" s="63" t="s">
        <v>318</v>
      </c>
      <c r="AM10" s="18">
        <v>3</v>
      </c>
      <c r="AN10" s="18">
        <v>0</v>
      </c>
      <c r="AO10" s="18">
        <v>0</v>
      </c>
      <c r="AP10" s="18"/>
      <c r="AQ10" s="63">
        <f>'Apps &amp; Goals 26-27'!L8</f>
        <v>0</v>
      </c>
      <c r="AR10" s="63">
        <f>'Apps &amp; Goals 26-27'!M8</f>
        <v>0</v>
      </c>
      <c r="AS10" s="63">
        <f>'Apps &amp; Goals 26-27'!N8</f>
        <v>0</v>
      </c>
      <c r="AT10" s="18">
        <f t="shared" si="9"/>
        <v>3</v>
      </c>
      <c r="AU10" s="18">
        <f t="shared" si="10"/>
        <v>0</v>
      </c>
      <c r="AV10" s="18">
        <f t="shared" si="11"/>
        <v>0</v>
      </c>
      <c r="AX10" s="64" t="s">
        <v>318</v>
      </c>
      <c r="AY10" s="33">
        <v>0</v>
      </c>
      <c r="AZ10" s="33">
        <v>0</v>
      </c>
      <c r="BA10" s="33">
        <v>0</v>
      </c>
      <c r="BB10" s="33"/>
      <c r="BC10" s="64">
        <f>'Apps &amp; Goals 26-27'!O8</f>
        <v>1</v>
      </c>
      <c r="BD10" s="64">
        <f>'Apps &amp; Goals 26-27'!P8</f>
        <v>0</v>
      </c>
      <c r="BE10" s="64">
        <f>'Apps &amp; Goals 26-27'!Q8</f>
        <v>0</v>
      </c>
      <c r="BF10" s="33">
        <f t="shared" si="12"/>
        <v>1</v>
      </c>
      <c r="BG10" s="33">
        <f t="shared" si="13"/>
        <v>0</v>
      </c>
      <c r="BH10" s="33">
        <f t="shared" si="14"/>
        <v>0</v>
      </c>
    </row>
    <row r="11" spans="1:60" x14ac:dyDescent="0.25">
      <c r="A11" s="4">
        <v>6</v>
      </c>
      <c r="B11" s="21" t="s">
        <v>198</v>
      </c>
      <c r="C11" s="25">
        <v>192</v>
      </c>
      <c r="D11" s="25">
        <v>20</v>
      </c>
      <c r="E11" s="25">
        <v>5</v>
      </c>
      <c r="F11" s="25"/>
      <c r="G11" s="21">
        <f>'Apps &amp; Goals 26-27'!C9</f>
        <v>6</v>
      </c>
      <c r="H11" s="21">
        <f>'Apps &amp; Goals 26-27'!D9</f>
        <v>0</v>
      </c>
      <c r="I11" s="21">
        <f>'Apps &amp; Goals 26-27'!E9</f>
        <v>0</v>
      </c>
      <c r="J11" s="25">
        <f t="shared" si="0"/>
        <v>198</v>
      </c>
      <c r="K11" s="25">
        <f t="shared" si="1"/>
        <v>20</v>
      </c>
      <c r="L11" s="25">
        <f t="shared" si="2"/>
        <v>5</v>
      </c>
      <c r="M11">
        <v>6</v>
      </c>
      <c r="N11" s="20" t="s">
        <v>198</v>
      </c>
      <c r="O11" s="26">
        <v>44</v>
      </c>
      <c r="P11" s="26">
        <v>3</v>
      </c>
      <c r="Q11" s="26">
        <v>1</v>
      </c>
      <c r="R11" s="26"/>
      <c r="S11" s="20">
        <f>'Apps &amp; Goals 26-27'!F9</f>
        <v>1</v>
      </c>
      <c r="T11" s="20">
        <f>'Apps &amp; Goals 26-27'!G9</f>
        <v>0</v>
      </c>
      <c r="U11" s="20">
        <f>'Apps &amp; Goals 26-27'!H9</f>
        <v>0</v>
      </c>
      <c r="V11" s="26">
        <f t="shared" si="3"/>
        <v>45</v>
      </c>
      <c r="W11" s="26">
        <f t="shared" si="4"/>
        <v>3</v>
      </c>
      <c r="X11" s="26">
        <f t="shared" si="5"/>
        <v>1</v>
      </c>
      <c r="Z11" s="57" t="s">
        <v>198</v>
      </c>
      <c r="AA11" s="24">
        <v>7</v>
      </c>
      <c r="AB11" s="24">
        <v>1</v>
      </c>
      <c r="AC11" s="24">
        <v>0</v>
      </c>
      <c r="AD11" s="24"/>
      <c r="AE11" s="57">
        <f>'Apps &amp; Goals 26-27'!I9</f>
        <v>0</v>
      </c>
      <c r="AF11" s="57">
        <f>'Apps &amp; Goals 26-27'!J9</f>
        <v>0</v>
      </c>
      <c r="AG11" s="57">
        <f>'Apps &amp; Goals 26-27'!K9</f>
        <v>0</v>
      </c>
      <c r="AH11" s="24">
        <f t="shared" si="6"/>
        <v>7</v>
      </c>
      <c r="AI11" s="24">
        <f t="shared" si="7"/>
        <v>1</v>
      </c>
      <c r="AJ11" s="24">
        <f t="shared" si="8"/>
        <v>0</v>
      </c>
      <c r="AL11" s="63" t="s">
        <v>198</v>
      </c>
      <c r="AM11" s="18">
        <v>17</v>
      </c>
      <c r="AN11" s="18">
        <v>0</v>
      </c>
      <c r="AO11" s="18">
        <v>0</v>
      </c>
      <c r="AP11" s="18"/>
      <c r="AQ11" s="63">
        <f>'Apps &amp; Goals 26-27'!L9</f>
        <v>1</v>
      </c>
      <c r="AR11" s="63">
        <f>'Apps &amp; Goals 26-27'!M9</f>
        <v>0</v>
      </c>
      <c r="AS11" s="63">
        <f>'Apps &amp; Goals 26-27'!N9</f>
        <v>0</v>
      </c>
      <c r="AT11" s="18">
        <f t="shared" si="9"/>
        <v>18</v>
      </c>
      <c r="AU11" s="18">
        <f t="shared" si="10"/>
        <v>0</v>
      </c>
      <c r="AV11" s="18">
        <f t="shared" si="11"/>
        <v>0</v>
      </c>
      <c r="AX11" s="64" t="s">
        <v>198</v>
      </c>
      <c r="AY11" s="33">
        <v>1</v>
      </c>
      <c r="AZ11" s="33">
        <v>0</v>
      </c>
      <c r="BA11" s="33">
        <v>0</v>
      </c>
      <c r="BB11" s="33"/>
      <c r="BC11" s="64">
        <f>'Apps &amp; Goals 26-27'!O9</f>
        <v>1</v>
      </c>
      <c r="BD11" s="64">
        <f>'Apps &amp; Goals 26-27'!P9</f>
        <v>0</v>
      </c>
      <c r="BE11" s="64">
        <f>'Apps &amp; Goals 26-27'!Q9</f>
        <v>0</v>
      </c>
      <c r="BF11" s="33">
        <f t="shared" si="12"/>
        <v>2</v>
      </c>
      <c r="BG11" s="33">
        <f t="shared" si="13"/>
        <v>0</v>
      </c>
      <c r="BH11" s="33">
        <f t="shared" si="14"/>
        <v>0</v>
      </c>
    </row>
    <row r="12" spans="1:60" x14ac:dyDescent="0.25">
      <c r="A12" s="4">
        <v>7</v>
      </c>
      <c r="B12" s="22" t="s">
        <v>180</v>
      </c>
      <c r="C12" s="25">
        <v>226</v>
      </c>
      <c r="D12" s="25">
        <v>60</v>
      </c>
      <c r="E12" s="25">
        <v>50</v>
      </c>
      <c r="F12" s="25"/>
      <c r="G12" s="21">
        <f>'Apps &amp; Goals 26-27'!C10</f>
        <v>6</v>
      </c>
      <c r="H12" s="21">
        <f>'Apps &amp; Goals 26-27'!D10</f>
        <v>3</v>
      </c>
      <c r="I12" s="21">
        <f>'Apps &amp; Goals 26-27'!E10</f>
        <v>0</v>
      </c>
      <c r="J12" s="25">
        <f t="shared" si="0"/>
        <v>232</v>
      </c>
      <c r="K12" s="25">
        <f t="shared" si="1"/>
        <v>63</v>
      </c>
      <c r="L12" s="25">
        <f t="shared" si="2"/>
        <v>50</v>
      </c>
      <c r="M12">
        <v>7</v>
      </c>
      <c r="N12" s="20" t="s">
        <v>180</v>
      </c>
      <c r="O12" s="26">
        <v>54</v>
      </c>
      <c r="P12" s="26">
        <v>18</v>
      </c>
      <c r="Q12" s="26">
        <v>15</v>
      </c>
      <c r="R12" s="26"/>
      <c r="S12" s="20">
        <f>'Apps &amp; Goals 26-27'!F10</f>
        <v>1</v>
      </c>
      <c r="T12" s="20">
        <f>'Apps &amp; Goals 26-27'!G10</f>
        <v>0</v>
      </c>
      <c r="U12" s="20">
        <f>'Apps &amp; Goals 26-27'!H10</f>
        <v>0</v>
      </c>
      <c r="V12" s="26">
        <f t="shared" si="3"/>
        <v>55</v>
      </c>
      <c r="W12" s="26">
        <f t="shared" si="4"/>
        <v>18</v>
      </c>
      <c r="X12" s="26">
        <f t="shared" si="5"/>
        <v>15</v>
      </c>
      <c r="Z12" s="57" t="s">
        <v>180</v>
      </c>
      <c r="AA12" s="24">
        <v>13</v>
      </c>
      <c r="AB12" s="24">
        <v>1</v>
      </c>
      <c r="AC12" s="24">
        <v>1</v>
      </c>
      <c r="AD12" s="24"/>
      <c r="AE12" s="57">
        <f>'Apps &amp; Goals 26-27'!I10</f>
        <v>0</v>
      </c>
      <c r="AF12" s="57">
        <f>'Apps &amp; Goals 26-27'!J10</f>
        <v>0</v>
      </c>
      <c r="AG12" s="57">
        <f>'Apps &amp; Goals 26-27'!K10</f>
        <v>0</v>
      </c>
      <c r="AH12" s="24">
        <f t="shared" si="6"/>
        <v>13</v>
      </c>
      <c r="AI12" s="24">
        <f t="shared" si="7"/>
        <v>1</v>
      </c>
      <c r="AJ12" s="24">
        <f t="shared" si="8"/>
        <v>1</v>
      </c>
      <c r="AL12" s="63" t="s">
        <v>180</v>
      </c>
      <c r="AM12" s="18">
        <v>17</v>
      </c>
      <c r="AN12" s="18">
        <v>2</v>
      </c>
      <c r="AO12" s="18">
        <v>2</v>
      </c>
      <c r="AP12" s="18"/>
      <c r="AQ12" s="63">
        <f>'Apps &amp; Goals 26-27'!L10</f>
        <v>0</v>
      </c>
      <c r="AR12" s="63">
        <f>'Apps &amp; Goals 26-27'!M10</f>
        <v>0</v>
      </c>
      <c r="AS12" s="63">
        <f>'Apps &amp; Goals 26-27'!N10</f>
        <v>0</v>
      </c>
      <c r="AT12" s="18">
        <f t="shared" si="9"/>
        <v>17</v>
      </c>
      <c r="AU12" s="18">
        <f t="shared" si="10"/>
        <v>2</v>
      </c>
      <c r="AV12" s="18">
        <f t="shared" si="11"/>
        <v>2</v>
      </c>
      <c r="AX12" s="32" t="s">
        <v>180</v>
      </c>
      <c r="AY12" s="33">
        <v>2</v>
      </c>
      <c r="AZ12" s="33">
        <v>0</v>
      </c>
      <c r="BA12" s="33">
        <v>2</v>
      </c>
      <c r="BB12" s="32"/>
      <c r="BC12" s="64">
        <f>'Apps &amp; Goals 26-27'!O10</f>
        <v>1</v>
      </c>
      <c r="BD12" s="64">
        <f>'Apps &amp; Goals 26-27'!P10</f>
        <v>0</v>
      </c>
      <c r="BE12" s="64">
        <f>'Apps &amp; Goals 26-27'!Q10</f>
        <v>0</v>
      </c>
      <c r="BF12" s="33">
        <f t="shared" si="12"/>
        <v>3</v>
      </c>
      <c r="BG12" s="33">
        <f t="shared" si="13"/>
        <v>0</v>
      </c>
      <c r="BH12" s="33">
        <f t="shared" si="14"/>
        <v>2</v>
      </c>
    </row>
    <row r="13" spans="1:60" x14ac:dyDescent="0.25">
      <c r="A13" s="4">
        <v>8</v>
      </c>
      <c r="B13" s="21" t="s">
        <v>218</v>
      </c>
      <c r="C13" s="25">
        <v>176</v>
      </c>
      <c r="D13" s="25">
        <v>35</v>
      </c>
      <c r="E13" s="25">
        <v>37</v>
      </c>
      <c r="F13" s="25"/>
      <c r="G13" s="21">
        <f>'Apps &amp; Goals 26-27'!C11</f>
        <v>6</v>
      </c>
      <c r="H13" s="21">
        <f>'Apps &amp; Goals 26-27'!D11</f>
        <v>2</v>
      </c>
      <c r="I13" s="21">
        <f>'Apps &amp; Goals 26-27'!E11</f>
        <v>0</v>
      </c>
      <c r="J13" s="25">
        <f t="shared" si="0"/>
        <v>182</v>
      </c>
      <c r="K13" s="25">
        <f t="shared" si="1"/>
        <v>37</v>
      </c>
      <c r="L13" s="25">
        <f t="shared" si="2"/>
        <v>37</v>
      </c>
      <c r="M13">
        <v>8</v>
      </c>
      <c r="N13" s="20" t="s">
        <v>218</v>
      </c>
      <c r="O13" s="26">
        <v>41</v>
      </c>
      <c r="P13" s="26">
        <v>6</v>
      </c>
      <c r="Q13" s="26">
        <v>3</v>
      </c>
      <c r="R13" s="26"/>
      <c r="S13" s="20">
        <f>'Apps &amp; Goals 26-27'!F11</f>
        <v>1</v>
      </c>
      <c r="T13" s="20">
        <f>'Apps &amp; Goals 26-27'!G11</f>
        <v>1</v>
      </c>
      <c r="U13" s="20">
        <f>'Apps &amp; Goals 26-27'!H11</f>
        <v>0</v>
      </c>
      <c r="V13" s="26">
        <f t="shared" si="3"/>
        <v>42</v>
      </c>
      <c r="W13" s="26">
        <f t="shared" si="4"/>
        <v>7</v>
      </c>
      <c r="X13" s="26">
        <f t="shared" si="5"/>
        <v>3</v>
      </c>
      <c r="Z13" s="23" t="s">
        <v>218</v>
      </c>
      <c r="AA13" s="24">
        <v>6</v>
      </c>
      <c r="AB13" s="24">
        <v>0</v>
      </c>
      <c r="AC13" s="24">
        <v>0</v>
      </c>
      <c r="AD13" s="24"/>
      <c r="AE13" s="57">
        <f>'Apps &amp; Goals 26-27'!I11</f>
        <v>0</v>
      </c>
      <c r="AF13" s="57">
        <f>'Apps &amp; Goals 26-27'!J11</f>
        <v>0</v>
      </c>
      <c r="AG13" s="57">
        <f>'Apps &amp; Goals 26-27'!K11</f>
        <v>0</v>
      </c>
      <c r="AH13" s="24">
        <f t="shared" si="6"/>
        <v>6</v>
      </c>
      <c r="AI13" s="24">
        <f t="shared" si="7"/>
        <v>0</v>
      </c>
      <c r="AJ13" s="24">
        <f t="shared" si="8"/>
        <v>0</v>
      </c>
      <c r="AL13" s="19" t="s">
        <v>218</v>
      </c>
      <c r="AM13" s="18">
        <v>10</v>
      </c>
      <c r="AN13" s="18">
        <v>1</v>
      </c>
      <c r="AO13" s="18">
        <v>3</v>
      </c>
      <c r="AP13" s="18"/>
      <c r="AQ13" s="63">
        <f>'Apps &amp; Goals 26-27'!L11</f>
        <v>1</v>
      </c>
      <c r="AR13" s="63">
        <f>'Apps &amp; Goals 26-27'!M11</f>
        <v>0</v>
      </c>
      <c r="AS13" s="63">
        <f>'Apps &amp; Goals 26-27'!N11</f>
        <v>0</v>
      </c>
      <c r="AT13" s="18">
        <f t="shared" si="9"/>
        <v>11</v>
      </c>
      <c r="AU13" s="18">
        <f t="shared" si="10"/>
        <v>1</v>
      </c>
      <c r="AV13" s="18">
        <f t="shared" si="11"/>
        <v>3</v>
      </c>
      <c r="AX13" s="32" t="s">
        <v>218</v>
      </c>
      <c r="AY13" s="33">
        <v>1</v>
      </c>
      <c r="AZ13" s="33">
        <v>0</v>
      </c>
      <c r="BA13" s="33">
        <v>0</v>
      </c>
      <c r="BB13" s="33"/>
      <c r="BC13" s="64">
        <f>'Apps &amp; Goals 26-27'!O11</f>
        <v>1</v>
      </c>
      <c r="BD13" s="64">
        <f>'Apps &amp; Goals 26-27'!P11</f>
        <v>1</v>
      </c>
      <c r="BE13" s="64">
        <f>'Apps &amp; Goals 26-27'!Q11</f>
        <v>0</v>
      </c>
      <c r="BF13" s="33">
        <f t="shared" si="12"/>
        <v>2</v>
      </c>
      <c r="BG13" s="33">
        <f t="shared" si="13"/>
        <v>1</v>
      </c>
      <c r="BH13" s="33">
        <f t="shared" si="14"/>
        <v>0</v>
      </c>
    </row>
    <row r="14" spans="1:60" x14ac:dyDescent="0.25">
      <c r="A14" s="4">
        <v>10</v>
      </c>
      <c r="B14" s="21" t="s">
        <v>319</v>
      </c>
      <c r="C14" s="25">
        <v>32</v>
      </c>
      <c r="D14" s="25">
        <v>7</v>
      </c>
      <c r="E14" s="25">
        <v>2</v>
      </c>
      <c r="F14" s="25"/>
      <c r="G14" s="21">
        <f>'Apps &amp; Goals 26-27'!C12</f>
        <v>4</v>
      </c>
      <c r="H14" s="21">
        <f>'Apps &amp; Goals 26-27'!D12</f>
        <v>0</v>
      </c>
      <c r="I14" s="21">
        <f>'Apps &amp; Goals 26-27'!E12</f>
        <v>0</v>
      </c>
      <c r="J14" s="25">
        <f t="shared" si="0"/>
        <v>36</v>
      </c>
      <c r="K14" s="25">
        <f t="shared" si="1"/>
        <v>7</v>
      </c>
      <c r="L14" s="25">
        <f t="shared" si="2"/>
        <v>2</v>
      </c>
      <c r="M14">
        <v>10</v>
      </c>
      <c r="N14" s="20" t="s">
        <v>319</v>
      </c>
      <c r="O14" s="26">
        <v>13</v>
      </c>
      <c r="P14" s="26">
        <v>1</v>
      </c>
      <c r="Q14" s="26">
        <v>1</v>
      </c>
      <c r="R14" s="26"/>
      <c r="S14" s="20">
        <f>'Apps &amp; Goals 26-27'!F12</f>
        <v>1</v>
      </c>
      <c r="T14" s="20">
        <f>'Apps &amp; Goals 26-27'!G12</f>
        <v>0</v>
      </c>
      <c r="U14" s="20">
        <f>'Apps &amp; Goals 26-27'!H12</f>
        <v>0</v>
      </c>
      <c r="V14" s="26">
        <f t="shared" si="3"/>
        <v>14</v>
      </c>
      <c r="W14" s="26">
        <f t="shared" si="4"/>
        <v>1</v>
      </c>
      <c r="X14" s="26">
        <f t="shared" si="5"/>
        <v>1</v>
      </c>
      <c r="Z14" s="23" t="s">
        <v>319</v>
      </c>
      <c r="AA14" s="24">
        <v>3</v>
      </c>
      <c r="AB14" s="24">
        <v>1</v>
      </c>
      <c r="AC14" s="24">
        <v>2</v>
      </c>
      <c r="AD14" s="24"/>
      <c r="AE14" s="57">
        <f>'Apps &amp; Goals 26-27'!I12</f>
        <v>0</v>
      </c>
      <c r="AF14" s="57">
        <f>'Apps &amp; Goals 26-27'!J12</f>
        <v>0</v>
      </c>
      <c r="AG14" s="57">
        <f>'Apps &amp; Goals 26-27'!K12</f>
        <v>0</v>
      </c>
      <c r="AH14" s="24">
        <f t="shared" si="6"/>
        <v>3</v>
      </c>
      <c r="AI14" s="24">
        <f t="shared" si="7"/>
        <v>1</v>
      </c>
      <c r="AJ14" s="24">
        <f t="shared" si="8"/>
        <v>2</v>
      </c>
      <c r="AL14" s="19" t="s">
        <v>319</v>
      </c>
      <c r="AM14" s="18">
        <v>4</v>
      </c>
      <c r="AN14" s="18">
        <v>1</v>
      </c>
      <c r="AO14" s="18">
        <v>0</v>
      </c>
      <c r="AP14" s="18"/>
      <c r="AQ14" s="63">
        <f>'Apps &amp; Goals 26-27'!L12</f>
        <v>1</v>
      </c>
      <c r="AR14" s="63">
        <f>'Apps &amp; Goals 26-27'!M12</f>
        <v>0</v>
      </c>
      <c r="AS14" s="63">
        <f>'Apps &amp; Goals 26-27'!N12</f>
        <v>1</v>
      </c>
      <c r="AT14" s="18">
        <f t="shared" si="9"/>
        <v>5</v>
      </c>
      <c r="AU14" s="18">
        <f t="shared" si="10"/>
        <v>1</v>
      </c>
      <c r="AV14" s="18">
        <f t="shared" si="11"/>
        <v>1</v>
      </c>
      <c r="AX14" s="32" t="s">
        <v>319</v>
      </c>
      <c r="AY14" s="33">
        <v>0</v>
      </c>
      <c r="AZ14" s="33">
        <v>0</v>
      </c>
      <c r="BA14" s="33">
        <v>0</v>
      </c>
      <c r="BB14" s="33"/>
      <c r="BC14" s="64">
        <f>'Apps &amp; Goals 26-27'!O12</f>
        <v>1</v>
      </c>
      <c r="BD14" s="64">
        <f>'Apps &amp; Goals 26-27'!P12</f>
        <v>0</v>
      </c>
      <c r="BE14" s="64">
        <f>'Apps &amp; Goals 26-27'!Q12</f>
        <v>0</v>
      </c>
      <c r="BF14" s="33">
        <f t="shared" si="12"/>
        <v>1</v>
      </c>
      <c r="BG14" s="33">
        <f t="shared" si="13"/>
        <v>0</v>
      </c>
      <c r="BH14" s="33">
        <f t="shared" si="14"/>
        <v>0</v>
      </c>
    </row>
    <row r="15" spans="1:60" x14ac:dyDescent="0.25">
      <c r="A15" s="4">
        <v>12</v>
      </c>
      <c r="B15" s="22" t="s">
        <v>276</v>
      </c>
      <c r="C15" s="25">
        <v>62</v>
      </c>
      <c r="D15" s="25">
        <v>4</v>
      </c>
      <c r="E15" s="25">
        <v>8</v>
      </c>
      <c r="F15" s="25"/>
      <c r="G15" s="21">
        <f>'Apps &amp; Goals 26-27'!C13</f>
        <v>3</v>
      </c>
      <c r="H15" s="21">
        <f>'Apps &amp; Goals 26-27'!D13</f>
        <v>0</v>
      </c>
      <c r="I15" s="21">
        <f>'Apps &amp; Goals 26-27'!E13</f>
        <v>0</v>
      </c>
      <c r="J15" s="25">
        <f t="shared" si="0"/>
        <v>65</v>
      </c>
      <c r="K15" s="25">
        <f t="shared" si="1"/>
        <v>4</v>
      </c>
      <c r="L15" s="25">
        <f t="shared" si="2"/>
        <v>8</v>
      </c>
      <c r="M15">
        <v>12</v>
      </c>
      <c r="N15" s="45" t="s">
        <v>276</v>
      </c>
      <c r="O15" s="26">
        <v>21</v>
      </c>
      <c r="P15" s="26">
        <v>2</v>
      </c>
      <c r="Q15" s="26">
        <v>2</v>
      </c>
      <c r="R15" s="26"/>
      <c r="S15" s="20">
        <f>'Apps &amp; Goals 26-27'!F13</f>
        <v>0</v>
      </c>
      <c r="T15" s="20">
        <f>'Apps &amp; Goals 26-27'!G13</f>
        <v>0</v>
      </c>
      <c r="U15" s="20">
        <f>'Apps &amp; Goals 26-27'!H13</f>
        <v>0</v>
      </c>
      <c r="V15" s="26">
        <f t="shared" si="3"/>
        <v>21</v>
      </c>
      <c r="W15" s="26">
        <f t="shared" si="4"/>
        <v>2</v>
      </c>
      <c r="X15" s="26">
        <f t="shared" si="5"/>
        <v>2</v>
      </c>
      <c r="Z15" s="57" t="s">
        <v>276</v>
      </c>
      <c r="AA15" s="24">
        <v>3</v>
      </c>
      <c r="AB15" s="24">
        <v>0</v>
      </c>
      <c r="AC15" s="24">
        <v>0</v>
      </c>
      <c r="AD15" s="24"/>
      <c r="AE15" s="57">
        <f>'Apps &amp; Goals 26-27'!I13</f>
        <v>0</v>
      </c>
      <c r="AF15" s="57">
        <f>'Apps &amp; Goals 26-27'!J13</f>
        <v>0</v>
      </c>
      <c r="AG15" s="57">
        <f>'Apps &amp; Goals 26-27'!K13</f>
        <v>0</v>
      </c>
      <c r="AH15" s="24">
        <f t="shared" si="6"/>
        <v>3</v>
      </c>
      <c r="AI15" s="24">
        <f t="shared" si="7"/>
        <v>0</v>
      </c>
      <c r="AJ15" s="24">
        <f t="shared" si="8"/>
        <v>0</v>
      </c>
      <c r="AL15" s="63" t="s">
        <v>276</v>
      </c>
      <c r="AM15" s="18">
        <v>8</v>
      </c>
      <c r="AN15" s="18">
        <v>0</v>
      </c>
      <c r="AO15" s="18">
        <v>0</v>
      </c>
      <c r="AP15" s="18"/>
      <c r="AQ15" s="63">
        <f>'Apps &amp; Goals 26-27'!L13</f>
        <v>0</v>
      </c>
      <c r="AR15" s="63">
        <f>'Apps &amp; Goals 26-27'!M13</f>
        <v>0</v>
      </c>
      <c r="AS15" s="63">
        <f>'Apps &amp; Goals 26-27'!N13</f>
        <v>0</v>
      </c>
      <c r="AT15" s="18">
        <f t="shared" si="9"/>
        <v>8</v>
      </c>
      <c r="AU15" s="18">
        <f t="shared" si="10"/>
        <v>0</v>
      </c>
      <c r="AV15" s="18">
        <f t="shared" si="11"/>
        <v>0</v>
      </c>
      <c r="AX15" s="32" t="s">
        <v>276</v>
      </c>
      <c r="AY15" s="33">
        <v>1</v>
      </c>
      <c r="AZ15" s="33">
        <v>0</v>
      </c>
      <c r="BA15" s="33">
        <v>0</v>
      </c>
      <c r="BB15" s="33"/>
      <c r="BC15" s="64">
        <f>'Apps &amp; Goals 26-27'!O13</f>
        <v>0</v>
      </c>
      <c r="BD15" s="64">
        <f>'Apps &amp; Goals 26-27'!P13</f>
        <v>0</v>
      </c>
      <c r="BE15" s="64">
        <f>'Apps &amp; Goals 26-27'!Q13</f>
        <v>0</v>
      </c>
      <c r="BF15" s="33">
        <f t="shared" si="12"/>
        <v>1</v>
      </c>
      <c r="BG15" s="33">
        <f t="shared" si="13"/>
        <v>0</v>
      </c>
      <c r="BH15" s="33">
        <f t="shared" si="14"/>
        <v>0</v>
      </c>
    </row>
    <row r="16" spans="1:60" x14ac:dyDescent="0.25">
      <c r="A16" s="4">
        <v>13</v>
      </c>
      <c r="B16" s="22" t="s">
        <v>312</v>
      </c>
      <c r="C16" s="25">
        <v>1</v>
      </c>
      <c r="D16" s="25">
        <v>0</v>
      </c>
      <c r="E16" s="25">
        <v>0</v>
      </c>
      <c r="F16" s="25"/>
      <c r="G16" s="21">
        <f>'Apps &amp; Goals 26-27'!C14</f>
        <v>0</v>
      </c>
      <c r="H16" s="21">
        <f>'Apps &amp; Goals 26-27'!D14</f>
        <v>0</v>
      </c>
      <c r="I16" s="21">
        <f>'Apps &amp; Goals 26-27'!E14</f>
        <v>0</v>
      </c>
      <c r="J16" s="25">
        <f t="shared" si="0"/>
        <v>1</v>
      </c>
      <c r="K16" s="25">
        <f t="shared" si="1"/>
        <v>0</v>
      </c>
      <c r="L16" s="25">
        <f t="shared" si="2"/>
        <v>0</v>
      </c>
      <c r="M16">
        <v>13</v>
      </c>
      <c r="N16" s="45" t="s">
        <v>312</v>
      </c>
      <c r="O16" s="26">
        <v>1</v>
      </c>
      <c r="P16" s="26">
        <v>0</v>
      </c>
      <c r="Q16" s="26">
        <v>0</v>
      </c>
      <c r="R16" s="26"/>
      <c r="S16" s="20">
        <f>'Apps &amp; Goals 26-27'!F14</f>
        <v>0</v>
      </c>
      <c r="T16" s="20">
        <f>'Apps &amp; Goals 26-27'!G14</f>
        <v>0</v>
      </c>
      <c r="U16" s="20">
        <f>'Apps &amp; Goals 26-27'!H14</f>
        <v>0</v>
      </c>
      <c r="V16" s="26">
        <f t="shared" si="3"/>
        <v>1</v>
      </c>
      <c r="W16" s="26">
        <f t="shared" si="4"/>
        <v>0</v>
      </c>
      <c r="X16" s="26">
        <f t="shared" si="5"/>
        <v>0</v>
      </c>
      <c r="Z16" s="57" t="s">
        <v>312</v>
      </c>
      <c r="AA16" s="24">
        <v>4</v>
      </c>
      <c r="AB16" s="24">
        <v>0</v>
      </c>
      <c r="AC16" s="24">
        <v>0</v>
      </c>
      <c r="AD16" s="24"/>
      <c r="AE16" s="57">
        <f>'Apps &amp; Goals 26-27'!I14</f>
        <v>0</v>
      </c>
      <c r="AF16" s="57">
        <f>'Apps &amp; Goals 26-27'!J14</f>
        <v>0</v>
      </c>
      <c r="AG16" s="57">
        <f>'Apps &amp; Goals 26-27'!K14</f>
        <v>0</v>
      </c>
      <c r="AH16" s="24">
        <f t="shared" si="6"/>
        <v>4</v>
      </c>
      <c r="AI16" s="24">
        <f t="shared" si="7"/>
        <v>0</v>
      </c>
      <c r="AJ16" s="24">
        <f t="shared" si="8"/>
        <v>0</v>
      </c>
      <c r="AL16" s="63" t="s">
        <v>312</v>
      </c>
      <c r="AM16" s="18">
        <v>6</v>
      </c>
      <c r="AN16" s="18">
        <v>0</v>
      </c>
      <c r="AO16" s="18">
        <v>0</v>
      </c>
      <c r="AP16" s="18"/>
      <c r="AQ16" s="63">
        <f>'Apps &amp; Goals 26-27'!L14</f>
        <v>1</v>
      </c>
      <c r="AR16" s="63">
        <f>'Apps &amp; Goals 26-27'!M14</f>
        <v>0</v>
      </c>
      <c r="AS16" s="63">
        <f>'Apps &amp; Goals 26-27'!N14</f>
        <v>0</v>
      </c>
      <c r="AT16" s="18">
        <f t="shared" si="9"/>
        <v>7</v>
      </c>
      <c r="AU16" s="18">
        <f t="shared" si="10"/>
        <v>0</v>
      </c>
      <c r="AV16" s="18">
        <f t="shared" si="11"/>
        <v>0</v>
      </c>
      <c r="AX16" s="32" t="s">
        <v>312</v>
      </c>
      <c r="AY16" s="33">
        <v>0</v>
      </c>
      <c r="AZ16" s="33">
        <v>0</v>
      </c>
      <c r="BA16" s="33">
        <v>0</v>
      </c>
      <c r="BB16" s="33"/>
      <c r="BC16" s="64">
        <f>'Apps &amp; Goals 26-27'!O14</f>
        <v>0</v>
      </c>
      <c r="BD16" s="64">
        <f>'Apps &amp; Goals 26-27'!P14</f>
        <v>0</v>
      </c>
      <c r="BE16" s="64">
        <f>'Apps &amp; Goals 26-27'!Q14</f>
        <v>0</v>
      </c>
      <c r="BF16" s="33">
        <f t="shared" si="12"/>
        <v>0</v>
      </c>
      <c r="BG16" s="33">
        <f t="shared" si="13"/>
        <v>0</v>
      </c>
      <c r="BH16" s="33">
        <f t="shared" si="14"/>
        <v>0</v>
      </c>
    </row>
    <row r="17" spans="1:60" x14ac:dyDescent="0.25">
      <c r="A17" s="4">
        <v>14</v>
      </c>
      <c r="B17" s="22" t="s">
        <v>317</v>
      </c>
      <c r="C17" s="25">
        <v>36</v>
      </c>
      <c r="D17" s="25">
        <v>14</v>
      </c>
      <c r="E17" s="25">
        <v>1</v>
      </c>
      <c r="F17" s="25"/>
      <c r="G17" s="21">
        <f>'Apps &amp; Goals 26-27'!C15</f>
        <v>3</v>
      </c>
      <c r="H17" s="21">
        <f>'Apps &amp; Goals 26-27'!D15</f>
        <v>0</v>
      </c>
      <c r="I17" s="21">
        <f>'Apps &amp; Goals 26-27'!E15</f>
        <v>0</v>
      </c>
      <c r="J17" s="25">
        <f t="shared" si="0"/>
        <v>39</v>
      </c>
      <c r="K17" s="25">
        <f t="shared" si="1"/>
        <v>14</v>
      </c>
      <c r="L17" s="25">
        <f t="shared" si="2"/>
        <v>1</v>
      </c>
      <c r="M17">
        <v>14</v>
      </c>
      <c r="N17" s="45" t="s">
        <v>317</v>
      </c>
      <c r="O17" s="26">
        <v>13</v>
      </c>
      <c r="P17" s="26">
        <v>5</v>
      </c>
      <c r="Q17" s="26">
        <v>1</v>
      </c>
      <c r="R17" s="26"/>
      <c r="S17" s="20">
        <f>'Apps &amp; Goals 26-27'!F15</f>
        <v>1</v>
      </c>
      <c r="T17" s="20">
        <f>'Apps &amp; Goals 26-27'!G15</f>
        <v>0</v>
      </c>
      <c r="U17" s="20">
        <f>'Apps &amp; Goals 26-27'!H15</f>
        <v>0</v>
      </c>
      <c r="V17" s="26">
        <f t="shared" si="3"/>
        <v>14</v>
      </c>
      <c r="W17" s="26">
        <f t="shared" si="4"/>
        <v>5</v>
      </c>
      <c r="X17" s="26">
        <f t="shared" si="5"/>
        <v>1</v>
      </c>
      <c r="Z17" s="57" t="s">
        <v>317</v>
      </c>
      <c r="AA17" s="24">
        <v>2</v>
      </c>
      <c r="AB17" s="24">
        <v>1</v>
      </c>
      <c r="AC17" s="24">
        <v>0</v>
      </c>
      <c r="AD17" s="24"/>
      <c r="AE17" s="57">
        <f>'Apps &amp; Goals 26-27'!I15</f>
        <v>0</v>
      </c>
      <c r="AF17" s="57">
        <f>'Apps &amp; Goals 26-27'!J15</f>
        <v>0</v>
      </c>
      <c r="AG17" s="57">
        <f>'Apps &amp; Goals 26-27'!K15</f>
        <v>0</v>
      </c>
      <c r="AH17" s="24">
        <f t="shared" si="6"/>
        <v>2</v>
      </c>
      <c r="AI17" s="24">
        <f t="shared" si="7"/>
        <v>1</v>
      </c>
      <c r="AJ17" s="24">
        <f t="shared" si="8"/>
        <v>0</v>
      </c>
      <c r="AL17" s="63" t="s">
        <v>317</v>
      </c>
      <c r="AM17" s="18">
        <v>4</v>
      </c>
      <c r="AN17" s="18">
        <v>1</v>
      </c>
      <c r="AO17" s="18">
        <v>1</v>
      </c>
      <c r="AP17" s="18"/>
      <c r="AQ17" s="63">
        <f>'Apps &amp; Goals 26-27'!L15</f>
        <v>1</v>
      </c>
      <c r="AR17" s="63">
        <f>'Apps &amp; Goals 26-27'!M15</f>
        <v>0</v>
      </c>
      <c r="AS17" s="63">
        <f>'Apps &amp; Goals 26-27'!N15</f>
        <v>0</v>
      </c>
      <c r="AT17" s="18">
        <f t="shared" si="9"/>
        <v>5</v>
      </c>
      <c r="AU17" s="18">
        <f t="shared" si="10"/>
        <v>1</v>
      </c>
      <c r="AV17" s="18">
        <f t="shared" si="11"/>
        <v>1</v>
      </c>
      <c r="AX17" s="32" t="s">
        <v>317</v>
      </c>
      <c r="AY17" s="33">
        <v>0</v>
      </c>
      <c r="AZ17" s="33">
        <v>0</v>
      </c>
      <c r="BA17" s="33">
        <v>0</v>
      </c>
      <c r="BB17" s="33"/>
      <c r="BC17" s="64">
        <f>'Apps &amp; Goals 26-27'!O15</f>
        <v>1</v>
      </c>
      <c r="BD17" s="64">
        <f>'Apps &amp; Goals 26-27'!P15</f>
        <v>0</v>
      </c>
      <c r="BE17" s="64">
        <f>'Apps &amp; Goals 26-27'!Q15</f>
        <v>0</v>
      </c>
      <c r="BF17" s="33">
        <f t="shared" si="12"/>
        <v>1</v>
      </c>
      <c r="BG17" s="33">
        <f t="shared" si="13"/>
        <v>0</v>
      </c>
      <c r="BH17" s="33">
        <f t="shared" si="14"/>
        <v>0</v>
      </c>
    </row>
    <row r="18" spans="1:60" x14ac:dyDescent="0.25">
      <c r="A18" s="4">
        <v>15</v>
      </c>
      <c r="B18" s="22" t="s">
        <v>431</v>
      </c>
      <c r="C18" s="25">
        <v>0</v>
      </c>
      <c r="D18" s="25">
        <v>0</v>
      </c>
      <c r="E18" s="25">
        <v>0</v>
      </c>
      <c r="F18" s="25"/>
      <c r="G18" s="21">
        <f>'Apps &amp; Goals 26-27'!C16</f>
        <v>5</v>
      </c>
      <c r="H18" s="21">
        <f>'Apps &amp; Goals 26-27'!D16</f>
        <v>0</v>
      </c>
      <c r="I18" s="21">
        <f>'Apps &amp; Goals 26-27'!E16</f>
        <v>0</v>
      </c>
      <c r="J18" s="25">
        <f t="shared" si="0"/>
        <v>5</v>
      </c>
      <c r="K18" s="25">
        <f t="shared" si="1"/>
        <v>0</v>
      </c>
      <c r="L18" s="25">
        <f t="shared" si="2"/>
        <v>0</v>
      </c>
      <c r="M18">
        <v>15</v>
      </c>
      <c r="N18" s="45" t="s">
        <v>431</v>
      </c>
      <c r="O18" s="26">
        <v>0</v>
      </c>
      <c r="P18" s="26">
        <v>0</v>
      </c>
      <c r="Q18" s="26">
        <v>0</v>
      </c>
      <c r="R18" s="26"/>
      <c r="S18" s="20">
        <f>'Apps &amp; Goals 26-27'!F16</f>
        <v>1</v>
      </c>
      <c r="T18" s="20">
        <f>'Apps &amp; Goals 26-27'!G16</f>
        <v>0</v>
      </c>
      <c r="U18" s="20">
        <f>'Apps &amp; Goals 26-27'!H16</f>
        <v>0</v>
      </c>
      <c r="V18" s="26">
        <f t="shared" si="3"/>
        <v>1</v>
      </c>
      <c r="W18" s="26">
        <f t="shared" si="4"/>
        <v>0</v>
      </c>
      <c r="X18" s="26">
        <f t="shared" si="5"/>
        <v>0</v>
      </c>
      <c r="Z18" s="57" t="s">
        <v>431</v>
      </c>
      <c r="AA18" s="24">
        <v>0</v>
      </c>
      <c r="AB18" s="24">
        <v>0</v>
      </c>
      <c r="AC18" s="24">
        <v>0</v>
      </c>
      <c r="AD18" s="24"/>
      <c r="AE18" s="57">
        <f>'Apps &amp; Goals 26-27'!I16</f>
        <v>0</v>
      </c>
      <c r="AF18" s="57">
        <f>'Apps &amp; Goals 26-27'!J16</f>
        <v>0</v>
      </c>
      <c r="AG18" s="57">
        <f>'Apps &amp; Goals 26-27'!K16</f>
        <v>0</v>
      </c>
      <c r="AH18" s="24">
        <f t="shared" si="6"/>
        <v>0</v>
      </c>
      <c r="AI18" s="24">
        <f t="shared" si="7"/>
        <v>0</v>
      </c>
      <c r="AJ18" s="24">
        <f t="shared" si="8"/>
        <v>0</v>
      </c>
      <c r="AL18" s="63" t="s">
        <v>431</v>
      </c>
      <c r="AM18" s="18">
        <v>0</v>
      </c>
      <c r="AN18" s="18">
        <v>0</v>
      </c>
      <c r="AO18" s="18">
        <v>0</v>
      </c>
      <c r="AP18" s="18"/>
      <c r="AQ18" s="63">
        <f>'Apps &amp; Goals 26-27'!L16</f>
        <v>1</v>
      </c>
      <c r="AR18" s="63">
        <f>'Apps &amp; Goals 26-27'!M16</f>
        <v>0</v>
      </c>
      <c r="AS18" s="63">
        <f>'Apps &amp; Goals 26-27'!N16</f>
        <v>0</v>
      </c>
      <c r="AT18" s="18">
        <f t="shared" si="9"/>
        <v>1</v>
      </c>
      <c r="AU18" s="18">
        <f t="shared" si="10"/>
        <v>0</v>
      </c>
      <c r="AV18" s="18">
        <f t="shared" si="11"/>
        <v>0</v>
      </c>
      <c r="AX18" s="32" t="s">
        <v>431</v>
      </c>
      <c r="AY18" s="33">
        <v>0</v>
      </c>
      <c r="AZ18" s="33">
        <v>0</v>
      </c>
      <c r="BA18" s="33">
        <v>0</v>
      </c>
      <c r="BB18" s="33"/>
      <c r="BC18" s="64">
        <f>'Apps &amp; Goals 26-27'!O16</f>
        <v>0</v>
      </c>
      <c r="BD18" s="64">
        <f>'Apps &amp; Goals 26-27'!P16</f>
        <v>0</v>
      </c>
      <c r="BE18" s="64">
        <f>'Apps &amp; Goals 26-27'!Q16</f>
        <v>0</v>
      </c>
      <c r="BF18" s="33">
        <f t="shared" si="12"/>
        <v>0</v>
      </c>
      <c r="BG18" s="33">
        <f t="shared" si="13"/>
        <v>0</v>
      </c>
      <c r="BH18" s="33">
        <f t="shared" si="14"/>
        <v>0</v>
      </c>
    </row>
    <row r="19" spans="1:60" x14ac:dyDescent="0.25">
      <c r="A19" s="4">
        <v>17</v>
      </c>
      <c r="B19" s="21" t="s">
        <v>343</v>
      </c>
      <c r="C19" s="25">
        <v>0</v>
      </c>
      <c r="D19" s="25">
        <v>0</v>
      </c>
      <c r="E19" s="25">
        <v>0</v>
      </c>
      <c r="F19" s="25"/>
      <c r="G19" s="21">
        <f>'Apps &amp; Goals 26-27'!C17</f>
        <v>5</v>
      </c>
      <c r="H19" s="21">
        <f>'Apps &amp; Goals 26-27'!D17</f>
        <v>0</v>
      </c>
      <c r="I19" s="21">
        <f>'Apps &amp; Goals 26-27'!E17</f>
        <v>1</v>
      </c>
      <c r="J19" s="25">
        <f t="shared" si="0"/>
        <v>5</v>
      </c>
      <c r="K19" s="25">
        <f t="shared" si="1"/>
        <v>0</v>
      </c>
      <c r="L19" s="25">
        <f t="shared" si="2"/>
        <v>1</v>
      </c>
      <c r="M19">
        <v>17</v>
      </c>
      <c r="N19" s="45" t="s">
        <v>343</v>
      </c>
      <c r="O19" s="26">
        <v>0</v>
      </c>
      <c r="P19" s="26">
        <v>0</v>
      </c>
      <c r="Q19" s="26">
        <v>0</v>
      </c>
      <c r="R19" s="26"/>
      <c r="S19" s="20">
        <f>'Apps &amp; Goals 26-27'!F17</f>
        <v>1</v>
      </c>
      <c r="T19" s="20">
        <f>'Apps &amp; Goals 26-27'!G17</f>
        <v>0</v>
      </c>
      <c r="U19" s="20">
        <f>'Apps &amp; Goals 26-27'!H17</f>
        <v>1</v>
      </c>
      <c r="V19" s="26">
        <f t="shared" si="3"/>
        <v>1</v>
      </c>
      <c r="W19" s="26">
        <f t="shared" si="4"/>
        <v>0</v>
      </c>
      <c r="X19" s="26">
        <f t="shared" si="5"/>
        <v>1</v>
      </c>
      <c r="Z19" s="23" t="s">
        <v>343</v>
      </c>
      <c r="AA19" s="24">
        <v>0</v>
      </c>
      <c r="AB19" s="24">
        <v>0</v>
      </c>
      <c r="AC19" s="24">
        <v>0</v>
      </c>
      <c r="AD19" s="24"/>
      <c r="AE19" s="57">
        <f>'Apps &amp; Goals 26-27'!I17</f>
        <v>0</v>
      </c>
      <c r="AF19" s="57">
        <f>'Apps &amp; Goals 26-27'!J17</f>
        <v>0</v>
      </c>
      <c r="AG19" s="57">
        <f>'Apps &amp; Goals 26-27'!K17</f>
        <v>0</v>
      </c>
      <c r="AH19" s="24">
        <f t="shared" si="6"/>
        <v>0</v>
      </c>
      <c r="AI19" s="24">
        <f t="shared" si="7"/>
        <v>0</v>
      </c>
      <c r="AJ19" s="24">
        <f t="shared" si="8"/>
        <v>0</v>
      </c>
      <c r="AL19" s="63" t="s">
        <v>343</v>
      </c>
      <c r="AM19" s="18">
        <v>0</v>
      </c>
      <c r="AN19" s="18">
        <v>0</v>
      </c>
      <c r="AO19" s="18">
        <v>0</v>
      </c>
      <c r="AP19" s="18"/>
      <c r="AQ19" s="63">
        <f>'Apps &amp; Goals 26-27'!L17</f>
        <v>1</v>
      </c>
      <c r="AR19" s="63">
        <f>'Apps &amp; Goals 26-27'!M17</f>
        <v>0</v>
      </c>
      <c r="AS19" s="63">
        <f>'Apps &amp; Goals 26-27'!N17</f>
        <v>0</v>
      </c>
      <c r="AT19" s="18">
        <f t="shared" si="9"/>
        <v>1</v>
      </c>
      <c r="AU19" s="18">
        <f t="shared" si="10"/>
        <v>0</v>
      </c>
      <c r="AV19" s="18">
        <f t="shared" si="11"/>
        <v>0</v>
      </c>
      <c r="AX19" s="32" t="s">
        <v>343</v>
      </c>
      <c r="AY19" s="33">
        <v>0</v>
      </c>
      <c r="AZ19" s="33">
        <v>0</v>
      </c>
      <c r="BA19" s="33">
        <v>0</v>
      </c>
      <c r="BB19" s="33"/>
      <c r="BC19" s="64">
        <f>'Apps &amp; Goals 26-27'!O17</f>
        <v>1</v>
      </c>
      <c r="BD19" s="64">
        <f>'Apps &amp; Goals 26-27'!P17</f>
        <v>0</v>
      </c>
      <c r="BE19" s="64">
        <f>'Apps &amp; Goals 26-27'!Q17</f>
        <v>2</v>
      </c>
      <c r="BF19" s="33">
        <f t="shared" si="12"/>
        <v>1</v>
      </c>
      <c r="BG19" s="33">
        <f t="shared" si="13"/>
        <v>0</v>
      </c>
      <c r="BH19" s="33">
        <f t="shared" si="14"/>
        <v>2</v>
      </c>
    </row>
    <row r="20" spans="1:60" x14ac:dyDescent="0.25">
      <c r="A20" s="4">
        <v>20</v>
      </c>
      <c r="B20" s="21" t="s">
        <v>315</v>
      </c>
      <c r="C20" s="25">
        <v>26</v>
      </c>
      <c r="D20" s="25">
        <v>3</v>
      </c>
      <c r="E20" s="25">
        <v>1</v>
      </c>
      <c r="F20" s="25"/>
      <c r="G20" s="21">
        <f>'Apps &amp; Goals 26-27'!C18</f>
        <v>3</v>
      </c>
      <c r="H20" s="21">
        <f>'Apps &amp; Goals 26-27'!D18</f>
        <v>0</v>
      </c>
      <c r="I20" s="21">
        <f>'Apps &amp; Goals 26-27'!E18</f>
        <v>0</v>
      </c>
      <c r="J20" s="25">
        <f t="shared" si="0"/>
        <v>29</v>
      </c>
      <c r="K20" s="25">
        <f t="shared" si="1"/>
        <v>3</v>
      </c>
      <c r="L20" s="25">
        <f t="shared" si="2"/>
        <v>1</v>
      </c>
      <c r="M20">
        <v>20</v>
      </c>
      <c r="N20" s="20" t="s">
        <v>315</v>
      </c>
      <c r="O20" s="26">
        <v>9</v>
      </c>
      <c r="P20" s="26">
        <v>3</v>
      </c>
      <c r="Q20" s="26">
        <v>0</v>
      </c>
      <c r="R20" s="26"/>
      <c r="S20" s="20">
        <f>'Apps &amp; Goals 26-27'!F18</f>
        <v>1</v>
      </c>
      <c r="T20" s="20">
        <f>'Apps &amp; Goals 26-27'!G18</f>
        <v>0</v>
      </c>
      <c r="U20" s="20">
        <f>'Apps &amp; Goals 26-27'!H18</f>
        <v>0</v>
      </c>
      <c r="V20" s="26">
        <f t="shared" si="3"/>
        <v>10</v>
      </c>
      <c r="W20" s="26">
        <f t="shared" si="4"/>
        <v>3</v>
      </c>
      <c r="X20" s="26">
        <f t="shared" si="5"/>
        <v>0</v>
      </c>
      <c r="Z20" s="23" t="s">
        <v>315</v>
      </c>
      <c r="AA20" s="24">
        <v>4</v>
      </c>
      <c r="AB20" s="24">
        <v>2</v>
      </c>
      <c r="AC20" s="24">
        <v>2</v>
      </c>
      <c r="AD20" s="24"/>
      <c r="AE20" s="57">
        <f>'Apps &amp; Goals 26-27'!I18</f>
        <v>0</v>
      </c>
      <c r="AF20" s="57">
        <f>'Apps &amp; Goals 26-27'!J18</f>
        <v>0</v>
      </c>
      <c r="AG20" s="57">
        <f>'Apps &amp; Goals 26-27'!K18</f>
        <v>0</v>
      </c>
      <c r="AH20" s="24">
        <f t="shared" si="6"/>
        <v>4</v>
      </c>
      <c r="AI20" s="24">
        <f t="shared" si="7"/>
        <v>2</v>
      </c>
      <c r="AJ20" s="24">
        <f t="shared" si="8"/>
        <v>2</v>
      </c>
      <c r="AL20" s="19" t="s">
        <v>315</v>
      </c>
      <c r="AM20" s="18">
        <v>3</v>
      </c>
      <c r="AN20" s="18">
        <v>0</v>
      </c>
      <c r="AO20" s="18">
        <v>0</v>
      </c>
      <c r="AP20" s="18"/>
      <c r="AQ20" s="63">
        <f>'Apps &amp; Goals 26-27'!L18</f>
        <v>1</v>
      </c>
      <c r="AR20" s="63">
        <f>'Apps &amp; Goals 26-27'!M18</f>
        <v>1</v>
      </c>
      <c r="AS20" s="63">
        <f>'Apps &amp; Goals 26-27'!N18</f>
        <v>0</v>
      </c>
      <c r="AT20" s="18">
        <f t="shared" si="9"/>
        <v>4</v>
      </c>
      <c r="AU20" s="18">
        <f t="shared" si="10"/>
        <v>1</v>
      </c>
      <c r="AV20" s="18">
        <f t="shared" si="11"/>
        <v>0</v>
      </c>
      <c r="AX20" s="64" t="s">
        <v>315</v>
      </c>
      <c r="AY20" s="33">
        <v>0</v>
      </c>
      <c r="AZ20" s="33">
        <v>0</v>
      </c>
      <c r="BA20" s="33">
        <v>0</v>
      </c>
      <c r="BB20" s="33"/>
      <c r="BC20" s="64">
        <f>'Apps &amp; Goals 26-27'!O18</f>
        <v>1</v>
      </c>
      <c r="BD20" s="64">
        <f>'Apps &amp; Goals 26-27'!P18</f>
        <v>0</v>
      </c>
      <c r="BE20" s="64">
        <f>'Apps &amp; Goals 26-27'!Q18</f>
        <v>0</v>
      </c>
      <c r="BF20" s="33">
        <f t="shared" si="12"/>
        <v>1</v>
      </c>
      <c r="BG20" s="33">
        <f t="shared" si="13"/>
        <v>0</v>
      </c>
      <c r="BH20" s="33">
        <f t="shared" si="14"/>
        <v>0</v>
      </c>
    </row>
    <row r="21" spans="1:60" x14ac:dyDescent="0.25">
      <c r="A21" s="56">
        <v>22</v>
      </c>
      <c r="B21" s="22" t="s">
        <v>263</v>
      </c>
      <c r="C21" s="25">
        <v>34</v>
      </c>
      <c r="D21" s="25">
        <v>4</v>
      </c>
      <c r="E21" s="25">
        <v>2</v>
      </c>
      <c r="F21" s="25"/>
      <c r="G21" s="21">
        <f>'Apps &amp; Goals 26-27'!C19</f>
        <v>0</v>
      </c>
      <c r="H21" s="21">
        <f>'Apps &amp; Goals 26-27'!D19</f>
        <v>0</v>
      </c>
      <c r="I21" s="21">
        <f>'Apps &amp; Goals 26-27'!E19</f>
        <v>0</v>
      </c>
      <c r="J21" s="25">
        <f t="shared" si="0"/>
        <v>34</v>
      </c>
      <c r="K21" s="25">
        <f t="shared" si="1"/>
        <v>4</v>
      </c>
      <c r="L21" s="25">
        <f t="shared" si="2"/>
        <v>2</v>
      </c>
      <c r="M21">
        <v>22</v>
      </c>
      <c r="N21" s="45" t="s">
        <v>263</v>
      </c>
      <c r="O21" s="26">
        <v>10</v>
      </c>
      <c r="P21" s="26">
        <v>2</v>
      </c>
      <c r="Q21" s="26">
        <v>0</v>
      </c>
      <c r="R21" s="26"/>
      <c r="S21" s="20">
        <f>'Apps &amp; Goals 26-27'!F19</f>
        <v>0</v>
      </c>
      <c r="T21" s="20">
        <f>'Apps &amp; Goals 26-27'!G19</f>
        <v>0</v>
      </c>
      <c r="U21" s="20">
        <f>'Apps &amp; Goals 26-27'!H19</f>
        <v>0</v>
      </c>
      <c r="V21" s="26">
        <f t="shared" si="3"/>
        <v>10</v>
      </c>
      <c r="W21" s="26">
        <f t="shared" si="4"/>
        <v>2</v>
      </c>
      <c r="X21" s="26">
        <f t="shared" si="5"/>
        <v>0</v>
      </c>
      <c r="Z21" s="23" t="s">
        <v>263</v>
      </c>
      <c r="AA21" s="24">
        <v>1</v>
      </c>
      <c r="AB21" s="24">
        <v>0</v>
      </c>
      <c r="AC21" s="24">
        <v>0</v>
      </c>
      <c r="AD21" s="24"/>
      <c r="AE21" s="57">
        <f>'Apps &amp; Goals 26-27'!I19</f>
        <v>0</v>
      </c>
      <c r="AF21" s="57">
        <f>'Apps &amp; Goals 26-27'!J19</f>
        <v>0</v>
      </c>
      <c r="AG21" s="57">
        <f>'Apps &amp; Goals 26-27'!K19</f>
        <v>0</v>
      </c>
      <c r="AH21" s="24">
        <f t="shared" si="6"/>
        <v>1</v>
      </c>
      <c r="AI21" s="24">
        <f t="shared" si="7"/>
        <v>0</v>
      </c>
      <c r="AJ21" s="24">
        <f t="shared" si="8"/>
        <v>0</v>
      </c>
      <c r="AL21" s="19" t="s">
        <v>263</v>
      </c>
      <c r="AM21" s="18">
        <v>6</v>
      </c>
      <c r="AN21" s="18">
        <v>4</v>
      </c>
      <c r="AO21" s="18">
        <v>0</v>
      </c>
      <c r="AP21" s="18"/>
      <c r="AQ21" s="63">
        <f>'Apps &amp; Goals 26-27'!L19</f>
        <v>0</v>
      </c>
      <c r="AR21" s="63">
        <f>'Apps &amp; Goals 26-27'!M19</f>
        <v>0</v>
      </c>
      <c r="AS21" s="63">
        <f>'Apps &amp; Goals 26-27'!N19</f>
        <v>0</v>
      </c>
      <c r="AT21" s="18">
        <f t="shared" si="9"/>
        <v>6</v>
      </c>
      <c r="AU21" s="18">
        <f t="shared" si="10"/>
        <v>4</v>
      </c>
      <c r="AV21" s="18">
        <f t="shared" si="11"/>
        <v>0</v>
      </c>
      <c r="AX21" s="32" t="s">
        <v>263</v>
      </c>
      <c r="AY21" s="33">
        <v>0</v>
      </c>
      <c r="AZ21" s="33">
        <v>0</v>
      </c>
      <c r="BA21" s="33">
        <v>0</v>
      </c>
      <c r="BB21" s="33"/>
      <c r="BC21" s="64">
        <f>'Apps &amp; Goals 26-27'!O19</f>
        <v>0</v>
      </c>
      <c r="BD21" s="64">
        <f>'Apps &amp; Goals 26-27'!P19</f>
        <v>0</v>
      </c>
      <c r="BE21" s="64">
        <f>'Apps &amp; Goals 26-27'!Q19</f>
        <v>0</v>
      </c>
      <c r="BF21" s="33">
        <f t="shared" si="12"/>
        <v>0</v>
      </c>
      <c r="BG21" s="33">
        <f t="shared" si="13"/>
        <v>0</v>
      </c>
      <c r="BH21" s="33">
        <f t="shared" si="14"/>
        <v>0</v>
      </c>
    </row>
    <row r="22" spans="1:60" x14ac:dyDescent="0.25">
      <c r="A22" s="4">
        <v>23</v>
      </c>
      <c r="B22" s="21" t="s">
        <v>293</v>
      </c>
      <c r="C22" s="25">
        <v>50</v>
      </c>
      <c r="D22" s="25">
        <v>11</v>
      </c>
      <c r="E22" s="25">
        <v>5</v>
      </c>
      <c r="F22" s="25"/>
      <c r="G22" s="21">
        <f>'Apps &amp; Goals 26-27'!C20</f>
        <v>6</v>
      </c>
      <c r="H22" s="21">
        <f>'Apps &amp; Goals 26-27'!D20</f>
        <v>0</v>
      </c>
      <c r="I22" s="21">
        <f>'Apps &amp; Goals 26-27'!E20</f>
        <v>0</v>
      </c>
      <c r="J22" s="25">
        <f t="shared" si="0"/>
        <v>56</v>
      </c>
      <c r="K22" s="25">
        <f t="shared" si="1"/>
        <v>11</v>
      </c>
      <c r="L22" s="25">
        <f t="shared" si="2"/>
        <v>5</v>
      </c>
      <c r="M22">
        <v>23</v>
      </c>
      <c r="N22" s="20" t="s">
        <v>293</v>
      </c>
      <c r="O22" s="26">
        <v>19</v>
      </c>
      <c r="P22" s="26">
        <v>4</v>
      </c>
      <c r="Q22" s="26">
        <v>3</v>
      </c>
      <c r="R22" s="26"/>
      <c r="S22" s="20">
        <f>'Apps &amp; Goals 26-27'!F20</f>
        <v>1</v>
      </c>
      <c r="T22" s="20">
        <f>'Apps &amp; Goals 26-27'!G20</f>
        <v>0</v>
      </c>
      <c r="U22" s="20">
        <f>'Apps &amp; Goals 26-27'!H20</f>
        <v>0</v>
      </c>
      <c r="V22" s="26">
        <f t="shared" si="3"/>
        <v>20</v>
      </c>
      <c r="W22" s="26">
        <f t="shared" si="4"/>
        <v>4</v>
      </c>
      <c r="X22" s="26">
        <f t="shared" si="5"/>
        <v>3</v>
      </c>
      <c r="Z22" s="23" t="s">
        <v>293</v>
      </c>
      <c r="AA22" s="24">
        <v>2</v>
      </c>
      <c r="AB22" s="24">
        <v>0</v>
      </c>
      <c r="AC22" s="24">
        <v>0</v>
      </c>
      <c r="AD22" s="24"/>
      <c r="AE22" s="57">
        <f>'Apps &amp; Goals 26-27'!I20</f>
        <v>0</v>
      </c>
      <c r="AF22" s="57">
        <f>'Apps &amp; Goals 26-27'!J20</f>
        <v>0</v>
      </c>
      <c r="AG22" s="57">
        <f>'Apps &amp; Goals 26-27'!K20</f>
        <v>0</v>
      </c>
      <c r="AH22" s="24">
        <f t="shared" si="6"/>
        <v>2</v>
      </c>
      <c r="AI22" s="24">
        <f t="shared" si="7"/>
        <v>0</v>
      </c>
      <c r="AJ22" s="24">
        <f t="shared" si="8"/>
        <v>0</v>
      </c>
      <c r="AL22" s="19" t="s">
        <v>293</v>
      </c>
      <c r="AM22" s="18">
        <v>7</v>
      </c>
      <c r="AN22" s="18">
        <v>0</v>
      </c>
      <c r="AO22" s="18">
        <v>0</v>
      </c>
      <c r="AP22" s="18"/>
      <c r="AQ22" s="63">
        <f>'Apps &amp; Goals 26-27'!L20</f>
        <v>1</v>
      </c>
      <c r="AR22" s="63">
        <f>'Apps &amp; Goals 26-27'!M20</f>
        <v>1</v>
      </c>
      <c r="AS22" s="63">
        <f>'Apps &amp; Goals 26-27'!N20</f>
        <v>0</v>
      </c>
      <c r="AT22" s="18">
        <f t="shared" si="9"/>
        <v>8</v>
      </c>
      <c r="AU22" s="18">
        <f t="shared" si="10"/>
        <v>1</v>
      </c>
      <c r="AV22" s="18">
        <f t="shared" si="11"/>
        <v>0</v>
      </c>
      <c r="AX22" s="64" t="s">
        <v>293</v>
      </c>
      <c r="AY22" s="33">
        <v>0</v>
      </c>
      <c r="AZ22" s="33">
        <v>0</v>
      </c>
      <c r="BA22" s="33">
        <v>0</v>
      </c>
      <c r="BB22" s="33"/>
      <c r="BC22" s="64">
        <f>'Apps &amp; Goals 26-27'!O20</f>
        <v>0</v>
      </c>
      <c r="BD22" s="64">
        <f>'Apps &amp; Goals 26-27'!P20</f>
        <v>0</v>
      </c>
      <c r="BE22" s="64">
        <f>'Apps &amp; Goals 26-27'!Q20</f>
        <v>0</v>
      </c>
      <c r="BF22" s="33">
        <f t="shared" si="12"/>
        <v>0</v>
      </c>
      <c r="BG22" s="33">
        <f t="shared" si="13"/>
        <v>0</v>
      </c>
      <c r="BH22" s="33">
        <f t="shared" si="14"/>
        <v>0</v>
      </c>
    </row>
    <row r="23" spans="1:60" x14ac:dyDescent="0.25">
      <c r="A23" s="56">
        <v>29</v>
      </c>
      <c r="B23" s="22" t="s">
        <v>275</v>
      </c>
      <c r="C23" s="25">
        <v>72</v>
      </c>
      <c r="D23" s="25">
        <v>24</v>
      </c>
      <c r="E23" s="25">
        <v>13</v>
      </c>
      <c r="F23" s="25"/>
      <c r="G23" s="21">
        <f>'Apps &amp; Goals 26-27'!C21</f>
        <v>6</v>
      </c>
      <c r="H23" s="21">
        <f>'Apps &amp; Goals 26-27'!D21</f>
        <v>2</v>
      </c>
      <c r="I23" s="21">
        <f>'Apps &amp; Goals 26-27'!E21</f>
        <v>0</v>
      </c>
      <c r="J23" s="25">
        <f t="shared" si="0"/>
        <v>78</v>
      </c>
      <c r="K23" s="25">
        <f t="shared" si="1"/>
        <v>26</v>
      </c>
      <c r="L23" s="25">
        <f t="shared" si="2"/>
        <v>13</v>
      </c>
      <c r="M23">
        <v>29</v>
      </c>
      <c r="N23" s="20" t="s">
        <v>275</v>
      </c>
      <c r="O23" s="26">
        <v>24</v>
      </c>
      <c r="P23" s="26">
        <v>9</v>
      </c>
      <c r="Q23" s="26">
        <v>2</v>
      </c>
      <c r="R23" s="26"/>
      <c r="S23" s="20">
        <f>'Apps &amp; Goals 26-27'!F21</f>
        <v>1</v>
      </c>
      <c r="T23" s="20">
        <f>'Apps &amp; Goals 26-27'!G21</f>
        <v>0</v>
      </c>
      <c r="U23" s="20">
        <f>'Apps &amp; Goals 26-27'!H21</f>
        <v>0</v>
      </c>
      <c r="V23" s="26">
        <f t="shared" si="3"/>
        <v>25</v>
      </c>
      <c r="W23" s="26">
        <f t="shared" si="4"/>
        <v>9</v>
      </c>
      <c r="X23" s="26">
        <f t="shared" si="5"/>
        <v>2</v>
      </c>
      <c r="Z23" s="57" t="s">
        <v>275</v>
      </c>
      <c r="AA23" s="24">
        <v>5</v>
      </c>
      <c r="AB23" s="24">
        <v>0</v>
      </c>
      <c r="AC23" s="24">
        <v>1</v>
      </c>
      <c r="AD23" s="24"/>
      <c r="AE23" s="57">
        <f>'Apps &amp; Goals 26-27'!I21</f>
        <v>0</v>
      </c>
      <c r="AF23" s="57">
        <f>'Apps &amp; Goals 26-27'!J21</f>
        <v>0</v>
      </c>
      <c r="AG23" s="57">
        <f>'Apps &amp; Goals 26-27'!K21</f>
        <v>0</v>
      </c>
      <c r="AH23" s="24">
        <f t="shared" si="6"/>
        <v>5</v>
      </c>
      <c r="AI23" s="24">
        <f t="shared" si="7"/>
        <v>0</v>
      </c>
      <c r="AJ23" s="24">
        <f t="shared" si="8"/>
        <v>1</v>
      </c>
      <c r="AL23" s="63" t="s">
        <v>275</v>
      </c>
      <c r="AM23" s="18">
        <v>9</v>
      </c>
      <c r="AN23" s="18">
        <v>3</v>
      </c>
      <c r="AO23" s="18">
        <v>0</v>
      </c>
      <c r="AP23" s="18"/>
      <c r="AQ23" s="63">
        <f>'Apps &amp; Goals 26-27'!L21</f>
        <v>0</v>
      </c>
      <c r="AR23" s="63">
        <f>'Apps &amp; Goals 26-27'!M21</f>
        <v>0</v>
      </c>
      <c r="AS23" s="63">
        <f>'Apps &amp; Goals 26-27'!N21</f>
        <v>0</v>
      </c>
      <c r="AT23" s="18">
        <f t="shared" si="9"/>
        <v>9</v>
      </c>
      <c r="AU23" s="18">
        <f t="shared" si="10"/>
        <v>3</v>
      </c>
      <c r="AV23" s="18">
        <f t="shared" si="11"/>
        <v>0</v>
      </c>
      <c r="AX23" s="64" t="s">
        <v>275</v>
      </c>
      <c r="AY23" s="33">
        <v>1</v>
      </c>
      <c r="AZ23" s="33">
        <v>0</v>
      </c>
      <c r="BA23" s="33">
        <v>0</v>
      </c>
      <c r="BB23" s="33"/>
      <c r="BC23" s="64">
        <f>'Apps &amp; Goals 26-27'!O21</f>
        <v>1</v>
      </c>
      <c r="BD23" s="64">
        <f>'Apps &amp; Goals 26-27'!P21</f>
        <v>1</v>
      </c>
      <c r="BE23" s="64">
        <f>'Apps &amp; Goals 26-27'!Q21</f>
        <v>0</v>
      </c>
      <c r="BF23" s="33">
        <f t="shared" si="12"/>
        <v>2</v>
      </c>
      <c r="BG23" s="33">
        <f t="shared" si="13"/>
        <v>1</v>
      </c>
      <c r="BH23" s="33">
        <f t="shared" si="14"/>
        <v>0</v>
      </c>
    </row>
    <row r="24" spans="1:60" x14ac:dyDescent="0.25">
      <c r="A24" s="56">
        <v>30</v>
      </c>
      <c r="B24" s="22" t="s">
        <v>344</v>
      </c>
      <c r="C24" s="25">
        <v>0</v>
      </c>
      <c r="D24" s="25">
        <v>0</v>
      </c>
      <c r="E24" s="25">
        <v>0</v>
      </c>
      <c r="F24" s="25"/>
      <c r="G24" s="21">
        <f>'Apps &amp; Goals 26-27'!C22</f>
        <v>0</v>
      </c>
      <c r="H24" s="21">
        <f>'Apps &amp; Goals 26-27'!D22</f>
        <v>0</v>
      </c>
      <c r="I24" s="21">
        <f>'Apps &amp; Goals 26-27'!E22</f>
        <v>0</v>
      </c>
      <c r="J24" s="25">
        <f t="shared" si="0"/>
        <v>0</v>
      </c>
      <c r="K24" s="25">
        <f t="shared" si="1"/>
        <v>0</v>
      </c>
      <c r="L24" s="25">
        <f t="shared" si="2"/>
        <v>0</v>
      </c>
      <c r="M24">
        <v>30</v>
      </c>
      <c r="N24" s="20" t="s">
        <v>344</v>
      </c>
      <c r="O24" s="26">
        <v>0</v>
      </c>
      <c r="P24" s="26">
        <v>0</v>
      </c>
      <c r="Q24" s="26">
        <v>0</v>
      </c>
      <c r="R24" s="26"/>
      <c r="S24" s="20">
        <f>'Apps &amp; Goals 26-27'!F22</f>
        <v>0</v>
      </c>
      <c r="T24" s="20">
        <f>'Apps &amp; Goals 26-27'!G22</f>
        <v>0</v>
      </c>
      <c r="U24" s="20">
        <f>'Apps &amp; Goals 26-27'!H22</f>
        <v>0</v>
      </c>
      <c r="V24" s="26">
        <f t="shared" si="3"/>
        <v>0</v>
      </c>
      <c r="W24" s="26">
        <f t="shared" si="4"/>
        <v>0</v>
      </c>
      <c r="X24" s="26">
        <f t="shared" si="5"/>
        <v>0</v>
      </c>
      <c r="Z24" s="57" t="s">
        <v>344</v>
      </c>
      <c r="AA24" s="24">
        <v>0</v>
      </c>
      <c r="AB24" s="24">
        <v>0</v>
      </c>
      <c r="AC24" s="24">
        <v>0</v>
      </c>
      <c r="AD24" s="24"/>
      <c r="AE24" s="57">
        <f>'Apps &amp; Goals 26-27'!I22</f>
        <v>0</v>
      </c>
      <c r="AF24" s="57">
        <f>'Apps &amp; Goals 26-27'!J22</f>
        <v>0</v>
      </c>
      <c r="AG24" s="57">
        <f>'Apps &amp; Goals 26-27'!K22</f>
        <v>0</v>
      </c>
      <c r="AH24" s="24">
        <f t="shared" si="6"/>
        <v>0</v>
      </c>
      <c r="AI24" s="24">
        <f t="shared" si="7"/>
        <v>0</v>
      </c>
      <c r="AJ24" s="24">
        <f t="shared" si="8"/>
        <v>0</v>
      </c>
      <c r="AL24" s="63" t="s">
        <v>344</v>
      </c>
      <c r="AM24" s="18">
        <v>0</v>
      </c>
      <c r="AN24" s="18">
        <v>0</v>
      </c>
      <c r="AO24" s="18">
        <v>0</v>
      </c>
      <c r="AP24" s="18"/>
      <c r="AQ24" s="63">
        <f>'Apps &amp; Goals 26-27'!L22</f>
        <v>0</v>
      </c>
      <c r="AR24" s="63">
        <f>'Apps &amp; Goals 26-27'!M22</f>
        <v>0</v>
      </c>
      <c r="AS24" s="63">
        <f>'Apps &amp; Goals 26-27'!N22</f>
        <v>0</v>
      </c>
      <c r="AT24" s="18">
        <f t="shared" si="9"/>
        <v>0</v>
      </c>
      <c r="AU24" s="18">
        <f t="shared" si="10"/>
        <v>0</v>
      </c>
      <c r="AV24" s="18">
        <f t="shared" si="11"/>
        <v>0</v>
      </c>
      <c r="AX24" s="64" t="s">
        <v>344</v>
      </c>
      <c r="AY24" s="33">
        <v>0</v>
      </c>
      <c r="AZ24" s="33">
        <v>0</v>
      </c>
      <c r="BA24" s="33">
        <v>0</v>
      </c>
      <c r="BB24" s="33"/>
      <c r="BC24" s="64">
        <f>'Apps &amp; Goals 26-27'!O22</f>
        <v>0</v>
      </c>
      <c r="BD24" s="64">
        <f>'Apps &amp; Goals 26-27'!P22</f>
        <v>0</v>
      </c>
      <c r="BE24" s="64">
        <f>'Apps &amp; Goals 26-27'!Q22</f>
        <v>0</v>
      </c>
      <c r="BF24" s="33">
        <f t="shared" si="12"/>
        <v>0</v>
      </c>
      <c r="BG24" s="33">
        <f t="shared" si="13"/>
        <v>0</v>
      </c>
      <c r="BH24" s="33">
        <f t="shared" si="14"/>
        <v>0</v>
      </c>
    </row>
    <row r="25" spans="1:60" ht="15.6" customHeight="1" x14ac:dyDescent="0.25">
      <c r="A25" s="56">
        <v>33</v>
      </c>
      <c r="B25" s="22" t="s">
        <v>291</v>
      </c>
      <c r="C25" s="25">
        <v>45</v>
      </c>
      <c r="D25" s="25">
        <v>3</v>
      </c>
      <c r="E25" s="25">
        <v>3</v>
      </c>
      <c r="F25" s="25"/>
      <c r="G25" s="21">
        <f>'Apps &amp; Goals 26-27'!C23</f>
        <v>6</v>
      </c>
      <c r="H25" s="21">
        <f>'Apps &amp; Goals 26-27'!D23</f>
        <v>1</v>
      </c>
      <c r="I25" s="21">
        <f>'Apps &amp; Goals 26-27'!E23</f>
        <v>2</v>
      </c>
      <c r="J25" s="25">
        <f t="shared" si="0"/>
        <v>51</v>
      </c>
      <c r="K25" s="25">
        <f t="shared" si="1"/>
        <v>4</v>
      </c>
      <c r="L25" s="25">
        <f t="shared" si="2"/>
        <v>5</v>
      </c>
      <c r="M25">
        <v>33</v>
      </c>
      <c r="N25" s="20" t="s">
        <v>291</v>
      </c>
      <c r="O25" s="26">
        <v>14</v>
      </c>
      <c r="P25" s="26">
        <v>1</v>
      </c>
      <c r="Q25" s="26">
        <v>2</v>
      </c>
      <c r="R25" s="26"/>
      <c r="S25" s="20">
        <f>'Apps &amp; Goals 26-27'!F23</f>
        <v>0</v>
      </c>
      <c r="T25" s="20">
        <f>'Apps &amp; Goals 26-27'!G23</f>
        <v>0</v>
      </c>
      <c r="U25" s="20">
        <f>'Apps &amp; Goals 26-27'!H23</f>
        <v>0</v>
      </c>
      <c r="V25" s="26">
        <f t="shared" si="3"/>
        <v>14</v>
      </c>
      <c r="W25" s="26">
        <f t="shared" si="4"/>
        <v>1</v>
      </c>
      <c r="X25" s="26">
        <f t="shared" si="5"/>
        <v>2</v>
      </c>
      <c r="Z25" s="57" t="s">
        <v>291</v>
      </c>
      <c r="AA25" s="24">
        <v>2</v>
      </c>
      <c r="AB25" s="24">
        <v>0</v>
      </c>
      <c r="AC25" s="24">
        <v>0</v>
      </c>
      <c r="AD25" s="24"/>
      <c r="AE25" s="57">
        <f>'Apps &amp; Goals 26-27'!I23</f>
        <v>0</v>
      </c>
      <c r="AF25" s="57">
        <f>'Apps &amp; Goals 26-27'!J23</f>
        <v>0</v>
      </c>
      <c r="AG25" s="57">
        <f>'Apps &amp; Goals 26-27'!K23</f>
        <v>0</v>
      </c>
      <c r="AH25" s="24">
        <f t="shared" si="6"/>
        <v>2</v>
      </c>
      <c r="AI25" s="24">
        <f t="shared" si="7"/>
        <v>0</v>
      </c>
      <c r="AJ25" s="24">
        <f t="shared" si="8"/>
        <v>0</v>
      </c>
      <c r="AL25" s="63" t="s">
        <v>291</v>
      </c>
      <c r="AM25" s="18">
        <v>4</v>
      </c>
      <c r="AN25" s="18">
        <v>0</v>
      </c>
      <c r="AO25" s="18">
        <v>0</v>
      </c>
      <c r="AP25" s="18"/>
      <c r="AQ25" s="63">
        <f>'Apps &amp; Goals 26-27'!L23</f>
        <v>0</v>
      </c>
      <c r="AR25" s="63">
        <f>'Apps &amp; Goals 26-27'!M23</f>
        <v>0</v>
      </c>
      <c r="AS25" s="63">
        <f>'Apps &amp; Goals 26-27'!N23</f>
        <v>0</v>
      </c>
      <c r="AT25" s="18">
        <f t="shared" si="9"/>
        <v>4</v>
      </c>
      <c r="AU25" s="18">
        <f t="shared" si="10"/>
        <v>0</v>
      </c>
      <c r="AV25" s="18">
        <f t="shared" si="11"/>
        <v>0</v>
      </c>
      <c r="AX25" s="64" t="s">
        <v>291</v>
      </c>
      <c r="AY25" s="33">
        <v>0</v>
      </c>
      <c r="AZ25" s="33">
        <v>0</v>
      </c>
      <c r="BA25" s="33">
        <v>0</v>
      </c>
      <c r="BB25" s="33"/>
      <c r="BC25" s="64">
        <f>'Apps &amp; Goals 26-27'!O23</f>
        <v>1</v>
      </c>
      <c r="BD25" s="64">
        <f>'Apps &amp; Goals 26-27'!P23</f>
        <v>1</v>
      </c>
      <c r="BE25" s="64">
        <f>'Apps &amp; Goals 26-27'!Q23</f>
        <v>0</v>
      </c>
      <c r="BF25" s="33">
        <f t="shared" si="12"/>
        <v>1</v>
      </c>
      <c r="BG25" s="33">
        <f t="shared" si="13"/>
        <v>1</v>
      </c>
      <c r="BH25" s="33">
        <f t="shared" si="14"/>
        <v>0</v>
      </c>
    </row>
    <row r="26" spans="1:60" ht="15.6" customHeight="1" x14ac:dyDescent="0.25">
      <c r="A26" s="56">
        <v>35</v>
      </c>
      <c r="B26" s="22" t="s">
        <v>303</v>
      </c>
      <c r="C26" s="25">
        <v>0</v>
      </c>
      <c r="D26" s="25">
        <v>0</v>
      </c>
      <c r="E26" s="25">
        <v>0</v>
      </c>
      <c r="F26" s="25"/>
      <c r="G26" s="21">
        <f>'Apps &amp; Goals 26-27'!C24</f>
        <v>0</v>
      </c>
      <c r="H26" s="21">
        <f>'Apps &amp; Goals 26-27'!D24</f>
        <v>0</v>
      </c>
      <c r="I26" s="21">
        <f>'Apps &amp; Goals 26-27'!E24</f>
        <v>0</v>
      </c>
      <c r="J26" s="25">
        <f t="shared" si="0"/>
        <v>0</v>
      </c>
      <c r="K26" s="25">
        <f t="shared" si="1"/>
        <v>0</v>
      </c>
      <c r="L26" s="25">
        <f t="shared" si="2"/>
        <v>0</v>
      </c>
      <c r="M26">
        <v>35</v>
      </c>
      <c r="N26" s="20" t="s">
        <v>303</v>
      </c>
      <c r="O26" s="26">
        <v>0</v>
      </c>
      <c r="P26" s="26">
        <v>0</v>
      </c>
      <c r="Q26" s="26">
        <v>0</v>
      </c>
      <c r="R26" s="26"/>
      <c r="S26" s="20">
        <f>'Apps &amp; Goals 26-27'!F24</f>
        <v>0</v>
      </c>
      <c r="T26" s="20">
        <f>'Apps &amp; Goals 26-27'!G24</f>
        <v>0</v>
      </c>
      <c r="U26" s="20">
        <f>'Apps &amp; Goals 26-27'!H24</f>
        <v>0</v>
      </c>
      <c r="V26" s="26">
        <f t="shared" si="3"/>
        <v>0</v>
      </c>
      <c r="W26" s="26">
        <f t="shared" si="4"/>
        <v>0</v>
      </c>
      <c r="X26" s="26">
        <f t="shared" si="5"/>
        <v>0</v>
      </c>
      <c r="Z26" s="57" t="s">
        <v>303</v>
      </c>
      <c r="AA26" s="24">
        <v>1</v>
      </c>
      <c r="AB26" s="24">
        <v>0</v>
      </c>
      <c r="AC26" s="24">
        <v>0</v>
      </c>
      <c r="AD26" s="24"/>
      <c r="AE26" s="57">
        <f>'Apps &amp; Goals 26-27'!I24</f>
        <v>0</v>
      </c>
      <c r="AF26" s="57">
        <f>'Apps &amp; Goals 26-27'!J24</f>
        <v>0</v>
      </c>
      <c r="AG26" s="57">
        <f>'Apps &amp; Goals 26-27'!K24</f>
        <v>0</v>
      </c>
      <c r="AH26" s="24">
        <f t="shared" si="6"/>
        <v>1</v>
      </c>
      <c r="AI26" s="24">
        <f t="shared" si="7"/>
        <v>0</v>
      </c>
      <c r="AJ26" s="24">
        <f t="shared" si="8"/>
        <v>0</v>
      </c>
      <c r="AL26" s="63" t="s">
        <v>303</v>
      </c>
      <c r="AM26" s="18">
        <v>1</v>
      </c>
      <c r="AN26" s="18">
        <v>0</v>
      </c>
      <c r="AO26" s="18">
        <v>0</v>
      </c>
      <c r="AP26" s="18"/>
      <c r="AQ26" s="63">
        <f>'Apps &amp; Goals 26-27'!L24</f>
        <v>0</v>
      </c>
      <c r="AR26" s="63">
        <f>'Apps &amp; Goals 26-27'!M24</f>
        <v>0</v>
      </c>
      <c r="AS26" s="63">
        <f>'Apps &amp; Goals 26-27'!N24</f>
        <v>0</v>
      </c>
      <c r="AT26" s="18">
        <f t="shared" si="9"/>
        <v>1</v>
      </c>
      <c r="AU26" s="18">
        <f t="shared" si="10"/>
        <v>0</v>
      </c>
      <c r="AV26" s="18">
        <f t="shared" si="11"/>
        <v>0</v>
      </c>
      <c r="AX26" s="64" t="s">
        <v>303</v>
      </c>
      <c r="AY26" s="33">
        <v>0</v>
      </c>
      <c r="AZ26" s="33">
        <v>0</v>
      </c>
      <c r="BA26" s="33">
        <v>0</v>
      </c>
      <c r="BB26" s="33"/>
      <c r="BC26" s="64">
        <f>'Apps &amp; Goals 26-27'!O24</f>
        <v>0</v>
      </c>
      <c r="BD26" s="64">
        <f>'Apps &amp; Goals 26-27'!P24</f>
        <v>0</v>
      </c>
      <c r="BE26" s="64">
        <f>'Apps &amp; Goals 26-27'!Q24</f>
        <v>0</v>
      </c>
      <c r="BF26" s="33">
        <f t="shared" si="12"/>
        <v>0</v>
      </c>
      <c r="BG26" s="33">
        <f t="shared" si="13"/>
        <v>0</v>
      </c>
      <c r="BH26" s="33">
        <f t="shared" si="14"/>
        <v>0</v>
      </c>
    </row>
    <row r="27" spans="1:60" ht="15.6" customHeight="1" x14ac:dyDescent="0.25">
      <c r="A27" s="56">
        <v>36</v>
      </c>
      <c r="B27" s="22" t="s">
        <v>313</v>
      </c>
      <c r="C27" s="25">
        <v>38</v>
      </c>
      <c r="D27" s="25">
        <v>5</v>
      </c>
      <c r="E27" s="25">
        <v>1</v>
      </c>
      <c r="F27" s="25"/>
      <c r="G27" s="21">
        <f>'Apps &amp; Goals 26-27'!C25</f>
        <v>5</v>
      </c>
      <c r="H27" s="21">
        <f>'Apps &amp; Goals 26-27'!D25</f>
        <v>0</v>
      </c>
      <c r="I27" s="21">
        <f>'Apps &amp; Goals 26-27'!E25</f>
        <v>0</v>
      </c>
      <c r="J27" s="25">
        <f t="shared" si="0"/>
        <v>43</v>
      </c>
      <c r="K27" s="25">
        <f t="shared" si="1"/>
        <v>5</v>
      </c>
      <c r="L27" s="25">
        <f t="shared" si="2"/>
        <v>1</v>
      </c>
      <c r="M27">
        <v>36</v>
      </c>
      <c r="N27" s="20" t="s">
        <v>313</v>
      </c>
      <c r="O27" s="26">
        <v>13</v>
      </c>
      <c r="P27" s="26">
        <v>0</v>
      </c>
      <c r="Q27" s="26">
        <v>2</v>
      </c>
      <c r="R27" s="26"/>
      <c r="S27" s="20">
        <f>'Apps &amp; Goals 26-27'!F25</f>
        <v>1</v>
      </c>
      <c r="T27" s="20">
        <f>'Apps &amp; Goals 26-27'!G25</f>
        <v>0</v>
      </c>
      <c r="U27" s="20">
        <f>'Apps &amp; Goals 26-27'!H25</f>
        <v>0</v>
      </c>
      <c r="V27" s="26">
        <f t="shared" si="3"/>
        <v>14</v>
      </c>
      <c r="W27" s="26">
        <f t="shared" si="4"/>
        <v>0</v>
      </c>
      <c r="X27" s="26">
        <f t="shared" si="5"/>
        <v>2</v>
      </c>
      <c r="Z27" s="57" t="s">
        <v>313</v>
      </c>
      <c r="AA27" s="24">
        <v>3</v>
      </c>
      <c r="AB27" s="24">
        <v>0</v>
      </c>
      <c r="AC27" s="24">
        <v>0</v>
      </c>
      <c r="AD27" s="24"/>
      <c r="AE27" s="57">
        <f>'Apps &amp; Goals 26-27'!I25</f>
        <v>0</v>
      </c>
      <c r="AF27" s="57">
        <f>'Apps &amp; Goals 26-27'!J25</f>
        <v>0</v>
      </c>
      <c r="AG27" s="57">
        <f>'Apps &amp; Goals 26-27'!K25</f>
        <v>0</v>
      </c>
      <c r="AH27" s="24">
        <f t="shared" si="6"/>
        <v>3</v>
      </c>
      <c r="AI27" s="24">
        <f t="shared" si="7"/>
        <v>0</v>
      </c>
      <c r="AJ27" s="24">
        <f t="shared" si="8"/>
        <v>0</v>
      </c>
      <c r="AL27" s="63" t="s">
        <v>313</v>
      </c>
      <c r="AM27" s="18">
        <v>3</v>
      </c>
      <c r="AN27" s="18">
        <v>1</v>
      </c>
      <c r="AO27" s="18">
        <v>0</v>
      </c>
      <c r="AP27" s="18"/>
      <c r="AQ27" s="63">
        <f>'Apps &amp; Goals 26-27'!L25</f>
        <v>1</v>
      </c>
      <c r="AR27" s="63">
        <f>'Apps &amp; Goals 26-27'!M25</f>
        <v>0</v>
      </c>
      <c r="AS27" s="63">
        <f>'Apps &amp; Goals 26-27'!N25</f>
        <v>1</v>
      </c>
      <c r="AT27" s="18">
        <f t="shared" si="9"/>
        <v>4</v>
      </c>
      <c r="AU27" s="18">
        <f t="shared" si="10"/>
        <v>1</v>
      </c>
      <c r="AV27" s="18">
        <f t="shared" si="11"/>
        <v>1</v>
      </c>
      <c r="AX27" s="64" t="s">
        <v>313</v>
      </c>
      <c r="AY27" s="33">
        <v>0</v>
      </c>
      <c r="AZ27" s="33">
        <v>0</v>
      </c>
      <c r="BA27" s="33">
        <v>0</v>
      </c>
      <c r="BB27" s="33"/>
      <c r="BC27" s="64">
        <f>'Apps &amp; Goals 26-27'!O25</f>
        <v>1</v>
      </c>
      <c r="BD27" s="64">
        <f>'Apps &amp; Goals 26-27'!P25</f>
        <v>0</v>
      </c>
      <c r="BE27" s="64">
        <f>'Apps &amp; Goals 26-27'!Q25</f>
        <v>0</v>
      </c>
      <c r="BF27" s="33">
        <f t="shared" si="12"/>
        <v>1</v>
      </c>
      <c r="BG27" s="33">
        <f t="shared" si="13"/>
        <v>0</v>
      </c>
      <c r="BH27" s="33">
        <f t="shared" si="14"/>
        <v>0</v>
      </c>
    </row>
    <row r="28" spans="1:60" ht="15.6" customHeight="1" x14ac:dyDescent="0.25">
      <c r="A28" s="56">
        <v>39</v>
      </c>
      <c r="B28" s="22" t="s">
        <v>345</v>
      </c>
      <c r="C28" s="25">
        <v>0</v>
      </c>
      <c r="D28" s="25">
        <v>0</v>
      </c>
      <c r="E28" s="25">
        <v>0</v>
      </c>
      <c r="F28" s="25"/>
      <c r="G28" s="21">
        <f>'Apps &amp; Goals 26-27'!C26</f>
        <v>4</v>
      </c>
      <c r="H28" s="21">
        <f>'Apps &amp; Goals 26-27'!D26</f>
        <v>2</v>
      </c>
      <c r="I28" s="21">
        <f>'Apps &amp; Goals 26-27'!E26</f>
        <v>0</v>
      </c>
      <c r="J28" s="25">
        <f t="shared" si="0"/>
        <v>4</v>
      </c>
      <c r="K28" s="25">
        <f t="shared" si="1"/>
        <v>2</v>
      </c>
      <c r="L28" s="25">
        <f t="shared" si="2"/>
        <v>0</v>
      </c>
      <c r="M28">
        <v>39</v>
      </c>
      <c r="N28" s="20" t="s">
        <v>345</v>
      </c>
      <c r="O28" s="26">
        <v>0</v>
      </c>
      <c r="P28" s="26">
        <v>0</v>
      </c>
      <c r="Q28" s="26">
        <v>0</v>
      </c>
      <c r="R28" s="26"/>
      <c r="S28" s="20">
        <f>'Apps &amp; Goals 26-27'!F26</f>
        <v>1</v>
      </c>
      <c r="T28" s="20">
        <f>'Apps &amp; Goals 26-27'!G26</f>
        <v>0</v>
      </c>
      <c r="U28" s="20">
        <f>'Apps &amp; Goals 26-27'!H26</f>
        <v>0</v>
      </c>
      <c r="V28" s="26">
        <f t="shared" si="3"/>
        <v>1</v>
      </c>
      <c r="W28" s="26">
        <f t="shared" si="4"/>
        <v>0</v>
      </c>
      <c r="X28" s="26">
        <f t="shared" si="5"/>
        <v>0</v>
      </c>
      <c r="Z28" s="57" t="s">
        <v>345</v>
      </c>
      <c r="AA28" s="24">
        <v>0</v>
      </c>
      <c r="AB28" s="24">
        <v>0</v>
      </c>
      <c r="AC28" s="24">
        <v>0</v>
      </c>
      <c r="AD28" s="24"/>
      <c r="AE28" s="57">
        <f>'Apps &amp; Goals 26-27'!I26</f>
        <v>0</v>
      </c>
      <c r="AF28" s="57">
        <f>'Apps &amp; Goals 26-27'!J26</f>
        <v>0</v>
      </c>
      <c r="AG28" s="57">
        <f>'Apps &amp; Goals 26-27'!K26</f>
        <v>0</v>
      </c>
      <c r="AH28" s="24">
        <f t="shared" si="6"/>
        <v>0</v>
      </c>
      <c r="AI28" s="24">
        <f t="shared" si="7"/>
        <v>0</v>
      </c>
      <c r="AJ28" s="24">
        <f t="shared" si="8"/>
        <v>0</v>
      </c>
      <c r="AL28" s="63" t="s">
        <v>345</v>
      </c>
      <c r="AM28" s="18">
        <v>0</v>
      </c>
      <c r="AN28" s="18">
        <v>0</v>
      </c>
      <c r="AO28" s="18">
        <v>0</v>
      </c>
      <c r="AP28" s="18"/>
      <c r="AQ28" s="63">
        <f>'Apps &amp; Goals 26-27'!L26</f>
        <v>1</v>
      </c>
      <c r="AR28" s="63">
        <f>'Apps &amp; Goals 26-27'!M26</f>
        <v>0</v>
      </c>
      <c r="AS28" s="63">
        <f>'Apps &amp; Goals 26-27'!N26</f>
        <v>0</v>
      </c>
      <c r="AT28" s="18">
        <f t="shared" si="9"/>
        <v>1</v>
      </c>
      <c r="AU28" s="18">
        <f t="shared" si="10"/>
        <v>0</v>
      </c>
      <c r="AV28" s="18">
        <f t="shared" si="11"/>
        <v>0</v>
      </c>
      <c r="AX28" s="64" t="s">
        <v>345</v>
      </c>
      <c r="AY28" s="33">
        <v>0</v>
      </c>
      <c r="AZ28" s="33">
        <v>0</v>
      </c>
      <c r="BA28" s="33">
        <v>0</v>
      </c>
      <c r="BB28" s="33"/>
      <c r="BC28" s="64">
        <f>'Apps &amp; Goals 26-27'!O26</f>
        <v>1</v>
      </c>
      <c r="BD28" s="64">
        <f>'Apps &amp; Goals 26-27'!P26</f>
        <v>0</v>
      </c>
      <c r="BE28" s="64">
        <f>'Apps &amp; Goals 26-27'!Q26</f>
        <v>0</v>
      </c>
      <c r="BF28" s="33">
        <f t="shared" si="12"/>
        <v>1</v>
      </c>
      <c r="BG28" s="33">
        <f t="shared" si="13"/>
        <v>0</v>
      </c>
      <c r="BH28" s="33">
        <f t="shared" si="14"/>
        <v>0</v>
      </c>
    </row>
    <row r="29" spans="1:60" x14ac:dyDescent="0.25">
      <c r="A29" s="4">
        <v>52</v>
      </c>
      <c r="B29" s="22" t="s">
        <v>341</v>
      </c>
      <c r="C29" s="25">
        <v>0</v>
      </c>
      <c r="D29" s="25">
        <v>0</v>
      </c>
      <c r="E29" s="25">
        <v>0</v>
      </c>
      <c r="F29" s="25"/>
      <c r="G29" s="21">
        <f>'Apps &amp; Goals 26-27'!C27</f>
        <v>0</v>
      </c>
      <c r="H29" s="21">
        <f>'Apps &amp; Goals 26-27'!D27</f>
        <v>0</v>
      </c>
      <c r="I29" s="21">
        <f>'Apps &amp; Goals 26-27'!E27</f>
        <v>0</v>
      </c>
      <c r="J29" s="25">
        <f t="shared" si="0"/>
        <v>0</v>
      </c>
      <c r="K29" s="25">
        <f t="shared" si="1"/>
        <v>0</v>
      </c>
      <c r="L29" s="25">
        <f t="shared" si="2"/>
        <v>0</v>
      </c>
      <c r="M29">
        <v>40</v>
      </c>
      <c r="N29" s="45" t="s">
        <v>341</v>
      </c>
      <c r="O29" s="26">
        <v>0</v>
      </c>
      <c r="P29" s="26">
        <v>0</v>
      </c>
      <c r="Q29" s="26">
        <v>0</v>
      </c>
      <c r="R29" s="26"/>
      <c r="S29" s="20">
        <f>'Apps &amp; Goals 26-27'!F27</f>
        <v>0</v>
      </c>
      <c r="T29" s="20">
        <f>'Apps &amp; Goals 26-27'!G27</f>
        <v>0</v>
      </c>
      <c r="U29" s="20">
        <f>'Apps &amp; Goals 26-27'!H27</f>
        <v>0</v>
      </c>
      <c r="V29" s="26">
        <f t="shared" si="3"/>
        <v>0</v>
      </c>
      <c r="W29" s="26">
        <f t="shared" si="4"/>
        <v>0</v>
      </c>
      <c r="X29" s="26">
        <f t="shared" si="5"/>
        <v>0</v>
      </c>
      <c r="Z29" s="57" t="s">
        <v>341</v>
      </c>
      <c r="AA29" s="24">
        <v>1</v>
      </c>
      <c r="AB29" s="24">
        <v>0</v>
      </c>
      <c r="AC29" s="24">
        <v>0</v>
      </c>
      <c r="AD29" s="24"/>
      <c r="AE29" s="57">
        <f>'Apps &amp; Goals 26-27'!I27</f>
        <v>0</v>
      </c>
      <c r="AF29" s="57">
        <f>'Apps &amp; Goals 26-27'!J27</f>
        <v>0</v>
      </c>
      <c r="AG29" s="57">
        <f>'Apps &amp; Goals 26-27'!K27</f>
        <v>0</v>
      </c>
      <c r="AH29" s="24">
        <f t="shared" si="6"/>
        <v>1</v>
      </c>
      <c r="AI29" s="24">
        <f t="shared" si="7"/>
        <v>0</v>
      </c>
      <c r="AJ29" s="24">
        <f t="shared" si="8"/>
        <v>0</v>
      </c>
      <c r="AL29" s="63" t="s">
        <v>341</v>
      </c>
      <c r="AM29" s="18">
        <v>0</v>
      </c>
      <c r="AN29" s="18">
        <v>0</v>
      </c>
      <c r="AO29" s="18">
        <v>0</v>
      </c>
      <c r="AP29" s="18"/>
      <c r="AQ29" s="63">
        <f>'Apps &amp; Goals 26-27'!L27</f>
        <v>0</v>
      </c>
      <c r="AR29" s="63">
        <f>'Apps &amp; Goals 26-27'!M27</f>
        <v>0</v>
      </c>
      <c r="AS29" s="63">
        <f>'Apps &amp; Goals 26-27'!N27</f>
        <v>0</v>
      </c>
      <c r="AT29" s="18">
        <f t="shared" si="9"/>
        <v>0</v>
      </c>
      <c r="AU29" s="18">
        <f t="shared" si="10"/>
        <v>0</v>
      </c>
      <c r="AV29" s="18">
        <f t="shared" si="11"/>
        <v>0</v>
      </c>
      <c r="AX29" s="32" t="s">
        <v>341</v>
      </c>
      <c r="AY29" s="33">
        <v>0</v>
      </c>
      <c r="AZ29" s="33">
        <v>0</v>
      </c>
      <c r="BA29" s="33">
        <v>0</v>
      </c>
      <c r="BB29" s="33"/>
      <c r="BC29" s="64">
        <f>'Apps &amp; Goals 26-27'!O27</f>
        <v>0</v>
      </c>
      <c r="BD29" s="64">
        <f>'Apps &amp; Goals 26-27'!P27</f>
        <v>0</v>
      </c>
      <c r="BE29" s="64">
        <f>'Apps &amp; Goals 26-27'!Q27</f>
        <v>0</v>
      </c>
      <c r="BF29" s="33">
        <f t="shared" si="12"/>
        <v>0</v>
      </c>
      <c r="BG29" s="33">
        <f t="shared" si="13"/>
        <v>0</v>
      </c>
      <c r="BH29" s="33">
        <f t="shared" si="14"/>
        <v>0</v>
      </c>
    </row>
    <row r="30" spans="1:60" x14ac:dyDescent="0.25">
      <c r="A30" s="4">
        <v>41</v>
      </c>
      <c r="B30" s="22" t="s">
        <v>277</v>
      </c>
      <c r="C30" s="25">
        <v>109</v>
      </c>
      <c r="D30" s="25">
        <v>15</v>
      </c>
      <c r="E30" s="25">
        <v>20</v>
      </c>
      <c r="F30" s="25"/>
      <c r="G30" s="21">
        <f>'Apps &amp; Goals 26-27'!C28</f>
        <v>6</v>
      </c>
      <c r="H30" s="21">
        <f>'Apps &amp; Goals 26-27'!D28</f>
        <v>0</v>
      </c>
      <c r="I30" s="21">
        <f>'Apps &amp; Goals 26-27'!E28</f>
        <v>3</v>
      </c>
      <c r="J30" s="25">
        <f t="shared" si="0"/>
        <v>115</v>
      </c>
      <c r="K30" s="25">
        <f t="shared" si="1"/>
        <v>15</v>
      </c>
      <c r="L30" s="25">
        <f t="shared" si="2"/>
        <v>23</v>
      </c>
      <c r="M30">
        <v>41</v>
      </c>
      <c r="N30" s="45" t="s">
        <v>277</v>
      </c>
      <c r="O30" s="26">
        <v>36</v>
      </c>
      <c r="P30" s="26">
        <v>5</v>
      </c>
      <c r="Q30" s="26">
        <v>5</v>
      </c>
      <c r="R30" s="26"/>
      <c r="S30" s="20">
        <f>'Apps &amp; Goals 26-27'!F28</f>
        <v>1</v>
      </c>
      <c r="T30" s="20">
        <f>'Apps &amp; Goals 26-27'!G28</f>
        <v>0</v>
      </c>
      <c r="U30" s="20">
        <f>'Apps &amp; Goals 26-27'!H28</f>
        <v>0</v>
      </c>
      <c r="V30" s="26">
        <f t="shared" si="3"/>
        <v>37</v>
      </c>
      <c r="W30" s="26">
        <f t="shared" si="4"/>
        <v>5</v>
      </c>
      <c r="X30" s="26">
        <f t="shared" si="5"/>
        <v>5</v>
      </c>
      <c r="Z30" s="57" t="s">
        <v>277</v>
      </c>
      <c r="AA30" s="24">
        <v>2</v>
      </c>
      <c r="AB30" s="24">
        <v>0</v>
      </c>
      <c r="AC30" s="24">
        <v>0</v>
      </c>
      <c r="AD30" s="24"/>
      <c r="AE30" s="57">
        <f>'Apps &amp; Goals 26-27'!I28</f>
        <v>0</v>
      </c>
      <c r="AF30" s="57">
        <f>'Apps &amp; Goals 26-27'!J28</f>
        <v>0</v>
      </c>
      <c r="AG30" s="57">
        <f>'Apps &amp; Goals 26-27'!K28</f>
        <v>0</v>
      </c>
      <c r="AH30" s="24">
        <f t="shared" si="6"/>
        <v>2</v>
      </c>
      <c r="AI30" s="24">
        <f t="shared" si="7"/>
        <v>0</v>
      </c>
      <c r="AJ30" s="24">
        <f t="shared" si="8"/>
        <v>0</v>
      </c>
      <c r="AL30" s="63" t="s">
        <v>277</v>
      </c>
      <c r="AM30" s="18">
        <v>10</v>
      </c>
      <c r="AN30" s="18">
        <v>1</v>
      </c>
      <c r="AO30" s="18">
        <v>3</v>
      </c>
      <c r="AP30" s="18"/>
      <c r="AQ30" s="63">
        <f>'Apps &amp; Goals 26-27'!L28</f>
        <v>0</v>
      </c>
      <c r="AR30" s="63">
        <f>'Apps &amp; Goals 26-27'!M28</f>
        <v>0</v>
      </c>
      <c r="AS30" s="63">
        <f>'Apps &amp; Goals 26-27'!N28</f>
        <v>0</v>
      </c>
      <c r="AT30" s="18">
        <f t="shared" si="9"/>
        <v>10</v>
      </c>
      <c r="AU30" s="18">
        <f t="shared" si="10"/>
        <v>1</v>
      </c>
      <c r="AV30" s="18">
        <f t="shared" si="11"/>
        <v>3</v>
      </c>
      <c r="AX30" s="32" t="s">
        <v>277</v>
      </c>
      <c r="AY30" s="33">
        <v>1</v>
      </c>
      <c r="AZ30" s="33">
        <v>0</v>
      </c>
      <c r="BA30" s="33">
        <v>0</v>
      </c>
      <c r="BB30" s="33"/>
      <c r="BC30" s="64">
        <f>'Apps &amp; Goals 26-27'!O28</f>
        <v>1</v>
      </c>
      <c r="BD30" s="64">
        <f>'Apps &amp; Goals 26-27'!P28</f>
        <v>0</v>
      </c>
      <c r="BE30" s="64">
        <f>'Apps &amp; Goals 26-27'!Q28</f>
        <v>0</v>
      </c>
      <c r="BF30" s="33">
        <f t="shared" si="12"/>
        <v>2</v>
      </c>
      <c r="BG30" s="33">
        <f t="shared" si="13"/>
        <v>0</v>
      </c>
      <c r="BH30" s="33">
        <f t="shared" si="14"/>
        <v>0</v>
      </c>
    </row>
    <row r="31" spans="1:60" x14ac:dyDescent="0.25">
      <c r="A31" s="56">
        <v>71</v>
      </c>
      <c r="B31" s="22" t="s">
        <v>327</v>
      </c>
      <c r="C31" s="25">
        <v>0</v>
      </c>
      <c r="D31" s="25">
        <v>0</v>
      </c>
      <c r="E31" s="25">
        <v>0</v>
      </c>
      <c r="F31" s="25"/>
      <c r="G31" s="21">
        <f>'Apps &amp; Goals 26-27'!C29</f>
        <v>0</v>
      </c>
      <c r="H31" s="21">
        <f>'Apps &amp; Goals 26-27'!D29</f>
        <v>0</v>
      </c>
      <c r="I31" s="21">
        <f>'Apps &amp; Goals 26-27'!E29</f>
        <v>0</v>
      </c>
      <c r="J31" s="25">
        <f t="shared" si="0"/>
        <v>0</v>
      </c>
      <c r="K31" s="25">
        <f t="shared" si="1"/>
        <v>0</v>
      </c>
      <c r="L31" s="25">
        <f t="shared" si="2"/>
        <v>0</v>
      </c>
      <c r="M31">
        <v>43</v>
      </c>
      <c r="N31" s="45" t="s">
        <v>327</v>
      </c>
      <c r="O31" s="26">
        <v>1</v>
      </c>
      <c r="P31" s="26">
        <v>0</v>
      </c>
      <c r="Q31" s="26">
        <v>0</v>
      </c>
      <c r="R31" s="26"/>
      <c r="S31" s="20">
        <f>'Apps &amp; Goals 26-27'!F29</f>
        <v>0</v>
      </c>
      <c r="T31" s="20">
        <f>'Apps &amp; Goals 26-27'!G29</f>
        <v>0</v>
      </c>
      <c r="U31" s="20">
        <f>'Apps &amp; Goals 26-27'!H29</f>
        <v>0</v>
      </c>
      <c r="V31" s="26">
        <f t="shared" si="3"/>
        <v>1</v>
      </c>
      <c r="W31" s="26">
        <f t="shared" si="4"/>
        <v>0</v>
      </c>
      <c r="X31" s="26">
        <f t="shared" si="5"/>
        <v>0</v>
      </c>
      <c r="Z31" s="23" t="s">
        <v>327</v>
      </c>
      <c r="AA31" s="24">
        <v>0</v>
      </c>
      <c r="AB31" s="24">
        <v>0</v>
      </c>
      <c r="AC31" s="24">
        <v>0</v>
      </c>
      <c r="AD31" s="24"/>
      <c r="AE31" s="57">
        <f>'Apps &amp; Goals 26-27'!I29</f>
        <v>0</v>
      </c>
      <c r="AF31" s="57">
        <f>'Apps &amp; Goals 26-27'!J29</f>
        <v>0</v>
      </c>
      <c r="AG31" s="57">
        <f>'Apps &amp; Goals 26-27'!K29</f>
        <v>0</v>
      </c>
      <c r="AH31" s="24">
        <f t="shared" si="6"/>
        <v>0</v>
      </c>
      <c r="AI31" s="24">
        <f t="shared" si="7"/>
        <v>0</v>
      </c>
      <c r="AJ31" s="24">
        <f t="shared" si="8"/>
        <v>0</v>
      </c>
      <c r="AL31" s="19" t="s">
        <v>327</v>
      </c>
      <c r="AM31" s="18">
        <v>1</v>
      </c>
      <c r="AN31" s="18">
        <v>0</v>
      </c>
      <c r="AO31" s="18">
        <v>0</v>
      </c>
      <c r="AP31" s="18"/>
      <c r="AQ31" s="63">
        <f>'Apps &amp; Goals 26-27'!L29</f>
        <v>0</v>
      </c>
      <c r="AR31" s="63">
        <f>'Apps &amp; Goals 26-27'!M29</f>
        <v>0</v>
      </c>
      <c r="AS31" s="63">
        <f>'Apps &amp; Goals 26-27'!N29</f>
        <v>0</v>
      </c>
      <c r="AT31" s="18">
        <f t="shared" si="9"/>
        <v>1</v>
      </c>
      <c r="AU31" s="18">
        <f t="shared" si="10"/>
        <v>0</v>
      </c>
      <c r="AV31" s="18">
        <f t="shared" si="11"/>
        <v>0</v>
      </c>
      <c r="AX31" s="32" t="s">
        <v>327</v>
      </c>
      <c r="AY31" s="33">
        <v>0</v>
      </c>
      <c r="AZ31" s="33">
        <v>0</v>
      </c>
      <c r="BA31" s="33">
        <v>0</v>
      </c>
      <c r="BB31" s="33"/>
      <c r="BC31" s="64">
        <f>'Apps &amp; Goals 26-27'!O29</f>
        <v>0</v>
      </c>
      <c r="BD31" s="64">
        <f>'Apps &amp; Goals 26-27'!P29</f>
        <v>0</v>
      </c>
      <c r="BE31" s="64">
        <f>'Apps &amp; Goals 26-27'!Q29</f>
        <v>0</v>
      </c>
      <c r="BF31" s="33">
        <f t="shared" si="12"/>
        <v>0</v>
      </c>
      <c r="BG31" s="33">
        <f t="shared" si="13"/>
        <v>0</v>
      </c>
      <c r="BH31" s="33">
        <f t="shared" si="14"/>
        <v>0</v>
      </c>
    </row>
    <row r="32" spans="1:60" x14ac:dyDescent="0.25">
      <c r="A32" s="56">
        <v>72</v>
      </c>
      <c r="B32" s="22" t="s">
        <v>338</v>
      </c>
      <c r="C32" s="25">
        <v>0</v>
      </c>
      <c r="D32" s="25">
        <v>0</v>
      </c>
      <c r="E32" s="25">
        <v>0</v>
      </c>
      <c r="F32" s="25"/>
      <c r="G32" s="21">
        <f>'Apps &amp; Goals 26-27'!C30</f>
        <v>0</v>
      </c>
      <c r="H32" s="21">
        <f>'Apps &amp; Goals 26-27'!D30</f>
        <v>0</v>
      </c>
      <c r="I32" s="21">
        <f>'Apps &amp; Goals 26-27'!E30</f>
        <v>0</v>
      </c>
      <c r="J32" s="25">
        <f t="shared" si="0"/>
        <v>0</v>
      </c>
      <c r="K32" s="25">
        <f t="shared" si="1"/>
        <v>0</v>
      </c>
      <c r="L32" s="25">
        <f t="shared" si="2"/>
        <v>0</v>
      </c>
      <c r="M32">
        <v>44</v>
      </c>
      <c r="N32" s="45" t="s">
        <v>338</v>
      </c>
      <c r="O32" s="26">
        <v>1</v>
      </c>
      <c r="P32" s="26">
        <v>0</v>
      </c>
      <c r="Q32" s="26">
        <v>0</v>
      </c>
      <c r="R32" s="26"/>
      <c r="S32" s="20">
        <f>'Apps &amp; Goals 26-27'!F30</f>
        <v>0</v>
      </c>
      <c r="T32" s="20">
        <f>'Apps &amp; Goals 26-27'!G30</f>
        <v>0</v>
      </c>
      <c r="U32" s="20">
        <f>'Apps &amp; Goals 26-27'!H30</f>
        <v>0</v>
      </c>
      <c r="V32" s="26">
        <f t="shared" si="3"/>
        <v>1</v>
      </c>
      <c r="W32" s="26">
        <f t="shared" si="4"/>
        <v>0</v>
      </c>
      <c r="X32" s="26">
        <f t="shared" si="5"/>
        <v>0</v>
      </c>
      <c r="Z32" s="23" t="s">
        <v>338</v>
      </c>
      <c r="AA32" s="24">
        <v>0</v>
      </c>
      <c r="AB32" s="24">
        <v>0</v>
      </c>
      <c r="AC32" s="24">
        <v>0</v>
      </c>
      <c r="AD32" s="24"/>
      <c r="AE32" s="57">
        <f>'Apps &amp; Goals 26-27'!I30</f>
        <v>0</v>
      </c>
      <c r="AF32" s="57">
        <f>'Apps &amp; Goals 26-27'!J30</f>
        <v>0</v>
      </c>
      <c r="AG32" s="57">
        <f>'Apps &amp; Goals 26-27'!K30</f>
        <v>0</v>
      </c>
      <c r="AH32" s="24">
        <f t="shared" si="6"/>
        <v>0</v>
      </c>
      <c r="AI32" s="24">
        <f t="shared" si="7"/>
        <v>0</v>
      </c>
      <c r="AJ32" s="24">
        <f t="shared" si="8"/>
        <v>0</v>
      </c>
      <c r="AL32" s="19" t="s">
        <v>338</v>
      </c>
      <c r="AM32" s="18">
        <v>0</v>
      </c>
      <c r="AN32" s="18">
        <v>0</v>
      </c>
      <c r="AO32" s="18">
        <v>0</v>
      </c>
      <c r="AP32" s="18"/>
      <c r="AQ32" s="63">
        <f>'Apps &amp; Goals 26-27'!L30</f>
        <v>1</v>
      </c>
      <c r="AR32" s="63">
        <f>'Apps &amp; Goals 26-27'!M30</f>
        <v>0</v>
      </c>
      <c r="AS32" s="63">
        <f>'Apps &amp; Goals 26-27'!N30</f>
        <v>0</v>
      </c>
      <c r="AT32" s="18">
        <f t="shared" si="9"/>
        <v>1</v>
      </c>
      <c r="AU32" s="18">
        <f t="shared" si="10"/>
        <v>0</v>
      </c>
      <c r="AV32" s="18">
        <f t="shared" si="11"/>
        <v>0</v>
      </c>
      <c r="AX32" s="32" t="s">
        <v>338</v>
      </c>
      <c r="AY32" s="33">
        <v>0</v>
      </c>
      <c r="AZ32" s="33">
        <v>0</v>
      </c>
      <c r="BA32" s="33">
        <v>0</v>
      </c>
      <c r="BB32" s="33"/>
      <c r="BC32" s="64">
        <f>'Apps &amp; Goals 26-27'!O30</f>
        <v>0</v>
      </c>
      <c r="BD32" s="64">
        <f>'Apps &amp; Goals 26-27'!P30</f>
        <v>0</v>
      </c>
      <c r="BE32" s="64">
        <f>'Apps &amp; Goals 26-27'!Q30</f>
        <v>0</v>
      </c>
      <c r="BF32" s="33">
        <f t="shared" si="12"/>
        <v>0</v>
      </c>
      <c r="BG32" s="33">
        <f t="shared" si="13"/>
        <v>0</v>
      </c>
      <c r="BH32" s="33">
        <f t="shared" si="14"/>
        <v>0</v>
      </c>
    </row>
    <row r="33" spans="1:60" x14ac:dyDescent="0.25">
      <c r="A33" s="56">
        <v>45</v>
      </c>
      <c r="B33" s="22" t="s">
        <v>468</v>
      </c>
      <c r="C33" s="25">
        <v>0</v>
      </c>
      <c r="D33" s="25">
        <v>0</v>
      </c>
      <c r="E33" s="25">
        <v>0</v>
      </c>
      <c r="F33" s="25"/>
      <c r="G33" s="21">
        <f>'Apps &amp; Goals 26-27'!C31</f>
        <v>0</v>
      </c>
      <c r="H33" s="21">
        <f>'Apps &amp; Goals 26-27'!D31</f>
        <v>0</v>
      </c>
      <c r="I33" s="21">
        <f>'Apps &amp; Goals 26-27'!E31</f>
        <v>0</v>
      </c>
      <c r="J33" s="25">
        <f t="shared" si="0"/>
        <v>0</v>
      </c>
      <c r="K33" s="25">
        <f t="shared" si="1"/>
        <v>0</v>
      </c>
      <c r="L33" s="25">
        <f t="shared" si="2"/>
        <v>0</v>
      </c>
      <c r="M33">
        <v>45</v>
      </c>
      <c r="N33" s="45" t="s">
        <v>468</v>
      </c>
      <c r="O33" s="26">
        <v>0</v>
      </c>
      <c r="P33" s="26">
        <v>0</v>
      </c>
      <c r="Q33" s="26">
        <v>0</v>
      </c>
      <c r="R33" s="26"/>
      <c r="S33" s="20">
        <f>'Apps &amp; Goals 26-27'!F31</f>
        <v>0</v>
      </c>
      <c r="T33" s="20">
        <f>'Apps &amp; Goals 26-27'!G31</f>
        <v>0</v>
      </c>
      <c r="U33" s="20">
        <f>'Apps &amp; Goals 26-27'!H31</f>
        <v>0</v>
      </c>
      <c r="V33" s="26">
        <f t="shared" si="3"/>
        <v>0</v>
      </c>
      <c r="W33" s="26">
        <f t="shared" si="4"/>
        <v>0</v>
      </c>
      <c r="X33" s="26">
        <f t="shared" si="5"/>
        <v>0</v>
      </c>
      <c r="Z33" s="23" t="s">
        <v>468</v>
      </c>
      <c r="AA33" s="24">
        <v>0</v>
      </c>
      <c r="AB33" s="24">
        <v>0</v>
      </c>
      <c r="AC33" s="24">
        <v>0</v>
      </c>
      <c r="AD33" s="24"/>
      <c r="AE33" s="57">
        <f>'Apps &amp; Goals 26-27'!I31</f>
        <v>0</v>
      </c>
      <c r="AF33" s="57">
        <f>'Apps &amp; Goals 26-27'!J31</f>
        <v>0</v>
      </c>
      <c r="AG33" s="57">
        <f>'Apps &amp; Goals 26-27'!K31</f>
        <v>0</v>
      </c>
      <c r="AH33" s="24">
        <f t="shared" si="6"/>
        <v>0</v>
      </c>
      <c r="AI33" s="24">
        <f t="shared" si="7"/>
        <v>0</v>
      </c>
      <c r="AJ33" s="24">
        <f t="shared" si="8"/>
        <v>0</v>
      </c>
      <c r="AL33" s="19" t="s">
        <v>468</v>
      </c>
      <c r="AM33" s="18">
        <v>0</v>
      </c>
      <c r="AN33" s="18">
        <v>0</v>
      </c>
      <c r="AO33" s="18">
        <v>0</v>
      </c>
      <c r="AP33" s="18"/>
      <c r="AQ33" s="63">
        <f>'Apps &amp; Goals 26-27'!L31</f>
        <v>1</v>
      </c>
      <c r="AR33" s="63">
        <f>'Apps &amp; Goals 26-27'!M31</f>
        <v>0</v>
      </c>
      <c r="AS33" s="63">
        <f>'Apps &amp; Goals 26-27'!N31</f>
        <v>0</v>
      </c>
      <c r="AT33" s="18">
        <f t="shared" si="9"/>
        <v>1</v>
      </c>
      <c r="AU33" s="18">
        <f t="shared" si="10"/>
        <v>0</v>
      </c>
      <c r="AV33" s="18">
        <f t="shared" si="11"/>
        <v>0</v>
      </c>
      <c r="AX33" s="32" t="s">
        <v>468</v>
      </c>
      <c r="AY33" s="33">
        <v>0</v>
      </c>
      <c r="AZ33" s="33">
        <v>0</v>
      </c>
      <c r="BA33" s="33">
        <v>0</v>
      </c>
      <c r="BB33" s="33"/>
      <c r="BC33" s="64">
        <f>'Apps &amp; Goals 26-27'!O31</f>
        <v>0</v>
      </c>
      <c r="BD33" s="64">
        <f>'Apps &amp; Goals 26-27'!P31</f>
        <v>0</v>
      </c>
      <c r="BE33" s="64">
        <f>'Apps &amp; Goals 26-27'!Q31</f>
        <v>0</v>
      </c>
      <c r="BF33" s="33">
        <f t="shared" si="12"/>
        <v>0</v>
      </c>
      <c r="BG33" s="33">
        <f t="shared" si="13"/>
        <v>0</v>
      </c>
      <c r="BH33" s="33">
        <f t="shared" si="14"/>
        <v>0</v>
      </c>
    </row>
    <row r="34" spans="1:60" x14ac:dyDescent="0.25">
      <c r="A34" s="4">
        <v>46</v>
      </c>
      <c r="B34" s="22" t="s">
        <v>298</v>
      </c>
      <c r="C34" s="25">
        <v>0</v>
      </c>
      <c r="D34" s="25">
        <v>0</v>
      </c>
      <c r="E34" s="25">
        <v>0</v>
      </c>
      <c r="F34" s="25"/>
      <c r="G34" s="21">
        <f>'Apps &amp; Goals 26-27'!C32</f>
        <v>0</v>
      </c>
      <c r="H34" s="21">
        <f>'Apps &amp; Goals 26-27'!D32</f>
        <v>0</v>
      </c>
      <c r="I34" s="21">
        <f>'Apps &amp; Goals 26-27'!E32</f>
        <v>0</v>
      </c>
      <c r="J34" s="25">
        <f t="shared" si="0"/>
        <v>0</v>
      </c>
      <c r="K34" s="25">
        <f t="shared" si="1"/>
        <v>0</v>
      </c>
      <c r="L34" s="25">
        <f t="shared" si="2"/>
        <v>0</v>
      </c>
      <c r="M34">
        <v>46</v>
      </c>
      <c r="N34" s="45" t="s">
        <v>298</v>
      </c>
      <c r="O34" s="26">
        <v>0</v>
      </c>
      <c r="P34" s="26">
        <v>0</v>
      </c>
      <c r="Q34" s="26">
        <v>0</v>
      </c>
      <c r="R34" s="26"/>
      <c r="S34" s="20">
        <f>'Apps &amp; Goals 26-27'!F32</f>
        <v>0</v>
      </c>
      <c r="T34" s="20">
        <f>'Apps &amp; Goals 26-27'!G32</f>
        <v>0</v>
      </c>
      <c r="U34" s="20">
        <f>'Apps &amp; Goals 26-27'!H32</f>
        <v>0</v>
      </c>
      <c r="V34" s="26">
        <f t="shared" si="3"/>
        <v>0</v>
      </c>
      <c r="W34" s="26">
        <f t="shared" si="4"/>
        <v>0</v>
      </c>
      <c r="X34" s="26">
        <f t="shared" si="5"/>
        <v>0</v>
      </c>
      <c r="Z34" s="57" t="s">
        <v>298</v>
      </c>
      <c r="AA34" s="24">
        <v>0</v>
      </c>
      <c r="AB34" s="24">
        <v>0</v>
      </c>
      <c r="AC34" s="24">
        <v>0</v>
      </c>
      <c r="AD34" s="24"/>
      <c r="AE34" s="57">
        <f>'Apps &amp; Goals 26-27'!I32</f>
        <v>0</v>
      </c>
      <c r="AF34" s="57">
        <f>'Apps &amp; Goals 26-27'!J32</f>
        <v>0</v>
      </c>
      <c r="AG34" s="57">
        <f>'Apps &amp; Goals 26-27'!K32</f>
        <v>0</v>
      </c>
      <c r="AH34" s="24">
        <f t="shared" si="6"/>
        <v>0</v>
      </c>
      <c r="AI34" s="24">
        <f t="shared" si="7"/>
        <v>0</v>
      </c>
      <c r="AJ34" s="24">
        <f t="shared" si="8"/>
        <v>0</v>
      </c>
      <c r="AL34" s="63" t="s">
        <v>298</v>
      </c>
      <c r="AM34" s="18">
        <v>1</v>
      </c>
      <c r="AN34" s="18">
        <v>0</v>
      </c>
      <c r="AO34" s="18">
        <v>0</v>
      </c>
      <c r="AP34" s="18"/>
      <c r="AQ34" s="63">
        <f>'Apps &amp; Goals 26-27'!L32</f>
        <v>0</v>
      </c>
      <c r="AR34" s="63">
        <f>'Apps &amp; Goals 26-27'!M32</f>
        <v>0</v>
      </c>
      <c r="AS34" s="63">
        <f>'Apps &amp; Goals 26-27'!N32</f>
        <v>0</v>
      </c>
      <c r="AT34" s="18">
        <f t="shared" si="9"/>
        <v>1</v>
      </c>
      <c r="AU34" s="18">
        <f t="shared" si="10"/>
        <v>0</v>
      </c>
      <c r="AV34" s="18">
        <f t="shared" si="11"/>
        <v>0</v>
      </c>
      <c r="AX34" s="32" t="s">
        <v>298</v>
      </c>
      <c r="AY34" s="33">
        <v>0</v>
      </c>
      <c r="AZ34" s="33">
        <v>0</v>
      </c>
      <c r="BA34" s="33">
        <v>0</v>
      </c>
      <c r="BB34" s="33"/>
      <c r="BC34" s="64">
        <f>'Apps &amp; Goals 26-27'!O32</f>
        <v>0</v>
      </c>
      <c r="BD34" s="64">
        <f>'Apps &amp; Goals 26-27'!P32</f>
        <v>0</v>
      </c>
      <c r="BE34" s="64">
        <f>'Apps &amp; Goals 26-27'!Q32</f>
        <v>0</v>
      </c>
      <c r="BF34" s="33">
        <f t="shared" si="12"/>
        <v>0</v>
      </c>
      <c r="BG34" s="33">
        <f t="shared" si="13"/>
        <v>0</v>
      </c>
      <c r="BH34" s="33">
        <f t="shared" si="14"/>
        <v>0</v>
      </c>
    </row>
    <row r="35" spans="1:60" x14ac:dyDescent="0.25">
      <c r="A35" s="4">
        <v>49</v>
      </c>
      <c r="B35" s="22" t="s">
        <v>297</v>
      </c>
      <c r="C35" s="25">
        <v>43</v>
      </c>
      <c r="D35" s="25">
        <v>1</v>
      </c>
      <c r="E35" s="25">
        <v>0</v>
      </c>
      <c r="F35" s="25"/>
      <c r="G35" s="21">
        <f>'Apps &amp; Goals 26-27'!C33</f>
        <v>5</v>
      </c>
      <c r="H35" s="21">
        <f>'Apps &amp; Goals 26-27'!D33</f>
        <v>0</v>
      </c>
      <c r="I35" s="21">
        <f>'Apps &amp; Goals 26-27'!E33</f>
        <v>0</v>
      </c>
      <c r="J35" s="25">
        <f t="shared" si="0"/>
        <v>48</v>
      </c>
      <c r="K35" s="25">
        <f t="shared" si="1"/>
        <v>1</v>
      </c>
      <c r="L35" s="25">
        <f t="shared" si="2"/>
        <v>0</v>
      </c>
      <c r="M35">
        <v>49</v>
      </c>
      <c r="N35" s="45" t="s">
        <v>297</v>
      </c>
      <c r="O35" s="26">
        <v>20</v>
      </c>
      <c r="P35" s="26">
        <v>0</v>
      </c>
      <c r="Q35" s="26">
        <v>3</v>
      </c>
      <c r="R35" s="26"/>
      <c r="S35" s="20">
        <f>'Apps &amp; Goals 26-27'!F33</f>
        <v>0</v>
      </c>
      <c r="T35" s="20">
        <f>'Apps &amp; Goals 26-27'!G33</f>
        <v>0</v>
      </c>
      <c r="U35" s="20">
        <f>'Apps &amp; Goals 26-27'!H33</f>
        <v>0</v>
      </c>
      <c r="V35" s="26">
        <f t="shared" si="3"/>
        <v>20</v>
      </c>
      <c r="W35" s="26">
        <f t="shared" si="4"/>
        <v>0</v>
      </c>
      <c r="X35" s="26">
        <f t="shared" si="5"/>
        <v>3</v>
      </c>
      <c r="Z35" s="57" t="s">
        <v>297</v>
      </c>
      <c r="AA35" s="24">
        <v>4</v>
      </c>
      <c r="AB35" s="24">
        <v>0</v>
      </c>
      <c r="AC35" s="24">
        <v>0</v>
      </c>
      <c r="AD35" s="24"/>
      <c r="AE35" s="57">
        <f>'Apps &amp; Goals 26-27'!I33</f>
        <v>0</v>
      </c>
      <c r="AF35" s="57">
        <f>'Apps &amp; Goals 26-27'!J33</f>
        <v>0</v>
      </c>
      <c r="AG35" s="57">
        <f>'Apps &amp; Goals 26-27'!K33</f>
        <v>0</v>
      </c>
      <c r="AH35" s="24">
        <f t="shared" si="6"/>
        <v>4</v>
      </c>
      <c r="AI35" s="24">
        <f t="shared" si="7"/>
        <v>0</v>
      </c>
      <c r="AJ35" s="24">
        <f t="shared" si="8"/>
        <v>0</v>
      </c>
      <c r="AL35" s="63" t="s">
        <v>297</v>
      </c>
      <c r="AM35" s="18">
        <v>8</v>
      </c>
      <c r="AN35" s="18">
        <v>0</v>
      </c>
      <c r="AO35" s="18">
        <v>2</v>
      </c>
      <c r="AP35" s="18"/>
      <c r="AQ35" s="63">
        <f>'Apps &amp; Goals 26-27'!L33</f>
        <v>1</v>
      </c>
      <c r="AR35" s="63">
        <f>'Apps &amp; Goals 26-27'!M33</f>
        <v>0</v>
      </c>
      <c r="AS35" s="63">
        <f>'Apps &amp; Goals 26-27'!N33</f>
        <v>0</v>
      </c>
      <c r="AT35" s="18">
        <f t="shared" si="9"/>
        <v>9</v>
      </c>
      <c r="AU35" s="18">
        <f t="shared" si="10"/>
        <v>0</v>
      </c>
      <c r="AV35" s="18">
        <f t="shared" si="11"/>
        <v>2</v>
      </c>
      <c r="AX35" s="32" t="s">
        <v>297</v>
      </c>
      <c r="AY35" s="33">
        <v>0</v>
      </c>
      <c r="AZ35" s="33">
        <v>0</v>
      </c>
      <c r="BA35" s="33">
        <v>0</v>
      </c>
      <c r="BB35" s="33"/>
      <c r="BC35" s="64">
        <f>'Apps &amp; Goals 26-27'!O33</f>
        <v>1</v>
      </c>
      <c r="BD35" s="64">
        <f>'Apps &amp; Goals 26-27'!P33</f>
        <v>0</v>
      </c>
      <c r="BE35" s="64">
        <f>'Apps &amp; Goals 26-27'!Q33</f>
        <v>1</v>
      </c>
      <c r="BF35" s="33">
        <f t="shared" si="12"/>
        <v>1</v>
      </c>
      <c r="BG35" s="33">
        <f t="shared" si="13"/>
        <v>0</v>
      </c>
      <c r="BH35" s="33">
        <f t="shared" si="14"/>
        <v>1</v>
      </c>
    </row>
    <row r="36" spans="1:60" x14ac:dyDescent="0.25">
      <c r="A36" s="56">
        <v>53</v>
      </c>
      <c r="B36" s="22" t="s">
        <v>292</v>
      </c>
      <c r="C36" s="25">
        <v>0</v>
      </c>
      <c r="D36" s="25">
        <v>0</v>
      </c>
      <c r="E36" s="25">
        <v>0</v>
      </c>
      <c r="F36" s="25"/>
      <c r="G36" s="21">
        <f>'Apps &amp; Goals 26-27'!C34</f>
        <v>0</v>
      </c>
      <c r="H36" s="21">
        <f>'Apps &amp; Goals 26-27'!D34</f>
        <v>0</v>
      </c>
      <c r="I36" s="21">
        <f>'Apps &amp; Goals 26-27'!E34</f>
        <v>0</v>
      </c>
      <c r="J36" s="25">
        <f t="shared" si="0"/>
        <v>0</v>
      </c>
      <c r="K36" s="25">
        <f t="shared" si="1"/>
        <v>0</v>
      </c>
      <c r="L36" s="25">
        <f t="shared" si="2"/>
        <v>0</v>
      </c>
      <c r="M36">
        <v>53</v>
      </c>
      <c r="N36" s="45" t="s">
        <v>292</v>
      </c>
      <c r="O36" s="26">
        <v>0</v>
      </c>
      <c r="P36" s="26">
        <v>0</v>
      </c>
      <c r="Q36" s="26">
        <v>0</v>
      </c>
      <c r="R36" s="26"/>
      <c r="S36" s="20">
        <f>'Apps &amp; Goals 26-27'!F34</f>
        <v>0</v>
      </c>
      <c r="T36" s="20">
        <f>'Apps &amp; Goals 26-27'!G34</f>
        <v>0</v>
      </c>
      <c r="U36" s="20">
        <f>'Apps &amp; Goals 26-27'!H34</f>
        <v>0</v>
      </c>
      <c r="V36" s="26">
        <f t="shared" si="3"/>
        <v>0</v>
      </c>
      <c r="W36" s="26">
        <f t="shared" si="4"/>
        <v>0</v>
      </c>
      <c r="X36" s="26">
        <f t="shared" si="5"/>
        <v>0</v>
      </c>
      <c r="Z36" s="23" t="s">
        <v>292</v>
      </c>
      <c r="AA36" s="24">
        <v>0</v>
      </c>
      <c r="AB36" s="24">
        <v>0</v>
      </c>
      <c r="AC36" s="24">
        <v>0</v>
      </c>
      <c r="AD36" s="24"/>
      <c r="AE36" s="57">
        <f>'Apps &amp; Goals 26-27'!I34</f>
        <v>0</v>
      </c>
      <c r="AF36" s="57">
        <f>'Apps &amp; Goals 26-27'!J34</f>
        <v>0</v>
      </c>
      <c r="AG36" s="57">
        <f>'Apps &amp; Goals 26-27'!K34</f>
        <v>0</v>
      </c>
      <c r="AH36" s="24">
        <f t="shared" si="6"/>
        <v>0</v>
      </c>
      <c r="AI36" s="24">
        <f t="shared" si="7"/>
        <v>0</v>
      </c>
      <c r="AJ36" s="24">
        <f t="shared" si="8"/>
        <v>0</v>
      </c>
      <c r="AL36" s="19" t="s">
        <v>292</v>
      </c>
      <c r="AM36" s="18">
        <v>1</v>
      </c>
      <c r="AN36" s="18">
        <v>0</v>
      </c>
      <c r="AO36" s="18">
        <v>0</v>
      </c>
      <c r="AP36" s="18"/>
      <c r="AQ36" s="63">
        <f>'Apps &amp; Goals 26-27'!L34</f>
        <v>0</v>
      </c>
      <c r="AR36" s="63">
        <f>'Apps &amp; Goals 26-27'!M34</f>
        <v>0</v>
      </c>
      <c r="AS36" s="63">
        <f>'Apps &amp; Goals 26-27'!N34</f>
        <v>0</v>
      </c>
      <c r="AT36" s="18">
        <f t="shared" si="9"/>
        <v>1</v>
      </c>
      <c r="AU36" s="18">
        <f t="shared" si="10"/>
        <v>0</v>
      </c>
      <c r="AV36" s="18">
        <f t="shared" si="11"/>
        <v>0</v>
      </c>
      <c r="AX36" s="32" t="s">
        <v>292</v>
      </c>
      <c r="AY36" s="33">
        <v>0</v>
      </c>
      <c r="AZ36" s="33">
        <v>0</v>
      </c>
      <c r="BA36" s="33">
        <v>0</v>
      </c>
      <c r="BB36" s="33"/>
      <c r="BC36" s="64">
        <f>'Apps &amp; Goals 26-27'!O34</f>
        <v>0</v>
      </c>
      <c r="BD36" s="64">
        <f>'Apps &amp; Goals 26-27'!P34</f>
        <v>0</v>
      </c>
      <c r="BE36" s="64">
        <f>'Apps &amp; Goals 26-27'!Q34</f>
        <v>0</v>
      </c>
      <c r="BF36" s="33">
        <f t="shared" si="12"/>
        <v>0</v>
      </c>
      <c r="BG36" s="33">
        <f t="shared" si="13"/>
        <v>0</v>
      </c>
      <c r="BH36" s="33">
        <f t="shared" si="14"/>
        <v>0</v>
      </c>
    </row>
    <row r="37" spans="1:60" x14ac:dyDescent="0.25">
      <c r="A37" s="56">
        <v>92</v>
      </c>
      <c r="B37" s="22" t="s">
        <v>301</v>
      </c>
      <c r="C37" s="25">
        <v>0</v>
      </c>
      <c r="D37" s="25">
        <v>0</v>
      </c>
      <c r="E37" s="25">
        <v>0</v>
      </c>
      <c r="F37" s="25"/>
      <c r="G37" s="21">
        <f>'Apps &amp; Goals 26-27'!C35</f>
        <v>0</v>
      </c>
      <c r="H37" s="21">
        <f>'Apps &amp; Goals 26-27'!D35</f>
        <v>0</v>
      </c>
      <c r="I37" s="21">
        <f>'Apps &amp; Goals 26-27'!E35</f>
        <v>0</v>
      </c>
      <c r="J37" s="25">
        <f t="shared" si="0"/>
        <v>0</v>
      </c>
      <c r="K37" s="25">
        <f t="shared" si="1"/>
        <v>0</v>
      </c>
      <c r="L37" s="25">
        <f t="shared" si="2"/>
        <v>0</v>
      </c>
      <c r="M37">
        <v>55</v>
      </c>
      <c r="N37" s="45" t="s">
        <v>301</v>
      </c>
      <c r="O37" s="26">
        <v>0</v>
      </c>
      <c r="P37" s="26">
        <v>0</v>
      </c>
      <c r="Q37" s="26">
        <v>0</v>
      </c>
      <c r="R37" s="26"/>
      <c r="S37" s="20">
        <f>'Apps &amp; Goals 26-27'!F35</f>
        <v>0</v>
      </c>
      <c r="T37" s="20">
        <f>'Apps &amp; Goals 26-27'!G35</f>
        <v>0</v>
      </c>
      <c r="U37" s="20">
        <f>'Apps &amp; Goals 26-27'!H35</f>
        <v>0</v>
      </c>
      <c r="V37" s="26">
        <f t="shared" si="3"/>
        <v>0</v>
      </c>
      <c r="W37" s="26">
        <f t="shared" si="4"/>
        <v>0</v>
      </c>
      <c r="X37" s="26">
        <f t="shared" si="5"/>
        <v>0</v>
      </c>
      <c r="Z37" s="23" t="s">
        <v>301</v>
      </c>
      <c r="AA37" s="24">
        <v>0</v>
      </c>
      <c r="AB37" s="24">
        <v>0</v>
      </c>
      <c r="AC37" s="24">
        <v>0</v>
      </c>
      <c r="AD37" s="24"/>
      <c r="AE37" s="57">
        <f>'Apps &amp; Goals 26-27'!I35</f>
        <v>0</v>
      </c>
      <c r="AF37" s="57">
        <f>'Apps &amp; Goals 26-27'!J35</f>
        <v>0</v>
      </c>
      <c r="AG37" s="57">
        <f>'Apps &amp; Goals 26-27'!K35</f>
        <v>0</v>
      </c>
      <c r="AH37" s="24">
        <f t="shared" si="6"/>
        <v>0</v>
      </c>
      <c r="AI37" s="24">
        <f t="shared" si="7"/>
        <v>0</v>
      </c>
      <c r="AJ37" s="24">
        <f t="shared" si="8"/>
        <v>0</v>
      </c>
      <c r="AL37" s="19" t="s">
        <v>301</v>
      </c>
      <c r="AM37" s="18">
        <v>1</v>
      </c>
      <c r="AN37" s="18">
        <v>0</v>
      </c>
      <c r="AO37" s="18">
        <v>0</v>
      </c>
      <c r="AP37" s="18"/>
      <c r="AQ37" s="63">
        <f>'Apps &amp; Goals 26-27'!L35</f>
        <v>0</v>
      </c>
      <c r="AR37" s="63">
        <f>'Apps &amp; Goals 26-27'!M35</f>
        <v>0</v>
      </c>
      <c r="AS37" s="63">
        <f>'Apps &amp; Goals 26-27'!N35</f>
        <v>0</v>
      </c>
      <c r="AT37" s="18">
        <f t="shared" si="9"/>
        <v>1</v>
      </c>
      <c r="AU37" s="18">
        <f t="shared" si="10"/>
        <v>0</v>
      </c>
      <c r="AV37" s="18">
        <f t="shared" si="11"/>
        <v>0</v>
      </c>
      <c r="AX37" s="32" t="s">
        <v>301</v>
      </c>
      <c r="AY37" s="33">
        <v>0</v>
      </c>
      <c r="AZ37" s="33">
        <v>0</v>
      </c>
      <c r="BA37" s="33">
        <v>0</v>
      </c>
      <c r="BB37" s="33"/>
      <c r="BC37" s="64">
        <f>'Apps &amp; Goals 26-27'!O35</f>
        <v>0</v>
      </c>
      <c r="BD37" s="64">
        <f>'Apps &amp; Goals 26-27'!P35</f>
        <v>0</v>
      </c>
      <c r="BE37" s="64">
        <f>'Apps &amp; Goals 26-27'!Q35</f>
        <v>0</v>
      </c>
      <c r="BF37" s="33">
        <f t="shared" si="12"/>
        <v>0</v>
      </c>
      <c r="BG37" s="33">
        <f t="shared" si="13"/>
        <v>0</v>
      </c>
      <c r="BH37" s="33">
        <f t="shared" si="14"/>
        <v>0</v>
      </c>
    </row>
    <row r="38" spans="1:60" x14ac:dyDescent="0.25">
      <c r="A38" s="4">
        <v>56</v>
      </c>
      <c r="B38" s="22" t="s">
        <v>322</v>
      </c>
      <c r="C38" s="25">
        <v>6</v>
      </c>
      <c r="D38" s="25">
        <v>1</v>
      </c>
      <c r="E38" s="25">
        <v>0</v>
      </c>
      <c r="F38" s="25"/>
      <c r="G38" s="21">
        <f>'Apps &amp; Goals 26-27'!C36</f>
        <v>1</v>
      </c>
      <c r="H38" s="21">
        <f>'Apps &amp; Goals 26-27'!D36</f>
        <v>0</v>
      </c>
      <c r="I38" s="21">
        <f>'Apps &amp; Goals 26-27'!E36</f>
        <v>0</v>
      </c>
      <c r="J38" s="25">
        <f t="shared" si="0"/>
        <v>7</v>
      </c>
      <c r="K38" s="25">
        <f t="shared" si="1"/>
        <v>1</v>
      </c>
      <c r="L38" s="25">
        <f t="shared" si="2"/>
        <v>0</v>
      </c>
      <c r="M38">
        <v>56</v>
      </c>
      <c r="N38" s="45" t="s">
        <v>322</v>
      </c>
      <c r="O38" s="26">
        <v>3</v>
      </c>
      <c r="P38" s="26">
        <v>0</v>
      </c>
      <c r="Q38" s="26">
        <v>0</v>
      </c>
      <c r="R38" s="26"/>
      <c r="S38" s="20">
        <f>'Apps &amp; Goals 26-27'!F36</f>
        <v>0</v>
      </c>
      <c r="T38" s="20">
        <f>'Apps &amp; Goals 26-27'!G36</f>
        <v>0</v>
      </c>
      <c r="U38" s="20">
        <f>'Apps &amp; Goals 26-27'!H36</f>
        <v>0</v>
      </c>
      <c r="V38" s="26">
        <f t="shared" si="3"/>
        <v>3</v>
      </c>
      <c r="W38" s="26">
        <f t="shared" si="4"/>
        <v>0</v>
      </c>
      <c r="X38" s="26">
        <f t="shared" si="5"/>
        <v>0</v>
      </c>
      <c r="Z38" s="57" t="s">
        <v>322</v>
      </c>
      <c r="AA38" s="24">
        <v>2</v>
      </c>
      <c r="AB38" s="24">
        <v>0</v>
      </c>
      <c r="AC38" s="24">
        <v>0</v>
      </c>
      <c r="AD38" s="24"/>
      <c r="AE38" s="57">
        <f>'Apps &amp; Goals 26-27'!I36</f>
        <v>0</v>
      </c>
      <c r="AF38" s="57">
        <f>'Apps &amp; Goals 26-27'!J36</f>
        <v>0</v>
      </c>
      <c r="AG38" s="57">
        <f>'Apps &amp; Goals 26-27'!K36</f>
        <v>0</v>
      </c>
      <c r="AH38" s="24">
        <f t="shared" si="6"/>
        <v>2</v>
      </c>
      <c r="AI38" s="24">
        <f t="shared" si="7"/>
        <v>0</v>
      </c>
      <c r="AJ38" s="24">
        <f t="shared" si="8"/>
        <v>0</v>
      </c>
      <c r="AL38" s="63" t="s">
        <v>322</v>
      </c>
      <c r="AM38" s="18">
        <v>2</v>
      </c>
      <c r="AN38" s="18">
        <v>0</v>
      </c>
      <c r="AO38" s="18">
        <v>0</v>
      </c>
      <c r="AP38" s="18"/>
      <c r="AQ38" s="63">
        <f>'Apps &amp; Goals 26-27'!L36</f>
        <v>1</v>
      </c>
      <c r="AR38" s="63">
        <f>'Apps &amp; Goals 26-27'!M36</f>
        <v>2</v>
      </c>
      <c r="AS38" s="63">
        <f>'Apps &amp; Goals 26-27'!N36</f>
        <v>0</v>
      </c>
      <c r="AT38" s="18">
        <f t="shared" si="9"/>
        <v>3</v>
      </c>
      <c r="AU38" s="18">
        <f t="shared" si="10"/>
        <v>2</v>
      </c>
      <c r="AV38" s="18">
        <f t="shared" si="11"/>
        <v>0</v>
      </c>
      <c r="AX38" s="32" t="s">
        <v>322</v>
      </c>
      <c r="AY38" s="33">
        <v>0</v>
      </c>
      <c r="AZ38" s="33">
        <v>0</v>
      </c>
      <c r="BA38" s="33">
        <v>0</v>
      </c>
      <c r="BB38" s="33"/>
      <c r="BC38" s="64">
        <f>'Apps &amp; Goals 26-27'!O36</f>
        <v>0</v>
      </c>
      <c r="BD38" s="64">
        <f>'Apps &amp; Goals 26-27'!P36</f>
        <v>0</v>
      </c>
      <c r="BE38" s="64">
        <f>'Apps &amp; Goals 26-27'!Q36</f>
        <v>0</v>
      </c>
      <c r="BF38" s="33">
        <f t="shared" si="12"/>
        <v>0</v>
      </c>
      <c r="BG38" s="33">
        <f t="shared" si="13"/>
        <v>0</v>
      </c>
      <c r="BH38" s="33">
        <f t="shared" si="14"/>
        <v>0</v>
      </c>
    </row>
    <row r="39" spans="1:60" x14ac:dyDescent="0.25">
      <c r="A39" s="56">
        <v>81</v>
      </c>
      <c r="B39" s="22" t="s">
        <v>339</v>
      </c>
      <c r="C39" s="25">
        <v>0</v>
      </c>
      <c r="D39" s="25">
        <v>0</v>
      </c>
      <c r="E39" s="25">
        <v>0</v>
      </c>
      <c r="F39" s="25"/>
      <c r="G39" s="21">
        <f>'Apps &amp; Goals 26-27'!C37</f>
        <v>0</v>
      </c>
      <c r="H39" s="21">
        <f>'Apps &amp; Goals 26-27'!D37</f>
        <v>0</v>
      </c>
      <c r="I39" s="21">
        <f>'Apps &amp; Goals 26-27'!E37</f>
        <v>0</v>
      </c>
      <c r="J39" s="25">
        <f t="shared" si="0"/>
        <v>0</v>
      </c>
      <c r="K39" s="25">
        <f t="shared" si="1"/>
        <v>0</v>
      </c>
      <c r="L39" s="25">
        <f t="shared" si="2"/>
        <v>0</v>
      </c>
      <c r="M39">
        <v>71</v>
      </c>
      <c r="N39" s="45" t="s">
        <v>339</v>
      </c>
      <c r="O39" s="26">
        <v>1</v>
      </c>
      <c r="P39" s="26">
        <v>0</v>
      </c>
      <c r="Q39" s="26">
        <v>0</v>
      </c>
      <c r="R39" s="26"/>
      <c r="S39" s="20">
        <f>'Apps &amp; Goals 26-27'!F37</f>
        <v>0</v>
      </c>
      <c r="T39" s="20">
        <f>'Apps &amp; Goals 26-27'!G37</f>
        <v>0</v>
      </c>
      <c r="U39" s="20">
        <f>'Apps &amp; Goals 26-27'!H37</f>
        <v>0</v>
      </c>
      <c r="V39" s="26">
        <f t="shared" si="3"/>
        <v>1</v>
      </c>
      <c r="W39" s="26">
        <f t="shared" si="4"/>
        <v>0</v>
      </c>
      <c r="X39" s="26">
        <f t="shared" si="5"/>
        <v>0</v>
      </c>
      <c r="Z39" s="23" t="s">
        <v>339</v>
      </c>
      <c r="AA39" s="24">
        <v>0</v>
      </c>
      <c r="AB39" s="24">
        <v>0</v>
      </c>
      <c r="AC39" s="24">
        <v>0</v>
      </c>
      <c r="AD39" s="24"/>
      <c r="AE39" s="57">
        <f>'Apps &amp; Goals 26-27'!I37</f>
        <v>0</v>
      </c>
      <c r="AF39" s="57">
        <f>'Apps &amp; Goals 26-27'!J37</f>
        <v>0</v>
      </c>
      <c r="AG39" s="57">
        <f>'Apps &amp; Goals 26-27'!K37</f>
        <v>0</v>
      </c>
      <c r="AH39" s="24">
        <f t="shared" si="6"/>
        <v>0</v>
      </c>
      <c r="AI39" s="24">
        <f t="shared" si="7"/>
        <v>0</v>
      </c>
      <c r="AJ39" s="24">
        <f t="shared" si="8"/>
        <v>0</v>
      </c>
      <c r="AL39" s="19" t="s">
        <v>339</v>
      </c>
      <c r="AM39" s="18">
        <v>0</v>
      </c>
      <c r="AN39" s="18">
        <v>0</v>
      </c>
      <c r="AO39" s="18">
        <v>0</v>
      </c>
      <c r="AP39" s="18"/>
      <c r="AQ39" s="63">
        <f>'Apps &amp; Goals 26-27'!L37</f>
        <v>0</v>
      </c>
      <c r="AR39" s="63">
        <f>'Apps &amp; Goals 26-27'!M37</f>
        <v>0</v>
      </c>
      <c r="AS39" s="63">
        <f>'Apps &amp; Goals 26-27'!N37</f>
        <v>0</v>
      </c>
      <c r="AT39" s="18">
        <f t="shared" si="9"/>
        <v>0</v>
      </c>
      <c r="AU39" s="18">
        <f t="shared" si="10"/>
        <v>0</v>
      </c>
      <c r="AV39" s="18">
        <f t="shared" si="11"/>
        <v>0</v>
      </c>
      <c r="AX39" s="32" t="s">
        <v>339</v>
      </c>
      <c r="AY39" s="33">
        <v>0</v>
      </c>
      <c r="AZ39" s="33">
        <v>0</v>
      </c>
      <c r="BA39" s="33">
        <v>0</v>
      </c>
      <c r="BB39" s="33"/>
      <c r="BC39" s="64">
        <f>'Apps &amp; Goals 26-27'!O37</f>
        <v>0</v>
      </c>
      <c r="BD39" s="64">
        <f>'Apps &amp; Goals 26-27'!P37</f>
        <v>0</v>
      </c>
      <c r="BE39" s="64">
        <f>'Apps &amp; Goals 26-27'!Q37</f>
        <v>0</v>
      </c>
      <c r="BF39" s="33">
        <f t="shared" si="12"/>
        <v>0</v>
      </c>
      <c r="BG39" s="33">
        <f t="shared" si="13"/>
        <v>0</v>
      </c>
      <c r="BH39" s="33">
        <f t="shared" si="14"/>
        <v>0</v>
      </c>
    </row>
    <row r="40" spans="1:60" x14ac:dyDescent="0.25">
      <c r="A40" s="56">
        <v>89</v>
      </c>
      <c r="B40" s="22" t="s">
        <v>333</v>
      </c>
      <c r="C40" s="25">
        <v>0</v>
      </c>
      <c r="D40" s="25">
        <v>0</v>
      </c>
      <c r="E40" s="25">
        <v>0</v>
      </c>
      <c r="F40" s="25"/>
      <c r="G40" s="21">
        <f>'Apps &amp; Goals 26-27'!C38</f>
        <v>0</v>
      </c>
      <c r="H40" s="21">
        <f>'Apps &amp; Goals 26-27'!D38</f>
        <v>0</v>
      </c>
      <c r="I40" s="21">
        <f>'Apps &amp; Goals 26-27'!E38</f>
        <v>0</v>
      </c>
      <c r="J40" s="25">
        <f t="shared" si="0"/>
        <v>0</v>
      </c>
      <c r="K40" s="25">
        <f t="shared" si="1"/>
        <v>0</v>
      </c>
      <c r="L40" s="25">
        <f t="shared" si="2"/>
        <v>0</v>
      </c>
      <c r="M40">
        <v>89</v>
      </c>
      <c r="N40" s="45" t="s">
        <v>333</v>
      </c>
      <c r="O40" s="26">
        <v>1</v>
      </c>
      <c r="P40" s="26">
        <v>0</v>
      </c>
      <c r="Q40" s="26">
        <v>0</v>
      </c>
      <c r="R40" s="26"/>
      <c r="S40" s="20">
        <f>'Apps &amp; Goals 26-27'!F38</f>
        <v>0</v>
      </c>
      <c r="T40" s="20">
        <f>'Apps &amp; Goals 26-27'!G38</f>
        <v>0</v>
      </c>
      <c r="U40" s="20">
        <f>'Apps &amp; Goals 26-27'!H38</f>
        <v>0</v>
      </c>
      <c r="V40" s="26">
        <f t="shared" si="3"/>
        <v>1</v>
      </c>
      <c r="W40" s="26">
        <f t="shared" si="4"/>
        <v>0</v>
      </c>
      <c r="X40" s="26">
        <f t="shared" si="5"/>
        <v>0</v>
      </c>
      <c r="Z40" s="23" t="s">
        <v>333</v>
      </c>
      <c r="AA40" s="24">
        <v>3</v>
      </c>
      <c r="AB40" s="24">
        <v>0</v>
      </c>
      <c r="AC40" s="24">
        <v>0</v>
      </c>
      <c r="AD40" s="24"/>
      <c r="AE40" s="57">
        <f>'Apps &amp; Goals 26-27'!I38</f>
        <v>0</v>
      </c>
      <c r="AF40" s="57">
        <f>'Apps &amp; Goals 26-27'!J38</f>
        <v>0</v>
      </c>
      <c r="AG40" s="57">
        <f>'Apps &amp; Goals 26-27'!K38</f>
        <v>0</v>
      </c>
      <c r="AH40" s="24">
        <f t="shared" si="6"/>
        <v>3</v>
      </c>
      <c r="AI40" s="24">
        <f t="shared" si="7"/>
        <v>0</v>
      </c>
      <c r="AJ40" s="24">
        <f t="shared" si="8"/>
        <v>0</v>
      </c>
      <c r="AL40" s="19" t="s">
        <v>333</v>
      </c>
      <c r="AM40" s="18">
        <v>0</v>
      </c>
      <c r="AN40" s="18">
        <v>0</v>
      </c>
      <c r="AO40" s="18">
        <v>0</v>
      </c>
      <c r="AP40" s="18"/>
      <c r="AQ40" s="63">
        <f>'Apps &amp; Goals 26-27'!L38</f>
        <v>1</v>
      </c>
      <c r="AR40" s="63">
        <f>'Apps &amp; Goals 26-27'!M38</f>
        <v>0</v>
      </c>
      <c r="AS40" s="63">
        <f>'Apps &amp; Goals 26-27'!N38</f>
        <v>0</v>
      </c>
      <c r="AT40" s="18">
        <f t="shared" si="9"/>
        <v>1</v>
      </c>
      <c r="AU40" s="18">
        <f t="shared" si="10"/>
        <v>0</v>
      </c>
      <c r="AV40" s="18">
        <f t="shared" si="11"/>
        <v>0</v>
      </c>
      <c r="AX40" s="32" t="s">
        <v>333</v>
      </c>
      <c r="AY40" s="33">
        <v>0</v>
      </c>
      <c r="AZ40" s="33">
        <v>0</v>
      </c>
      <c r="BA40" s="33">
        <v>0</v>
      </c>
      <c r="BB40" s="33"/>
      <c r="BC40" s="64">
        <f>'Apps &amp; Goals 26-27'!O38</f>
        <v>0</v>
      </c>
      <c r="BD40" s="64">
        <f>'Apps &amp; Goals 26-27'!P38</f>
        <v>0</v>
      </c>
      <c r="BE40" s="64">
        <f>'Apps &amp; Goals 26-27'!Q38</f>
        <v>0</v>
      </c>
      <c r="BF40" s="33">
        <f t="shared" si="12"/>
        <v>0</v>
      </c>
      <c r="BG40" s="33">
        <f t="shared" si="13"/>
        <v>0</v>
      </c>
      <c r="BH40" s="33">
        <f t="shared" si="14"/>
        <v>0</v>
      </c>
    </row>
  </sheetData>
  <autoFilter ref="A5:BG5" xr:uid="{DD58B19C-85AF-4645-B388-993358A8A25A}">
    <filterColumn colId="49" showButton="0"/>
    <filterColumn colId="50" showButton="0"/>
    <filterColumn colId="51" showButton="0"/>
    <filterColumn colId="53" showButton="0"/>
    <filterColumn colId="54" showButton="0"/>
    <filterColumn colId="55" showButton="0"/>
    <filterColumn colId="57" showButton="0"/>
    <sortState xmlns:xlrd2="http://schemas.microsoft.com/office/spreadsheetml/2017/richdata2" ref="A6:BG38">
      <sortCondition ref="A5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Z40"/>
  <sheetViews>
    <sheetView zoomScale="90" zoomScaleNormal="90" zoomScalePageLayoutView="110" workbookViewId="0">
      <selection activeCell="Z3" sqref="Z3"/>
    </sheetView>
  </sheetViews>
  <sheetFormatPr defaultColWidth="8.85546875" defaultRowHeight="15" x14ac:dyDescent="0.25"/>
  <cols>
    <col min="1" max="1" width="3.42578125" customWidth="1"/>
    <col min="2" max="2" width="5" bestFit="1" customWidth="1"/>
    <col min="3" max="3" width="3.42578125" bestFit="1" customWidth="1"/>
    <col min="4" max="4" width="25.7109375" customWidth="1"/>
    <col min="6" max="7" width="8.7109375" customWidth="1"/>
    <col min="26" max="26" width="11.28515625" bestFit="1" customWidth="1"/>
  </cols>
  <sheetData>
    <row r="1" spans="1:26" x14ac:dyDescent="0.25">
      <c r="A1" s="1" t="s">
        <v>0</v>
      </c>
      <c r="B1" s="1"/>
      <c r="C1" s="1"/>
      <c r="D1" s="1"/>
      <c r="E1" s="1"/>
      <c r="F1" s="212"/>
      <c r="G1" s="212"/>
      <c r="H1" s="2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Z1" t="s">
        <v>280</v>
      </c>
    </row>
    <row r="2" spans="1:26" x14ac:dyDescent="0.25">
      <c r="A2" s="3"/>
      <c r="B2" s="3"/>
      <c r="C2" s="3"/>
      <c r="D2" s="5"/>
      <c r="E2" s="208" t="s">
        <v>4</v>
      </c>
      <c r="F2" s="209"/>
      <c r="G2" s="210"/>
      <c r="H2" s="213" t="s">
        <v>120</v>
      </c>
      <c r="I2" s="214"/>
      <c r="J2" s="215"/>
      <c r="K2" s="208" t="s">
        <v>108</v>
      </c>
      <c r="L2" s="209"/>
      <c r="M2" s="210"/>
      <c r="N2" s="213" t="s">
        <v>110</v>
      </c>
      <c r="O2" s="214"/>
      <c r="P2" s="215"/>
      <c r="Q2" s="208" t="s">
        <v>39</v>
      </c>
      <c r="R2" s="209"/>
      <c r="S2" s="210"/>
      <c r="T2" s="211" t="s">
        <v>7</v>
      </c>
      <c r="U2" s="211"/>
      <c r="V2" s="211"/>
      <c r="Z2" s="125">
        <v>46307</v>
      </c>
    </row>
    <row r="3" spans="1:26" x14ac:dyDescent="0.25">
      <c r="A3" s="3" t="s">
        <v>48</v>
      </c>
      <c r="B3" s="3"/>
      <c r="C3" s="3"/>
      <c r="D3" s="5" t="s">
        <v>1</v>
      </c>
      <c r="E3" s="5" t="s">
        <v>393</v>
      </c>
      <c r="F3" s="5" t="s">
        <v>394</v>
      </c>
      <c r="G3" s="5" t="s">
        <v>395</v>
      </c>
      <c r="H3" s="3" t="s">
        <v>393</v>
      </c>
      <c r="I3" s="3" t="s">
        <v>394</v>
      </c>
      <c r="J3" s="3" t="s">
        <v>395</v>
      </c>
      <c r="K3" s="5" t="s">
        <v>393</v>
      </c>
      <c r="L3" s="5" t="s">
        <v>394</v>
      </c>
      <c r="M3" s="5" t="s">
        <v>395</v>
      </c>
      <c r="N3" s="3" t="s">
        <v>393</v>
      </c>
      <c r="O3" s="3" t="s">
        <v>394</v>
      </c>
      <c r="P3" s="3" t="s">
        <v>395</v>
      </c>
      <c r="Q3" s="5" t="s">
        <v>393</v>
      </c>
      <c r="R3" s="5" t="s">
        <v>394</v>
      </c>
      <c r="S3" s="5" t="s">
        <v>395</v>
      </c>
      <c r="T3" s="8" t="s">
        <v>393</v>
      </c>
      <c r="U3" s="8" t="s">
        <v>394</v>
      </c>
      <c r="V3" s="8" t="s">
        <v>395</v>
      </c>
      <c r="W3" s="198" t="s">
        <v>438</v>
      </c>
    </row>
    <row r="4" spans="1:26" x14ac:dyDescent="0.25">
      <c r="A4" s="4">
        <v>1</v>
      </c>
      <c r="B4" s="4" t="s">
        <v>349</v>
      </c>
      <c r="C4" s="4" t="s">
        <v>350</v>
      </c>
      <c r="D4" s="37" t="s">
        <v>278</v>
      </c>
      <c r="E4" s="6">
        <f>'#'!J6</f>
        <v>113</v>
      </c>
      <c r="F4" s="6">
        <f>'#'!K6</f>
        <v>0</v>
      </c>
      <c r="G4" s="6">
        <f>'#'!L6</f>
        <v>0</v>
      </c>
      <c r="H4" s="4">
        <f>'#'!V6</f>
        <v>37</v>
      </c>
      <c r="I4" s="4">
        <f>'#'!W6</f>
        <v>0</v>
      </c>
      <c r="J4" s="4">
        <f>'#'!X6</f>
        <v>0</v>
      </c>
      <c r="K4" s="6">
        <f>'#'!AH6</f>
        <v>1</v>
      </c>
      <c r="L4" s="6">
        <f>'#'!AI6</f>
        <v>0</v>
      </c>
      <c r="M4" s="6">
        <f>'#'!AJ6</f>
        <v>0</v>
      </c>
      <c r="N4" s="4">
        <f>'#'!AT6</f>
        <v>3</v>
      </c>
      <c r="O4" s="4">
        <f>'#'!AU6</f>
        <v>0</v>
      </c>
      <c r="P4" s="4">
        <f>'#'!AV6</f>
        <v>0</v>
      </c>
      <c r="Q4" s="6">
        <f>'#'!BF6</f>
        <v>1</v>
      </c>
      <c r="R4" s="6">
        <f>'#'!BG6</f>
        <v>0</v>
      </c>
      <c r="S4" s="6">
        <f>'#'!BH6</f>
        <v>0</v>
      </c>
      <c r="T4" s="2">
        <f t="shared" ref="T4:V4" si="0">SUM(E4,H4,K4,N4,Q4)</f>
        <v>155</v>
      </c>
      <c r="U4" s="2">
        <f t="shared" ref="U4" si="1">SUM(F4,I4,L4,O4,R4)</f>
        <v>0</v>
      </c>
      <c r="V4" s="2">
        <f t="shared" si="0"/>
        <v>0</v>
      </c>
    </row>
    <row r="5" spans="1:26" x14ac:dyDescent="0.25">
      <c r="A5" s="4">
        <v>2</v>
      </c>
      <c r="B5" s="4" t="s">
        <v>351</v>
      </c>
      <c r="C5" s="4" t="s">
        <v>352</v>
      </c>
      <c r="D5" s="35" t="s">
        <v>196</v>
      </c>
      <c r="E5" s="6">
        <f>'#'!J7</f>
        <v>131</v>
      </c>
      <c r="F5" s="6">
        <f>'#'!K7</f>
        <v>7</v>
      </c>
      <c r="G5" s="6">
        <f>'#'!L7</f>
        <v>2</v>
      </c>
      <c r="H5" s="4">
        <f>'#'!V7</f>
        <v>37</v>
      </c>
      <c r="I5" s="4">
        <f>'#'!W7</f>
        <v>1</v>
      </c>
      <c r="J5" s="4">
        <f>'#'!X7</f>
        <v>0</v>
      </c>
      <c r="K5" s="6">
        <f>'#'!AH7</f>
        <v>5</v>
      </c>
      <c r="L5" s="6">
        <f>'#'!AI7</f>
        <v>0</v>
      </c>
      <c r="M5" s="6">
        <f>'#'!AJ7</f>
        <v>0</v>
      </c>
      <c r="N5" s="4">
        <f>'#'!AT7</f>
        <v>10</v>
      </c>
      <c r="O5" s="4">
        <f>'#'!AU7</f>
        <v>0</v>
      </c>
      <c r="P5" s="4">
        <f>'#'!AV7</f>
        <v>1</v>
      </c>
      <c r="Q5" s="6">
        <f>'#'!BF7</f>
        <v>1</v>
      </c>
      <c r="R5" s="6">
        <f>'#'!BG7</f>
        <v>0</v>
      </c>
      <c r="S5" s="6">
        <f>'#'!BH7</f>
        <v>0</v>
      </c>
      <c r="T5" s="2">
        <f t="shared" ref="T5:T15" si="2">SUM(E5,H5,K5,N5,Q5)</f>
        <v>184</v>
      </c>
      <c r="U5" s="2">
        <f t="shared" ref="U5:U15" si="3">SUM(F5,I5,L5,O5,R5)</f>
        <v>8</v>
      </c>
      <c r="V5" s="2">
        <f t="shared" ref="V5:V15" si="4">SUM(G5,J5,M5,P5,S5)</f>
        <v>3</v>
      </c>
    </row>
    <row r="6" spans="1:26" x14ac:dyDescent="0.25">
      <c r="A6" s="4">
        <v>3</v>
      </c>
      <c r="B6" s="27" t="s">
        <v>349</v>
      </c>
      <c r="C6" s="4" t="s">
        <v>352</v>
      </c>
      <c r="D6" s="35" t="s">
        <v>316</v>
      </c>
      <c r="E6" s="6">
        <f>'#'!J8</f>
        <v>22</v>
      </c>
      <c r="F6" s="6">
        <f>'#'!K8</f>
        <v>0</v>
      </c>
      <c r="G6" s="6">
        <f>'#'!L8</f>
        <v>0</v>
      </c>
      <c r="H6" s="4">
        <f>'#'!V8</f>
        <v>10</v>
      </c>
      <c r="I6" s="4">
        <f>'#'!W8</f>
        <v>0</v>
      </c>
      <c r="J6" s="4">
        <f>'#'!X8</f>
        <v>0</v>
      </c>
      <c r="K6" s="6">
        <f>'#'!AH8</f>
        <v>3</v>
      </c>
      <c r="L6" s="6">
        <f>'#'!AI8</f>
        <v>0</v>
      </c>
      <c r="M6" s="6">
        <f>'#'!AJ8</f>
        <v>0</v>
      </c>
      <c r="N6" s="4">
        <f>'#'!AT8</f>
        <v>2</v>
      </c>
      <c r="O6" s="4">
        <f>'#'!AU8</f>
        <v>0</v>
      </c>
      <c r="P6" s="4">
        <f>'#'!AV8</f>
        <v>0</v>
      </c>
      <c r="Q6" s="6">
        <f>'#'!BF8</f>
        <v>1</v>
      </c>
      <c r="R6" s="6">
        <f>'#'!BG8</f>
        <v>0</v>
      </c>
      <c r="S6" s="6">
        <f>'#'!BH8</f>
        <v>0</v>
      </c>
      <c r="T6" s="2">
        <f t="shared" si="2"/>
        <v>38</v>
      </c>
      <c r="U6" s="2">
        <f t="shared" si="3"/>
        <v>0</v>
      </c>
      <c r="V6" s="2">
        <f t="shared" si="4"/>
        <v>0</v>
      </c>
    </row>
    <row r="7" spans="1:26" x14ac:dyDescent="0.25">
      <c r="A7" s="4">
        <v>4</v>
      </c>
      <c r="B7" s="56" t="s">
        <v>355</v>
      </c>
      <c r="C7" s="4" t="s">
        <v>352</v>
      </c>
      <c r="D7" s="37" t="s">
        <v>220</v>
      </c>
      <c r="E7" s="6">
        <f>'#'!J9</f>
        <v>141</v>
      </c>
      <c r="F7" s="6">
        <f>'#'!K9</f>
        <v>6</v>
      </c>
      <c r="G7" s="6">
        <f>'#'!L9</f>
        <v>14</v>
      </c>
      <c r="H7" s="4">
        <f>'#'!V9</f>
        <v>38</v>
      </c>
      <c r="I7" s="4">
        <f>'#'!W9</f>
        <v>0</v>
      </c>
      <c r="J7" s="4">
        <f>'#'!X9</f>
        <v>2</v>
      </c>
      <c r="K7" s="6">
        <f>'#'!AH9</f>
        <v>6</v>
      </c>
      <c r="L7" s="6">
        <f>'#'!AI9</f>
        <v>0</v>
      </c>
      <c r="M7" s="6">
        <f>'#'!AJ9</f>
        <v>0</v>
      </c>
      <c r="N7" s="4">
        <f>'#'!AT9</f>
        <v>10</v>
      </c>
      <c r="O7" s="4">
        <f>'#'!AU9</f>
        <v>1</v>
      </c>
      <c r="P7" s="4">
        <f>'#'!AV9</f>
        <v>0</v>
      </c>
      <c r="Q7" s="6">
        <f>'#'!BF9</f>
        <v>2</v>
      </c>
      <c r="R7" s="6">
        <f>'#'!BG9</f>
        <v>0</v>
      </c>
      <c r="S7" s="6">
        <f>'#'!BH9</f>
        <v>0</v>
      </c>
      <c r="T7" s="2">
        <f t="shared" si="2"/>
        <v>197</v>
      </c>
      <c r="U7" s="2">
        <f t="shared" si="3"/>
        <v>7</v>
      </c>
      <c r="V7" s="2">
        <f t="shared" si="4"/>
        <v>16</v>
      </c>
    </row>
    <row r="8" spans="1:26" x14ac:dyDescent="0.25">
      <c r="A8" s="4">
        <v>5</v>
      </c>
      <c r="B8" s="4" t="s">
        <v>358</v>
      </c>
      <c r="C8" s="4" t="s">
        <v>352</v>
      </c>
      <c r="D8" s="37" t="s">
        <v>318</v>
      </c>
      <c r="E8" s="6">
        <f>'#'!J10</f>
        <v>28</v>
      </c>
      <c r="F8" s="6">
        <f>'#'!K10</f>
        <v>1</v>
      </c>
      <c r="G8" s="6">
        <f>'#'!L10</f>
        <v>2</v>
      </c>
      <c r="H8" s="4">
        <f>'#'!V10</f>
        <v>11</v>
      </c>
      <c r="I8" s="4">
        <f>'#'!W10</f>
        <v>0</v>
      </c>
      <c r="J8" s="4">
        <f>'#'!X10</f>
        <v>0</v>
      </c>
      <c r="K8" s="6">
        <f>'#'!AH10</f>
        <v>1</v>
      </c>
      <c r="L8" s="6">
        <f>'#'!AI10</f>
        <v>0</v>
      </c>
      <c r="M8" s="6">
        <f>'#'!AJ10</f>
        <v>0</v>
      </c>
      <c r="N8" s="4">
        <f>'#'!AT10</f>
        <v>3</v>
      </c>
      <c r="O8" s="4">
        <f>'#'!AU10</f>
        <v>0</v>
      </c>
      <c r="P8" s="4">
        <f>'#'!AV10</f>
        <v>0</v>
      </c>
      <c r="Q8" s="6">
        <f>'#'!BF10</f>
        <v>1</v>
      </c>
      <c r="R8" s="6">
        <f>'#'!BG10</f>
        <v>0</v>
      </c>
      <c r="S8" s="6">
        <f>'#'!BH10</f>
        <v>0</v>
      </c>
      <c r="T8" s="2">
        <f t="shared" si="2"/>
        <v>44</v>
      </c>
      <c r="U8" s="2">
        <f t="shared" si="3"/>
        <v>1</v>
      </c>
      <c r="V8" s="2">
        <f t="shared" si="4"/>
        <v>2</v>
      </c>
    </row>
    <row r="9" spans="1:26" x14ac:dyDescent="0.25">
      <c r="A9" s="4">
        <v>6</v>
      </c>
      <c r="B9" s="4" t="s">
        <v>357</v>
      </c>
      <c r="C9" s="4" t="s">
        <v>352</v>
      </c>
      <c r="D9" s="37" t="s">
        <v>198</v>
      </c>
      <c r="E9" s="6">
        <f>'#'!J11</f>
        <v>198</v>
      </c>
      <c r="F9" s="6">
        <f>'#'!K11</f>
        <v>20</v>
      </c>
      <c r="G9" s="6">
        <f>'#'!L11</f>
        <v>5</v>
      </c>
      <c r="H9" s="4">
        <f>'#'!V11</f>
        <v>45</v>
      </c>
      <c r="I9" s="4">
        <f>'#'!W11</f>
        <v>3</v>
      </c>
      <c r="J9" s="4">
        <f>'#'!X11</f>
        <v>1</v>
      </c>
      <c r="K9" s="6">
        <f>'#'!AH11</f>
        <v>7</v>
      </c>
      <c r="L9" s="6">
        <f>'#'!AI11</f>
        <v>1</v>
      </c>
      <c r="M9" s="6">
        <f>'#'!AJ11</f>
        <v>0</v>
      </c>
      <c r="N9" s="4">
        <f>'#'!AT11</f>
        <v>18</v>
      </c>
      <c r="O9" s="4">
        <f>'#'!AU11</f>
        <v>0</v>
      </c>
      <c r="P9" s="4">
        <f>'#'!AV11</f>
        <v>0</v>
      </c>
      <c r="Q9" s="6">
        <f>'#'!BF11</f>
        <v>2</v>
      </c>
      <c r="R9" s="6">
        <f>'#'!BG11</f>
        <v>0</v>
      </c>
      <c r="S9" s="6">
        <f>'#'!BH11</f>
        <v>0</v>
      </c>
      <c r="T9" s="2">
        <f t="shared" si="2"/>
        <v>270</v>
      </c>
      <c r="U9" s="2">
        <f t="shared" si="3"/>
        <v>24</v>
      </c>
      <c r="V9" s="2">
        <f t="shared" si="4"/>
        <v>6</v>
      </c>
    </row>
    <row r="10" spans="1:26" x14ac:dyDescent="0.25">
      <c r="A10" s="4">
        <v>7</v>
      </c>
      <c r="B10" s="56" t="s">
        <v>355</v>
      </c>
      <c r="C10" s="4" t="s">
        <v>354</v>
      </c>
      <c r="D10" s="37" t="s">
        <v>180</v>
      </c>
      <c r="E10" s="6">
        <f>'#'!J12</f>
        <v>232</v>
      </c>
      <c r="F10" s="6">
        <f>'#'!K12</f>
        <v>63</v>
      </c>
      <c r="G10" s="6">
        <f>'#'!L12</f>
        <v>50</v>
      </c>
      <c r="H10" s="4">
        <f>'#'!V12</f>
        <v>55</v>
      </c>
      <c r="I10" s="4">
        <f>'#'!W12</f>
        <v>18</v>
      </c>
      <c r="J10" s="4">
        <f>'#'!X12</f>
        <v>15</v>
      </c>
      <c r="K10" s="6">
        <f>'#'!AH12</f>
        <v>13</v>
      </c>
      <c r="L10" s="6">
        <f>'#'!AI12</f>
        <v>1</v>
      </c>
      <c r="M10" s="6">
        <f>'#'!AJ12</f>
        <v>1</v>
      </c>
      <c r="N10" s="4">
        <f>'#'!AT12</f>
        <v>17</v>
      </c>
      <c r="O10" s="4">
        <f>'#'!AU12</f>
        <v>2</v>
      </c>
      <c r="P10" s="4">
        <f>'#'!AV12</f>
        <v>2</v>
      </c>
      <c r="Q10" s="6">
        <f>'#'!BF12</f>
        <v>3</v>
      </c>
      <c r="R10" s="6">
        <f>'#'!BG12</f>
        <v>0</v>
      </c>
      <c r="S10" s="6">
        <f>'#'!BH12</f>
        <v>2</v>
      </c>
      <c r="T10" s="2">
        <f t="shared" si="2"/>
        <v>320</v>
      </c>
      <c r="U10" s="2">
        <f t="shared" si="3"/>
        <v>84</v>
      </c>
      <c r="V10" s="2">
        <f t="shared" si="4"/>
        <v>70</v>
      </c>
    </row>
    <row r="11" spans="1:26" x14ac:dyDescent="0.25">
      <c r="A11" s="4">
        <v>8</v>
      </c>
      <c r="B11" s="4" t="s">
        <v>359</v>
      </c>
      <c r="C11" s="4" t="s">
        <v>353</v>
      </c>
      <c r="D11" s="37" t="s">
        <v>218</v>
      </c>
      <c r="E11" s="6">
        <f>'#'!J13</f>
        <v>182</v>
      </c>
      <c r="F11" s="6">
        <f>'#'!K13</f>
        <v>37</v>
      </c>
      <c r="G11" s="6">
        <f>'#'!L13</f>
        <v>37</v>
      </c>
      <c r="H11" s="4">
        <f>'#'!V13</f>
        <v>42</v>
      </c>
      <c r="I11" s="4">
        <f>'#'!W13</f>
        <v>7</v>
      </c>
      <c r="J11" s="4">
        <f>'#'!X13</f>
        <v>3</v>
      </c>
      <c r="K11" s="6">
        <f>'#'!AH13</f>
        <v>6</v>
      </c>
      <c r="L11" s="6">
        <f>'#'!AI13</f>
        <v>0</v>
      </c>
      <c r="M11" s="6">
        <f>'#'!AJ13</f>
        <v>0</v>
      </c>
      <c r="N11" s="4">
        <f>'#'!AT13</f>
        <v>11</v>
      </c>
      <c r="O11" s="4">
        <f>'#'!AU13</f>
        <v>1</v>
      </c>
      <c r="P11" s="4">
        <f>'#'!AV13</f>
        <v>3</v>
      </c>
      <c r="Q11" s="6">
        <f>'#'!BF13</f>
        <v>2</v>
      </c>
      <c r="R11" s="6">
        <f>'#'!BG13</f>
        <v>1</v>
      </c>
      <c r="S11" s="6">
        <f>'#'!BH13</f>
        <v>0</v>
      </c>
      <c r="T11" s="2">
        <f t="shared" si="2"/>
        <v>243</v>
      </c>
      <c r="U11" s="2">
        <f t="shared" si="3"/>
        <v>46</v>
      </c>
      <c r="V11" s="2">
        <f t="shared" si="4"/>
        <v>43</v>
      </c>
    </row>
    <row r="12" spans="1:26" x14ac:dyDescent="0.25">
      <c r="A12" s="4">
        <v>10</v>
      </c>
      <c r="B12" s="56" t="s">
        <v>355</v>
      </c>
      <c r="C12" s="4" t="s">
        <v>353</v>
      </c>
      <c r="D12" s="37" t="s">
        <v>319</v>
      </c>
      <c r="E12" s="6">
        <f>'#'!J14</f>
        <v>36</v>
      </c>
      <c r="F12" s="6">
        <f>'#'!K14</f>
        <v>7</v>
      </c>
      <c r="G12" s="6">
        <f>'#'!L14</f>
        <v>2</v>
      </c>
      <c r="H12" s="4">
        <f>'#'!V14</f>
        <v>14</v>
      </c>
      <c r="I12" s="4">
        <f>'#'!W14</f>
        <v>1</v>
      </c>
      <c r="J12" s="4">
        <f>'#'!X14</f>
        <v>1</v>
      </c>
      <c r="K12" s="6">
        <f>'#'!AH14</f>
        <v>3</v>
      </c>
      <c r="L12" s="6">
        <f>'#'!AI14</f>
        <v>1</v>
      </c>
      <c r="M12" s="6">
        <f>'#'!AJ14</f>
        <v>2</v>
      </c>
      <c r="N12" s="4">
        <f>'#'!AT14</f>
        <v>5</v>
      </c>
      <c r="O12" s="4">
        <f>'#'!AU14</f>
        <v>1</v>
      </c>
      <c r="P12" s="4">
        <f>'#'!AV14</f>
        <v>1</v>
      </c>
      <c r="Q12" s="6">
        <f>'#'!BF14</f>
        <v>1</v>
      </c>
      <c r="R12" s="6">
        <f>'#'!BG14</f>
        <v>0</v>
      </c>
      <c r="S12" s="6">
        <f>'#'!BH14</f>
        <v>0</v>
      </c>
      <c r="T12" s="2">
        <f t="shared" si="2"/>
        <v>59</v>
      </c>
      <c r="U12" s="2">
        <f t="shared" si="3"/>
        <v>10</v>
      </c>
      <c r="V12" s="2">
        <f t="shared" si="4"/>
        <v>6</v>
      </c>
    </row>
    <row r="13" spans="1:26" x14ac:dyDescent="0.25">
      <c r="A13" s="4">
        <v>12</v>
      </c>
      <c r="B13" s="4" t="s">
        <v>356</v>
      </c>
      <c r="C13" s="4" t="s">
        <v>352</v>
      </c>
      <c r="D13" s="35" t="s">
        <v>276</v>
      </c>
      <c r="E13" s="6">
        <f>'#'!J15</f>
        <v>65</v>
      </c>
      <c r="F13" s="6">
        <f>'#'!K15</f>
        <v>4</v>
      </c>
      <c r="G13" s="6">
        <f>'#'!L15</f>
        <v>8</v>
      </c>
      <c r="H13" s="4">
        <f>'#'!V15</f>
        <v>21</v>
      </c>
      <c r="I13" s="4">
        <f>'#'!W15</f>
        <v>2</v>
      </c>
      <c r="J13" s="4">
        <f>'#'!X15</f>
        <v>2</v>
      </c>
      <c r="K13" s="6">
        <f>'#'!AH15</f>
        <v>3</v>
      </c>
      <c r="L13" s="6">
        <f>'#'!AI15</f>
        <v>0</v>
      </c>
      <c r="M13" s="6">
        <f>'#'!AJ15</f>
        <v>0</v>
      </c>
      <c r="N13" s="4">
        <f>'#'!AT15</f>
        <v>8</v>
      </c>
      <c r="O13" s="4">
        <f>'#'!AU15</f>
        <v>0</v>
      </c>
      <c r="P13" s="4">
        <f>'#'!AV15</f>
        <v>0</v>
      </c>
      <c r="Q13" s="6">
        <f>'#'!BF15</f>
        <v>1</v>
      </c>
      <c r="R13" s="6">
        <f>'#'!BG15</f>
        <v>0</v>
      </c>
      <c r="S13" s="6">
        <f>'#'!BH15</f>
        <v>0</v>
      </c>
      <c r="T13" s="2">
        <f t="shared" si="2"/>
        <v>98</v>
      </c>
      <c r="U13" s="2">
        <f t="shared" si="3"/>
        <v>6</v>
      </c>
      <c r="V13" s="2">
        <f t="shared" si="4"/>
        <v>10</v>
      </c>
    </row>
    <row r="14" spans="1:26" x14ac:dyDescent="0.25">
      <c r="A14" s="4">
        <v>13</v>
      </c>
      <c r="B14" s="27" t="s">
        <v>349</v>
      </c>
      <c r="C14" s="4" t="s">
        <v>350</v>
      </c>
      <c r="D14" s="149" t="s">
        <v>312</v>
      </c>
      <c r="E14" s="6">
        <f>'#'!J16</f>
        <v>1</v>
      </c>
      <c r="F14" s="6">
        <f>'#'!K16</f>
        <v>0</v>
      </c>
      <c r="G14" s="6">
        <f>'#'!L16</f>
        <v>0</v>
      </c>
      <c r="H14" s="4">
        <f>'#'!V16</f>
        <v>1</v>
      </c>
      <c r="I14" s="4">
        <f>'#'!W16</f>
        <v>0</v>
      </c>
      <c r="J14" s="4">
        <f>'#'!X16</f>
        <v>0</v>
      </c>
      <c r="K14" s="6">
        <f>'#'!AH16</f>
        <v>4</v>
      </c>
      <c r="L14" s="6">
        <f>'#'!AI16</f>
        <v>0</v>
      </c>
      <c r="M14" s="6">
        <f>'#'!AJ16</f>
        <v>0</v>
      </c>
      <c r="N14" s="4">
        <f>'#'!AT16</f>
        <v>7</v>
      </c>
      <c r="O14" s="4">
        <f>'#'!AU16</f>
        <v>0</v>
      </c>
      <c r="P14" s="4">
        <f>'#'!AV16</f>
        <v>0</v>
      </c>
      <c r="Q14" s="6">
        <f>'#'!BF16</f>
        <v>0</v>
      </c>
      <c r="R14" s="6">
        <f>'#'!BG16</f>
        <v>0</v>
      </c>
      <c r="S14" s="6">
        <f>'#'!BH16</f>
        <v>0</v>
      </c>
      <c r="T14" s="2">
        <f t="shared" si="2"/>
        <v>13</v>
      </c>
      <c r="U14" s="2">
        <f t="shared" si="3"/>
        <v>0</v>
      </c>
      <c r="V14" s="2">
        <f t="shared" si="4"/>
        <v>0</v>
      </c>
    </row>
    <row r="15" spans="1:26" x14ac:dyDescent="0.25">
      <c r="A15" s="4">
        <v>14</v>
      </c>
      <c r="B15" s="27" t="s">
        <v>360</v>
      </c>
      <c r="C15" s="4" t="s">
        <v>354</v>
      </c>
      <c r="D15" s="149" t="s">
        <v>317</v>
      </c>
      <c r="E15" s="6">
        <f>'#'!J17</f>
        <v>39</v>
      </c>
      <c r="F15" s="6">
        <f>'#'!K17</f>
        <v>14</v>
      </c>
      <c r="G15" s="6">
        <f>'#'!L17</f>
        <v>1</v>
      </c>
      <c r="H15" s="4">
        <f>'#'!V17</f>
        <v>14</v>
      </c>
      <c r="I15" s="4">
        <f>'#'!W17</f>
        <v>5</v>
      </c>
      <c r="J15" s="4">
        <f>'#'!X17</f>
        <v>1</v>
      </c>
      <c r="K15" s="6">
        <f>'#'!AH17</f>
        <v>2</v>
      </c>
      <c r="L15" s="6">
        <f>'#'!AI17</f>
        <v>1</v>
      </c>
      <c r="M15" s="6">
        <f>'#'!AJ17</f>
        <v>0</v>
      </c>
      <c r="N15" s="4">
        <f>'#'!AT17</f>
        <v>5</v>
      </c>
      <c r="O15" s="4">
        <f>'#'!AU17</f>
        <v>1</v>
      </c>
      <c r="P15" s="4">
        <f>'#'!AV17</f>
        <v>1</v>
      </c>
      <c r="Q15" s="6">
        <f>'#'!BF17</f>
        <v>1</v>
      </c>
      <c r="R15" s="6">
        <f>'#'!BG17</f>
        <v>0</v>
      </c>
      <c r="S15" s="6">
        <f>'#'!BH17</f>
        <v>0</v>
      </c>
      <c r="T15" s="2">
        <f t="shared" si="2"/>
        <v>61</v>
      </c>
      <c r="U15" s="2">
        <f t="shared" si="3"/>
        <v>21</v>
      </c>
      <c r="V15" s="2">
        <f t="shared" si="4"/>
        <v>3</v>
      </c>
    </row>
    <row r="16" spans="1:26" x14ac:dyDescent="0.25">
      <c r="A16" s="4">
        <v>15</v>
      </c>
      <c r="B16" s="27" t="s">
        <v>355</v>
      </c>
      <c r="C16" s="4" t="s">
        <v>352</v>
      </c>
      <c r="D16" s="149" t="s">
        <v>431</v>
      </c>
      <c r="E16" s="6">
        <f>'#'!J18</f>
        <v>5</v>
      </c>
      <c r="F16" s="6">
        <f>'#'!K18</f>
        <v>0</v>
      </c>
      <c r="G16" s="6">
        <f>'#'!L18</f>
        <v>0</v>
      </c>
      <c r="H16" s="4">
        <f>'#'!V18</f>
        <v>1</v>
      </c>
      <c r="I16" s="4">
        <f>'#'!W18</f>
        <v>0</v>
      </c>
      <c r="J16" s="4">
        <f>'#'!X18</f>
        <v>0</v>
      </c>
      <c r="K16" s="6">
        <f>'#'!AH18</f>
        <v>0</v>
      </c>
      <c r="L16" s="6">
        <f>'#'!AI18</f>
        <v>0</v>
      </c>
      <c r="M16" s="6">
        <f>'#'!AJ18</f>
        <v>0</v>
      </c>
      <c r="N16" s="4">
        <f>'#'!AT18</f>
        <v>1</v>
      </c>
      <c r="O16" s="4">
        <f>'#'!AU18</f>
        <v>0</v>
      </c>
      <c r="P16" s="4">
        <f>'#'!AV18</f>
        <v>0</v>
      </c>
      <c r="Q16" s="6">
        <f>'#'!BF18</f>
        <v>0</v>
      </c>
      <c r="R16" s="6">
        <f>'#'!BG18</f>
        <v>0</v>
      </c>
      <c r="S16" s="6">
        <f>'#'!BH18</f>
        <v>0</v>
      </c>
      <c r="T16" s="2">
        <f t="shared" ref="T16:T28" si="5">SUM(E16,H16,K16,N16,Q16)</f>
        <v>7</v>
      </c>
      <c r="U16" s="2">
        <f t="shared" ref="U16:U28" si="6">SUM(F16,I16,L16,O16,R16)</f>
        <v>0</v>
      </c>
      <c r="V16" s="2">
        <f t="shared" ref="V16:V28" si="7">SUM(G16,J16,M16,P16,S16)</f>
        <v>0</v>
      </c>
    </row>
    <row r="17" spans="1:23" x14ac:dyDescent="0.25">
      <c r="A17" s="4">
        <v>17</v>
      </c>
      <c r="B17" s="27" t="s">
        <v>361</v>
      </c>
      <c r="C17" s="4" t="s">
        <v>354</v>
      </c>
      <c r="D17" s="148" t="s">
        <v>343</v>
      </c>
      <c r="E17" s="6">
        <f>'#'!J19</f>
        <v>5</v>
      </c>
      <c r="F17" s="6">
        <f>'#'!K19</f>
        <v>0</v>
      </c>
      <c r="G17" s="6">
        <f>'#'!L19</f>
        <v>1</v>
      </c>
      <c r="H17" s="4">
        <f>'#'!V19</f>
        <v>1</v>
      </c>
      <c r="I17" s="4">
        <f>'#'!W19</f>
        <v>0</v>
      </c>
      <c r="J17" s="4">
        <f>'#'!X19</f>
        <v>1</v>
      </c>
      <c r="K17" s="6">
        <f>'#'!AH19</f>
        <v>0</v>
      </c>
      <c r="L17" s="6">
        <f>'#'!AI19</f>
        <v>0</v>
      </c>
      <c r="M17" s="6">
        <f>'#'!AJ19</f>
        <v>0</v>
      </c>
      <c r="N17" s="4">
        <f>'#'!AT19</f>
        <v>1</v>
      </c>
      <c r="O17" s="4">
        <f>'#'!AU19</f>
        <v>0</v>
      </c>
      <c r="P17" s="4">
        <f>'#'!AV19</f>
        <v>0</v>
      </c>
      <c r="Q17" s="6">
        <f>'#'!BF19</f>
        <v>1</v>
      </c>
      <c r="R17" s="6">
        <f>'#'!BG19</f>
        <v>0</v>
      </c>
      <c r="S17" s="6">
        <f>'#'!BH19</f>
        <v>2</v>
      </c>
      <c r="T17" s="2">
        <f t="shared" si="5"/>
        <v>8</v>
      </c>
      <c r="U17" s="2">
        <f t="shared" si="6"/>
        <v>0</v>
      </c>
      <c r="V17" s="2">
        <f t="shared" si="7"/>
        <v>4</v>
      </c>
    </row>
    <row r="18" spans="1:23" x14ac:dyDescent="0.25">
      <c r="A18" s="4">
        <v>20</v>
      </c>
      <c r="B18" s="56" t="s">
        <v>355</v>
      </c>
      <c r="C18" s="4" t="s">
        <v>354</v>
      </c>
      <c r="D18" s="148" t="s">
        <v>315</v>
      </c>
      <c r="E18" s="6">
        <f>'#'!J20</f>
        <v>29</v>
      </c>
      <c r="F18" s="6">
        <f>'#'!K20</f>
        <v>3</v>
      </c>
      <c r="G18" s="6">
        <f>'#'!L20</f>
        <v>1</v>
      </c>
      <c r="H18" s="4">
        <f>'#'!V20</f>
        <v>10</v>
      </c>
      <c r="I18" s="4">
        <f>'#'!W20</f>
        <v>3</v>
      </c>
      <c r="J18" s="4">
        <f>'#'!X20</f>
        <v>0</v>
      </c>
      <c r="K18" s="6">
        <f>'#'!AH20</f>
        <v>4</v>
      </c>
      <c r="L18" s="6">
        <f>'#'!AI20</f>
        <v>2</v>
      </c>
      <c r="M18" s="6">
        <f>'#'!AJ20</f>
        <v>2</v>
      </c>
      <c r="N18" s="4">
        <f>'#'!AT20</f>
        <v>4</v>
      </c>
      <c r="O18" s="4">
        <f>'#'!AU20</f>
        <v>1</v>
      </c>
      <c r="P18" s="4">
        <f>'#'!AV20</f>
        <v>0</v>
      </c>
      <c r="Q18" s="6">
        <f>'#'!BF20</f>
        <v>1</v>
      </c>
      <c r="R18" s="6">
        <f>'#'!BG20</f>
        <v>0</v>
      </c>
      <c r="S18" s="6">
        <f>'#'!BH20</f>
        <v>0</v>
      </c>
      <c r="T18" s="2">
        <f t="shared" si="5"/>
        <v>48</v>
      </c>
      <c r="U18" s="2">
        <f t="shared" si="6"/>
        <v>9</v>
      </c>
      <c r="V18" s="2">
        <f t="shared" si="7"/>
        <v>3</v>
      </c>
    </row>
    <row r="19" spans="1:23" x14ac:dyDescent="0.25">
      <c r="A19" s="56">
        <v>22</v>
      </c>
      <c r="B19" s="56" t="s">
        <v>355</v>
      </c>
      <c r="C19" s="4" t="s">
        <v>353</v>
      </c>
      <c r="D19" s="37" t="s">
        <v>263</v>
      </c>
      <c r="E19" s="6">
        <f>'#'!J21</f>
        <v>34</v>
      </c>
      <c r="F19" s="6">
        <f>'#'!K21</f>
        <v>4</v>
      </c>
      <c r="G19" s="6">
        <f>'#'!L21</f>
        <v>2</v>
      </c>
      <c r="H19" s="4">
        <f>'#'!V21</f>
        <v>10</v>
      </c>
      <c r="I19" s="4">
        <f>'#'!W21</f>
        <v>2</v>
      </c>
      <c r="J19" s="4">
        <f>'#'!X21</f>
        <v>0</v>
      </c>
      <c r="K19" s="6">
        <f>'#'!AH21</f>
        <v>1</v>
      </c>
      <c r="L19" s="6">
        <f>'#'!AI21</f>
        <v>0</v>
      </c>
      <c r="M19" s="6">
        <f>'#'!AJ21</f>
        <v>0</v>
      </c>
      <c r="N19" s="4">
        <f>'#'!AT21</f>
        <v>6</v>
      </c>
      <c r="O19" s="4">
        <f>'#'!AU21</f>
        <v>4</v>
      </c>
      <c r="P19" s="4">
        <f>'#'!AV21</f>
        <v>0</v>
      </c>
      <c r="Q19" s="6">
        <f>'#'!BF21</f>
        <v>0</v>
      </c>
      <c r="R19" s="6">
        <f>'#'!BG21</f>
        <v>0</v>
      </c>
      <c r="S19" s="6">
        <f>'#'!BH21</f>
        <v>0</v>
      </c>
      <c r="T19" s="2">
        <f t="shared" si="5"/>
        <v>51</v>
      </c>
      <c r="U19" s="2">
        <f t="shared" si="6"/>
        <v>10</v>
      </c>
      <c r="V19" s="2">
        <f t="shared" si="7"/>
        <v>2</v>
      </c>
      <c r="W19" t="s">
        <v>439</v>
      </c>
    </row>
    <row r="20" spans="1:23" x14ac:dyDescent="0.25">
      <c r="A20" s="4">
        <v>23</v>
      </c>
      <c r="B20" s="27" t="s">
        <v>349</v>
      </c>
      <c r="C20" s="4" t="s">
        <v>353</v>
      </c>
      <c r="D20" s="37" t="s">
        <v>293</v>
      </c>
      <c r="E20" s="6">
        <f>'#'!J22</f>
        <v>56</v>
      </c>
      <c r="F20" s="6">
        <f>'#'!K22</f>
        <v>11</v>
      </c>
      <c r="G20" s="6">
        <f>'#'!L22</f>
        <v>5</v>
      </c>
      <c r="H20" s="4">
        <f>'#'!V22</f>
        <v>20</v>
      </c>
      <c r="I20" s="4">
        <f>'#'!W22</f>
        <v>4</v>
      </c>
      <c r="J20" s="4">
        <f>'#'!X22</f>
        <v>3</v>
      </c>
      <c r="K20" s="6">
        <f>'#'!AH22</f>
        <v>2</v>
      </c>
      <c r="L20" s="6">
        <f>'#'!AI22</f>
        <v>0</v>
      </c>
      <c r="M20" s="6">
        <f>'#'!AJ22</f>
        <v>0</v>
      </c>
      <c r="N20" s="4">
        <f>'#'!AT22</f>
        <v>8</v>
      </c>
      <c r="O20" s="4">
        <f>'#'!AU22</f>
        <v>1</v>
      </c>
      <c r="P20" s="4">
        <f>'#'!AV22</f>
        <v>0</v>
      </c>
      <c r="Q20" s="6">
        <f>'#'!BF22</f>
        <v>0</v>
      </c>
      <c r="R20" s="6">
        <f>'#'!BG22</f>
        <v>0</v>
      </c>
      <c r="S20" s="6">
        <f>'#'!BH22</f>
        <v>0</v>
      </c>
      <c r="T20" s="2">
        <f t="shared" si="5"/>
        <v>86</v>
      </c>
      <c r="U20" s="2">
        <f t="shared" si="6"/>
        <v>16</v>
      </c>
      <c r="V20" s="2">
        <f t="shared" si="7"/>
        <v>8</v>
      </c>
    </row>
    <row r="21" spans="1:23" x14ac:dyDescent="0.25">
      <c r="A21" s="4">
        <v>29</v>
      </c>
      <c r="B21" s="27" t="s">
        <v>363</v>
      </c>
      <c r="C21" s="4" t="s">
        <v>354</v>
      </c>
      <c r="D21" s="148" t="s">
        <v>275</v>
      </c>
      <c r="E21" s="6">
        <f>'#'!J23</f>
        <v>78</v>
      </c>
      <c r="F21" s="6">
        <f>'#'!K23</f>
        <v>26</v>
      </c>
      <c r="G21" s="6">
        <f>'#'!L23</f>
        <v>13</v>
      </c>
      <c r="H21" s="4">
        <f>'#'!V23</f>
        <v>25</v>
      </c>
      <c r="I21" s="4">
        <f>'#'!W23</f>
        <v>9</v>
      </c>
      <c r="J21" s="4">
        <f>'#'!X23</f>
        <v>2</v>
      </c>
      <c r="K21" s="6">
        <f>'#'!AH23</f>
        <v>5</v>
      </c>
      <c r="L21" s="6">
        <f>'#'!AI23</f>
        <v>0</v>
      </c>
      <c r="M21" s="6">
        <f>'#'!AJ23</f>
        <v>1</v>
      </c>
      <c r="N21" s="4">
        <f>'#'!AT23</f>
        <v>9</v>
      </c>
      <c r="O21" s="4">
        <f>'#'!AU23</f>
        <v>3</v>
      </c>
      <c r="P21" s="4">
        <f>'#'!AV23</f>
        <v>0</v>
      </c>
      <c r="Q21" s="6">
        <f>'#'!BF23</f>
        <v>2</v>
      </c>
      <c r="R21" s="6">
        <f>'#'!BG23</f>
        <v>1</v>
      </c>
      <c r="S21" s="6">
        <f>'#'!BH23</f>
        <v>0</v>
      </c>
      <c r="T21" s="2">
        <f t="shared" si="5"/>
        <v>119</v>
      </c>
      <c r="U21" s="2">
        <f t="shared" si="6"/>
        <v>39</v>
      </c>
      <c r="V21" s="2">
        <f t="shared" si="7"/>
        <v>16</v>
      </c>
    </row>
    <row r="22" spans="1:23" x14ac:dyDescent="0.25">
      <c r="A22" s="4">
        <v>30</v>
      </c>
      <c r="B22" s="27" t="s">
        <v>351</v>
      </c>
      <c r="C22" s="4" t="s">
        <v>350</v>
      </c>
      <c r="D22" s="148" t="s">
        <v>344</v>
      </c>
      <c r="E22" s="6">
        <f>'#'!J24</f>
        <v>0</v>
      </c>
      <c r="F22" s="6">
        <f>'#'!K24</f>
        <v>0</v>
      </c>
      <c r="G22" s="6">
        <f>'#'!L24</f>
        <v>0</v>
      </c>
      <c r="H22" s="4">
        <f>'#'!V24</f>
        <v>0</v>
      </c>
      <c r="I22" s="4">
        <f>'#'!W24</f>
        <v>0</v>
      </c>
      <c r="J22" s="4">
        <f>'#'!X24</f>
        <v>0</v>
      </c>
      <c r="K22" s="6">
        <f>'#'!AH24</f>
        <v>0</v>
      </c>
      <c r="L22" s="6">
        <f>'#'!AI24</f>
        <v>0</v>
      </c>
      <c r="M22" s="6">
        <f>'#'!AJ24</f>
        <v>0</v>
      </c>
      <c r="N22" s="4">
        <f>'#'!AT24</f>
        <v>0</v>
      </c>
      <c r="O22" s="4">
        <f>'#'!AU24</f>
        <v>0</v>
      </c>
      <c r="P22" s="4">
        <f>'#'!AV24</f>
        <v>0</v>
      </c>
      <c r="Q22" s="6">
        <f>'#'!BF24</f>
        <v>0</v>
      </c>
      <c r="R22" s="6">
        <f>'#'!BG24</f>
        <v>0</v>
      </c>
      <c r="S22" s="6">
        <f>'#'!BH24</f>
        <v>0</v>
      </c>
      <c r="T22" s="2">
        <f t="shared" si="5"/>
        <v>0</v>
      </c>
      <c r="U22" s="2">
        <f t="shared" si="6"/>
        <v>0</v>
      </c>
      <c r="V22" s="2">
        <f t="shared" si="7"/>
        <v>0</v>
      </c>
    </row>
    <row r="23" spans="1:23" x14ac:dyDescent="0.25">
      <c r="A23" s="4">
        <v>33</v>
      </c>
      <c r="B23" s="27" t="s">
        <v>364</v>
      </c>
      <c r="C23" s="4" t="s">
        <v>352</v>
      </c>
      <c r="D23" s="148" t="s">
        <v>291</v>
      </c>
      <c r="E23" s="6">
        <f>'#'!J25</f>
        <v>51</v>
      </c>
      <c r="F23" s="6">
        <f>'#'!K25</f>
        <v>4</v>
      </c>
      <c r="G23" s="6">
        <f>'#'!L25</f>
        <v>5</v>
      </c>
      <c r="H23" s="4">
        <f>'#'!V25</f>
        <v>14</v>
      </c>
      <c r="I23" s="4">
        <f>'#'!W25</f>
        <v>1</v>
      </c>
      <c r="J23" s="4">
        <f>'#'!X25</f>
        <v>2</v>
      </c>
      <c r="K23" s="6">
        <f>'#'!AH25</f>
        <v>2</v>
      </c>
      <c r="L23" s="6">
        <f>'#'!AI25</f>
        <v>0</v>
      </c>
      <c r="M23" s="6">
        <f>'#'!AJ25</f>
        <v>0</v>
      </c>
      <c r="N23" s="4">
        <f>'#'!AT25</f>
        <v>4</v>
      </c>
      <c r="O23" s="4">
        <f>'#'!AU25</f>
        <v>0</v>
      </c>
      <c r="P23" s="4">
        <f>'#'!AV25</f>
        <v>0</v>
      </c>
      <c r="Q23" s="6">
        <f>'#'!BF25</f>
        <v>1</v>
      </c>
      <c r="R23" s="6">
        <f>'#'!BG25</f>
        <v>1</v>
      </c>
      <c r="S23" s="6">
        <f>'#'!BH25</f>
        <v>0</v>
      </c>
      <c r="T23" s="2">
        <f t="shared" si="5"/>
        <v>72</v>
      </c>
      <c r="U23" s="2">
        <f t="shared" si="6"/>
        <v>6</v>
      </c>
      <c r="V23" s="2">
        <f t="shared" si="7"/>
        <v>7</v>
      </c>
    </row>
    <row r="24" spans="1:23" x14ac:dyDescent="0.25">
      <c r="A24" s="4">
        <v>35</v>
      </c>
      <c r="B24" s="56" t="s">
        <v>355</v>
      </c>
      <c r="C24" s="4" t="s">
        <v>350</v>
      </c>
      <c r="D24" s="148" t="s">
        <v>303</v>
      </c>
      <c r="E24" s="6">
        <f>'#'!J26</f>
        <v>0</v>
      </c>
      <c r="F24" s="6">
        <f>'#'!K26</f>
        <v>0</v>
      </c>
      <c r="G24" s="6">
        <f>'#'!L26</f>
        <v>0</v>
      </c>
      <c r="H24" s="4">
        <f>'#'!V26</f>
        <v>0</v>
      </c>
      <c r="I24" s="4">
        <f>'#'!W26</f>
        <v>0</v>
      </c>
      <c r="J24" s="4">
        <f>'#'!X26</f>
        <v>0</v>
      </c>
      <c r="K24" s="6">
        <f>'#'!AH26</f>
        <v>1</v>
      </c>
      <c r="L24" s="6">
        <f>'#'!AI26</f>
        <v>0</v>
      </c>
      <c r="M24" s="6">
        <f>'#'!AJ26</f>
        <v>0</v>
      </c>
      <c r="N24" s="4">
        <f>'#'!AT26</f>
        <v>1</v>
      </c>
      <c r="O24" s="4">
        <f>'#'!AU26</f>
        <v>0</v>
      </c>
      <c r="P24" s="4">
        <f>'#'!AV26</f>
        <v>0</v>
      </c>
      <c r="Q24" s="6">
        <f>'#'!BF26</f>
        <v>0</v>
      </c>
      <c r="R24" s="6">
        <f>'#'!BG26</f>
        <v>0</v>
      </c>
      <c r="S24" s="6">
        <f>'#'!BH26</f>
        <v>0</v>
      </c>
      <c r="T24" s="2">
        <f t="shared" si="5"/>
        <v>2</v>
      </c>
      <c r="U24" s="2">
        <f t="shared" si="6"/>
        <v>0</v>
      </c>
      <c r="V24" s="2">
        <f t="shared" si="7"/>
        <v>0</v>
      </c>
      <c r="W24" t="s">
        <v>439</v>
      </c>
    </row>
    <row r="25" spans="1:23" x14ac:dyDescent="0.25">
      <c r="A25" s="4">
        <v>36</v>
      </c>
      <c r="B25" s="27" t="s">
        <v>349</v>
      </c>
      <c r="C25" s="4" t="s">
        <v>353</v>
      </c>
      <c r="D25" s="148" t="s">
        <v>313</v>
      </c>
      <c r="E25" s="6">
        <f>'#'!J27</f>
        <v>43</v>
      </c>
      <c r="F25" s="6">
        <f>'#'!K27</f>
        <v>5</v>
      </c>
      <c r="G25" s="6">
        <f>'#'!L27</f>
        <v>1</v>
      </c>
      <c r="H25" s="4">
        <f>'#'!V27</f>
        <v>14</v>
      </c>
      <c r="I25" s="4">
        <f>'#'!W27</f>
        <v>0</v>
      </c>
      <c r="J25" s="4">
        <f>'#'!X27</f>
        <v>2</v>
      </c>
      <c r="K25" s="6">
        <f>'#'!AH27</f>
        <v>3</v>
      </c>
      <c r="L25" s="6">
        <f>'#'!AI27</f>
        <v>0</v>
      </c>
      <c r="M25" s="6">
        <f>'#'!AJ27</f>
        <v>0</v>
      </c>
      <c r="N25" s="4">
        <f>'#'!AT27</f>
        <v>4</v>
      </c>
      <c r="O25" s="4">
        <f>'#'!AU27</f>
        <v>1</v>
      </c>
      <c r="P25" s="4">
        <f>'#'!AV27</f>
        <v>1</v>
      </c>
      <c r="Q25" s="6">
        <f>'#'!BF27</f>
        <v>1</v>
      </c>
      <c r="R25" s="6">
        <f>'#'!BG27</f>
        <v>0</v>
      </c>
      <c r="S25" s="6">
        <f>'#'!BH27</f>
        <v>0</v>
      </c>
      <c r="T25" s="2">
        <f t="shared" si="5"/>
        <v>65</v>
      </c>
      <c r="U25" s="2">
        <f t="shared" si="6"/>
        <v>6</v>
      </c>
      <c r="V25" s="2">
        <f t="shared" si="7"/>
        <v>4</v>
      </c>
    </row>
    <row r="26" spans="1:23" x14ac:dyDescent="0.25">
      <c r="A26" s="4">
        <v>39</v>
      </c>
      <c r="B26" s="4" t="s">
        <v>357</v>
      </c>
      <c r="C26" s="4" t="s">
        <v>353</v>
      </c>
      <c r="D26" s="148" t="s">
        <v>345</v>
      </c>
      <c r="E26" s="6">
        <f>'#'!J28</f>
        <v>4</v>
      </c>
      <c r="F26" s="6">
        <f>'#'!K28</f>
        <v>2</v>
      </c>
      <c r="G26" s="6">
        <f>'#'!L28</f>
        <v>0</v>
      </c>
      <c r="H26" s="4">
        <f>'#'!V28</f>
        <v>1</v>
      </c>
      <c r="I26" s="4">
        <f>'#'!W28</f>
        <v>0</v>
      </c>
      <c r="J26" s="4">
        <f>'#'!X28</f>
        <v>0</v>
      </c>
      <c r="K26" s="6">
        <f>'#'!AH28</f>
        <v>0</v>
      </c>
      <c r="L26" s="6">
        <f>'#'!AI28</f>
        <v>0</v>
      </c>
      <c r="M26" s="6">
        <f>'#'!AJ28</f>
        <v>0</v>
      </c>
      <c r="N26" s="4">
        <f>'#'!AT28</f>
        <v>1</v>
      </c>
      <c r="O26" s="4">
        <f>'#'!AU28</f>
        <v>0</v>
      </c>
      <c r="P26" s="4">
        <f>'#'!AV28</f>
        <v>0</v>
      </c>
      <c r="Q26" s="6">
        <f>'#'!BF28</f>
        <v>1</v>
      </c>
      <c r="R26" s="6">
        <f>'#'!BG28</f>
        <v>0</v>
      </c>
      <c r="S26" s="6">
        <f>'#'!BH28</f>
        <v>0</v>
      </c>
      <c r="T26" s="2">
        <f t="shared" si="5"/>
        <v>7</v>
      </c>
      <c r="U26" s="2">
        <f t="shared" si="6"/>
        <v>2</v>
      </c>
      <c r="V26" s="2">
        <f t="shared" si="7"/>
        <v>0</v>
      </c>
    </row>
    <row r="27" spans="1:23" x14ac:dyDescent="0.25">
      <c r="A27" s="56">
        <v>40</v>
      </c>
      <c r="B27" s="56" t="s">
        <v>355</v>
      </c>
      <c r="C27" s="28" t="s">
        <v>352</v>
      </c>
      <c r="D27" s="149" t="s">
        <v>341</v>
      </c>
      <c r="E27" s="6">
        <f>'#'!J29</f>
        <v>0</v>
      </c>
      <c r="F27" s="6">
        <f>'#'!K29</f>
        <v>0</v>
      </c>
      <c r="G27" s="6">
        <f>'#'!L29</f>
        <v>0</v>
      </c>
      <c r="H27" s="4">
        <f>'#'!V29</f>
        <v>0</v>
      </c>
      <c r="I27" s="4">
        <f>'#'!W29</f>
        <v>0</v>
      </c>
      <c r="J27" s="4">
        <f>'#'!X29</f>
        <v>0</v>
      </c>
      <c r="K27" s="6">
        <f>'#'!AH29</f>
        <v>1</v>
      </c>
      <c r="L27" s="6">
        <f>'#'!AI29</f>
        <v>0</v>
      </c>
      <c r="M27" s="6">
        <f>'#'!AJ29</f>
        <v>0</v>
      </c>
      <c r="N27" s="4">
        <f>'#'!AT29</f>
        <v>0</v>
      </c>
      <c r="O27" s="4">
        <f>'#'!AU29</f>
        <v>0</v>
      </c>
      <c r="P27" s="4">
        <f>'#'!AV29</f>
        <v>0</v>
      </c>
      <c r="Q27" s="6">
        <f>'#'!BF29</f>
        <v>0</v>
      </c>
      <c r="R27" s="6">
        <f>'#'!BG29</f>
        <v>0</v>
      </c>
      <c r="S27" s="6">
        <f>'#'!BH29</f>
        <v>0</v>
      </c>
      <c r="T27" s="2">
        <f>SUM(E27,H27,K27,N27,Q27)</f>
        <v>1</v>
      </c>
      <c r="U27" s="2">
        <f>SUM(F27,I27,L27,O27,R27)</f>
        <v>0</v>
      </c>
      <c r="V27" s="2">
        <f>SUM(G27,J27,M27,P27,S27)</f>
        <v>0</v>
      </c>
    </row>
    <row r="28" spans="1:23" x14ac:dyDescent="0.25">
      <c r="A28" s="4">
        <v>41</v>
      </c>
      <c r="B28" s="56" t="s">
        <v>355</v>
      </c>
      <c r="C28" s="4" t="s">
        <v>353</v>
      </c>
      <c r="D28" s="35" t="s">
        <v>277</v>
      </c>
      <c r="E28" s="6">
        <f>'#'!J30</f>
        <v>115</v>
      </c>
      <c r="F28" s="6">
        <f>'#'!K30</f>
        <v>15</v>
      </c>
      <c r="G28" s="6">
        <f>'#'!L30</f>
        <v>23</v>
      </c>
      <c r="H28" s="4">
        <f>'#'!V30</f>
        <v>37</v>
      </c>
      <c r="I28" s="4">
        <f>'#'!W30</f>
        <v>5</v>
      </c>
      <c r="J28" s="4">
        <f>'#'!X30</f>
        <v>5</v>
      </c>
      <c r="K28" s="6">
        <f>'#'!AH30</f>
        <v>2</v>
      </c>
      <c r="L28" s="6">
        <f>'#'!AI30</f>
        <v>0</v>
      </c>
      <c r="M28" s="6">
        <f>'#'!AJ30</f>
        <v>0</v>
      </c>
      <c r="N28" s="4">
        <f>'#'!AT30</f>
        <v>10</v>
      </c>
      <c r="O28" s="4">
        <f>'#'!AU30</f>
        <v>1</v>
      </c>
      <c r="P28" s="4">
        <f>'#'!AV30</f>
        <v>3</v>
      </c>
      <c r="Q28" s="6">
        <f>'#'!BF30</f>
        <v>2</v>
      </c>
      <c r="R28" s="6">
        <f>'#'!BG30</f>
        <v>0</v>
      </c>
      <c r="S28" s="6">
        <f>'#'!BH30</f>
        <v>0</v>
      </c>
      <c r="T28" s="2">
        <f t="shared" si="5"/>
        <v>166</v>
      </c>
      <c r="U28" s="2">
        <f t="shared" si="6"/>
        <v>21</v>
      </c>
      <c r="V28" s="2">
        <f t="shared" si="7"/>
        <v>31</v>
      </c>
    </row>
    <row r="29" spans="1:23" x14ac:dyDescent="0.25">
      <c r="A29" s="56">
        <v>43</v>
      </c>
      <c r="B29" s="56" t="s">
        <v>355</v>
      </c>
      <c r="C29" s="28" t="s">
        <v>354</v>
      </c>
      <c r="D29" s="148" t="s">
        <v>327</v>
      </c>
      <c r="E29" s="6">
        <f>'#'!J31</f>
        <v>0</v>
      </c>
      <c r="F29" s="6">
        <f>'#'!K31</f>
        <v>0</v>
      </c>
      <c r="G29" s="6">
        <f>'#'!L31</f>
        <v>0</v>
      </c>
      <c r="H29" s="4">
        <f>'#'!V31</f>
        <v>1</v>
      </c>
      <c r="I29" s="4">
        <f>'#'!W31</f>
        <v>0</v>
      </c>
      <c r="J29" s="4">
        <f>'#'!X31</f>
        <v>0</v>
      </c>
      <c r="K29" s="6">
        <f>'#'!AH31</f>
        <v>0</v>
      </c>
      <c r="L29" s="6">
        <f>'#'!AI31</f>
        <v>0</v>
      </c>
      <c r="M29" s="6">
        <f>'#'!AJ31</f>
        <v>0</v>
      </c>
      <c r="N29" s="4">
        <f>'#'!AT31</f>
        <v>1</v>
      </c>
      <c r="O29" s="4">
        <f>'#'!AU31</f>
        <v>0</v>
      </c>
      <c r="P29" s="4">
        <f>'#'!AV31</f>
        <v>0</v>
      </c>
      <c r="Q29" s="6">
        <f>'#'!BF31</f>
        <v>0</v>
      </c>
      <c r="R29" s="6">
        <f>'#'!BG31</f>
        <v>0</v>
      </c>
      <c r="S29" s="6">
        <f>'#'!BH31</f>
        <v>0</v>
      </c>
      <c r="T29" s="2">
        <f t="shared" ref="T29:V30" si="8">SUM(E29,H29,K29,N29,Q29)</f>
        <v>2</v>
      </c>
      <c r="U29" s="2">
        <f t="shared" si="8"/>
        <v>0</v>
      </c>
      <c r="V29" s="2">
        <f t="shared" si="8"/>
        <v>0</v>
      </c>
    </row>
    <row r="30" spans="1:23" x14ac:dyDescent="0.25">
      <c r="A30" s="28">
        <v>44</v>
      </c>
      <c r="B30" s="56" t="s">
        <v>355</v>
      </c>
      <c r="C30" s="28" t="s">
        <v>353</v>
      </c>
      <c r="D30" s="148" t="s">
        <v>338</v>
      </c>
      <c r="E30" s="6">
        <f>'#'!J32</f>
        <v>0</v>
      </c>
      <c r="F30" s="6">
        <f>'#'!K32</f>
        <v>0</v>
      </c>
      <c r="G30" s="6">
        <f>'#'!L32</f>
        <v>0</v>
      </c>
      <c r="H30" s="4">
        <f>'#'!V32</f>
        <v>1</v>
      </c>
      <c r="I30" s="4">
        <f>'#'!W32</f>
        <v>0</v>
      </c>
      <c r="J30" s="4">
        <f>'#'!X32</f>
        <v>0</v>
      </c>
      <c r="K30" s="6">
        <f>'#'!AH32</f>
        <v>0</v>
      </c>
      <c r="L30" s="6">
        <f>'#'!AI32</f>
        <v>0</v>
      </c>
      <c r="M30" s="6">
        <f>'#'!AJ32</f>
        <v>0</v>
      </c>
      <c r="N30" s="4">
        <f>'#'!AT32</f>
        <v>1</v>
      </c>
      <c r="O30" s="4">
        <f>'#'!AU32</f>
        <v>0</v>
      </c>
      <c r="P30" s="4">
        <f>'#'!AV32</f>
        <v>0</v>
      </c>
      <c r="Q30" s="6">
        <f>'#'!BF32</f>
        <v>0</v>
      </c>
      <c r="R30" s="6">
        <f>'#'!BG32</f>
        <v>0</v>
      </c>
      <c r="S30" s="6">
        <f>'#'!BH32</f>
        <v>0</v>
      </c>
      <c r="T30" s="2">
        <f t="shared" si="8"/>
        <v>2</v>
      </c>
      <c r="U30" s="2">
        <f t="shared" si="8"/>
        <v>0</v>
      </c>
      <c r="V30" s="2">
        <f t="shared" si="8"/>
        <v>0</v>
      </c>
    </row>
    <row r="31" spans="1:23" x14ac:dyDescent="0.25">
      <c r="A31" s="28">
        <v>45</v>
      </c>
      <c r="B31" s="56" t="s">
        <v>355</v>
      </c>
      <c r="C31" s="28" t="s">
        <v>353</v>
      </c>
      <c r="D31" s="148" t="s">
        <v>468</v>
      </c>
      <c r="E31" s="6">
        <f>'#'!J33</f>
        <v>0</v>
      </c>
      <c r="F31" s="6">
        <f>'#'!K33</f>
        <v>0</v>
      </c>
      <c r="G31" s="6">
        <f>'#'!L33</f>
        <v>0</v>
      </c>
      <c r="H31" s="4">
        <f>'#'!V33</f>
        <v>0</v>
      </c>
      <c r="I31" s="4">
        <f>'#'!W33</f>
        <v>0</v>
      </c>
      <c r="J31" s="4">
        <f>'#'!X33</f>
        <v>0</v>
      </c>
      <c r="K31" s="6">
        <f>'#'!AH33</f>
        <v>0</v>
      </c>
      <c r="L31" s="6">
        <f>'#'!AI33</f>
        <v>0</v>
      </c>
      <c r="M31" s="6">
        <f>'#'!AJ33</f>
        <v>0</v>
      </c>
      <c r="N31" s="4">
        <f>'#'!AT33</f>
        <v>1</v>
      </c>
      <c r="O31" s="4">
        <f>'#'!AU33</f>
        <v>0</v>
      </c>
      <c r="P31" s="4">
        <f>'#'!AV33</f>
        <v>0</v>
      </c>
      <c r="Q31" s="6">
        <f>'#'!BF33</f>
        <v>0</v>
      </c>
      <c r="R31" s="6">
        <f>'#'!BG33</f>
        <v>0</v>
      </c>
      <c r="S31" s="6">
        <f>'#'!BH33</f>
        <v>0</v>
      </c>
      <c r="T31" s="2">
        <f t="shared" ref="T31:T38" si="9">SUM(E31,H31,K31,N31,Q31)</f>
        <v>1</v>
      </c>
      <c r="U31" s="2">
        <f t="shared" ref="U31:U38" si="10">SUM(F31,I31,L31,O31,R31)</f>
        <v>0</v>
      </c>
      <c r="V31" s="2">
        <f t="shared" ref="V31:V38" si="11">SUM(G31,J31,M31,P31,S31)</f>
        <v>0</v>
      </c>
    </row>
    <row r="32" spans="1:23" x14ac:dyDescent="0.25">
      <c r="A32" s="4">
        <v>46</v>
      </c>
      <c r="B32" s="4" t="s">
        <v>356</v>
      </c>
      <c r="C32" s="4" t="s">
        <v>354</v>
      </c>
      <c r="D32" s="34" t="s">
        <v>298</v>
      </c>
      <c r="E32" s="6">
        <f>'#'!J34</f>
        <v>0</v>
      </c>
      <c r="F32" s="6">
        <f>'#'!K34</f>
        <v>0</v>
      </c>
      <c r="G32" s="6">
        <f>'#'!L34</f>
        <v>0</v>
      </c>
      <c r="H32" s="4">
        <f>'#'!V34</f>
        <v>0</v>
      </c>
      <c r="I32" s="4">
        <f>'#'!W34</f>
        <v>0</v>
      </c>
      <c r="J32" s="4">
        <f>'#'!X34</f>
        <v>0</v>
      </c>
      <c r="K32" s="6">
        <f>'#'!AH34</f>
        <v>0</v>
      </c>
      <c r="L32" s="6">
        <f>'#'!AI34</f>
        <v>0</v>
      </c>
      <c r="M32" s="6">
        <f>'#'!AJ34</f>
        <v>0</v>
      </c>
      <c r="N32" s="4">
        <f>'#'!AT34</f>
        <v>1</v>
      </c>
      <c r="O32" s="4">
        <f>'#'!AU34</f>
        <v>0</v>
      </c>
      <c r="P32" s="4">
        <f>'#'!AV34</f>
        <v>0</v>
      </c>
      <c r="Q32" s="6">
        <f>'#'!BF34</f>
        <v>0</v>
      </c>
      <c r="R32" s="6">
        <f>'#'!BG34</f>
        <v>0</v>
      </c>
      <c r="S32" s="6">
        <f>'#'!BH34</f>
        <v>0</v>
      </c>
      <c r="T32" s="2">
        <f t="shared" si="9"/>
        <v>1</v>
      </c>
      <c r="U32" s="2">
        <f t="shared" si="10"/>
        <v>0</v>
      </c>
      <c r="V32" s="2">
        <f t="shared" si="11"/>
        <v>0</v>
      </c>
      <c r="W32" t="s">
        <v>439</v>
      </c>
    </row>
    <row r="33" spans="1:23" x14ac:dyDescent="0.25">
      <c r="A33" s="56">
        <v>49</v>
      </c>
      <c r="B33" s="56" t="s">
        <v>355</v>
      </c>
      <c r="C33" s="4" t="s">
        <v>352</v>
      </c>
      <c r="D33" s="35" t="s">
        <v>297</v>
      </c>
      <c r="E33" s="6">
        <f>'#'!J35</f>
        <v>48</v>
      </c>
      <c r="F33" s="6">
        <f>'#'!K35</f>
        <v>1</v>
      </c>
      <c r="G33" s="6">
        <f>'#'!L35</f>
        <v>0</v>
      </c>
      <c r="H33" s="4">
        <f>'#'!V35</f>
        <v>20</v>
      </c>
      <c r="I33" s="4">
        <f>'#'!W35</f>
        <v>0</v>
      </c>
      <c r="J33" s="4">
        <f>'#'!X35</f>
        <v>3</v>
      </c>
      <c r="K33" s="6">
        <f>'#'!AH35</f>
        <v>4</v>
      </c>
      <c r="L33" s="6">
        <f>'#'!AI35</f>
        <v>0</v>
      </c>
      <c r="M33" s="6">
        <f>'#'!AJ35</f>
        <v>0</v>
      </c>
      <c r="N33" s="4">
        <f>'#'!AT35</f>
        <v>9</v>
      </c>
      <c r="O33" s="4">
        <f>'#'!AU35</f>
        <v>0</v>
      </c>
      <c r="P33" s="4">
        <f>'#'!AV35</f>
        <v>2</v>
      </c>
      <c r="Q33" s="6">
        <f>'#'!BF35</f>
        <v>1</v>
      </c>
      <c r="R33" s="6">
        <f>'#'!BG35</f>
        <v>0</v>
      </c>
      <c r="S33" s="6">
        <f>'#'!BH35</f>
        <v>1</v>
      </c>
      <c r="T33" s="2">
        <f t="shared" si="9"/>
        <v>82</v>
      </c>
      <c r="U33" s="2">
        <f t="shared" si="10"/>
        <v>1</v>
      </c>
      <c r="V33" s="2">
        <f t="shared" si="11"/>
        <v>6</v>
      </c>
    </row>
    <row r="34" spans="1:23" x14ac:dyDescent="0.25">
      <c r="A34" s="56">
        <v>53</v>
      </c>
      <c r="B34" s="56" t="s">
        <v>355</v>
      </c>
      <c r="C34" s="28" t="s">
        <v>354</v>
      </c>
      <c r="D34" s="148" t="s">
        <v>292</v>
      </c>
      <c r="E34" s="6">
        <f>'#'!J36</f>
        <v>0</v>
      </c>
      <c r="F34" s="6">
        <f>'#'!K36</f>
        <v>0</v>
      </c>
      <c r="G34" s="6">
        <f>'#'!L36</f>
        <v>0</v>
      </c>
      <c r="H34" s="4">
        <f>'#'!V36</f>
        <v>0</v>
      </c>
      <c r="I34" s="4">
        <f>'#'!W36</f>
        <v>0</v>
      </c>
      <c r="J34" s="4">
        <f>'#'!X36</f>
        <v>0</v>
      </c>
      <c r="K34" s="6">
        <f>'#'!AH36</f>
        <v>0</v>
      </c>
      <c r="L34" s="6">
        <f>'#'!AI36</f>
        <v>0</v>
      </c>
      <c r="M34" s="6">
        <f>'#'!AJ36</f>
        <v>0</v>
      </c>
      <c r="N34" s="4">
        <f>'#'!AT36</f>
        <v>1</v>
      </c>
      <c r="O34" s="4">
        <f>'#'!AU36</f>
        <v>0</v>
      </c>
      <c r="P34" s="4">
        <f>'#'!AV36</f>
        <v>0</v>
      </c>
      <c r="Q34" s="6">
        <f>'#'!BF36</f>
        <v>0</v>
      </c>
      <c r="R34" s="6">
        <f>'#'!BG36</f>
        <v>0</v>
      </c>
      <c r="S34" s="6">
        <f>'#'!BH36</f>
        <v>0</v>
      </c>
      <c r="T34" s="2">
        <f t="shared" si="9"/>
        <v>1</v>
      </c>
      <c r="U34" s="2">
        <f t="shared" si="10"/>
        <v>0</v>
      </c>
      <c r="V34" s="2">
        <f t="shared" si="11"/>
        <v>0</v>
      </c>
      <c r="W34" t="s">
        <v>439</v>
      </c>
    </row>
    <row r="35" spans="1:23" x14ac:dyDescent="0.25">
      <c r="A35" s="56">
        <v>55</v>
      </c>
      <c r="B35" s="56" t="s">
        <v>355</v>
      </c>
      <c r="C35" s="56" t="s">
        <v>350</v>
      </c>
      <c r="D35" s="37" t="s">
        <v>301</v>
      </c>
      <c r="E35" s="6">
        <f>'#'!J37</f>
        <v>0</v>
      </c>
      <c r="F35" s="6">
        <f>'#'!K37</f>
        <v>0</v>
      </c>
      <c r="G35" s="6">
        <f>'#'!L37</f>
        <v>0</v>
      </c>
      <c r="H35" s="4">
        <f>'#'!V37</f>
        <v>0</v>
      </c>
      <c r="I35" s="4">
        <f>'#'!W37</f>
        <v>0</v>
      </c>
      <c r="J35" s="4">
        <f>'#'!X37</f>
        <v>0</v>
      </c>
      <c r="K35" s="6">
        <f>'#'!AH37</f>
        <v>0</v>
      </c>
      <c r="L35" s="6">
        <f>'#'!AI37</f>
        <v>0</v>
      </c>
      <c r="M35" s="6">
        <f>'#'!AJ37</f>
        <v>0</v>
      </c>
      <c r="N35" s="4">
        <f>'#'!AT37</f>
        <v>1</v>
      </c>
      <c r="O35" s="4">
        <f>'#'!AU37</f>
        <v>0</v>
      </c>
      <c r="P35" s="4">
        <f>'#'!AV37</f>
        <v>0</v>
      </c>
      <c r="Q35" s="6">
        <f>'#'!BF37</f>
        <v>0</v>
      </c>
      <c r="R35" s="6">
        <f>'#'!BG37</f>
        <v>0</v>
      </c>
      <c r="S35" s="6">
        <f>'#'!BH37</f>
        <v>0</v>
      </c>
      <c r="T35" s="2">
        <f t="shared" si="9"/>
        <v>1</v>
      </c>
      <c r="U35" s="2">
        <f t="shared" si="10"/>
        <v>0</v>
      </c>
      <c r="V35" s="2">
        <f t="shared" si="11"/>
        <v>0</v>
      </c>
    </row>
    <row r="36" spans="1:23" x14ac:dyDescent="0.25">
      <c r="A36" s="56">
        <v>56</v>
      </c>
      <c r="B36" s="56" t="s">
        <v>355</v>
      </c>
      <c r="C36" s="28" t="s">
        <v>354</v>
      </c>
      <c r="D36" s="149" t="s">
        <v>322</v>
      </c>
      <c r="E36" s="6">
        <f>'#'!J38</f>
        <v>7</v>
      </c>
      <c r="F36" s="6">
        <f>'#'!K38</f>
        <v>1</v>
      </c>
      <c r="G36" s="6">
        <f>'#'!L38</f>
        <v>0</v>
      </c>
      <c r="H36" s="4">
        <f>'#'!V38</f>
        <v>3</v>
      </c>
      <c r="I36" s="4">
        <f>'#'!W38</f>
        <v>0</v>
      </c>
      <c r="J36" s="4">
        <f>'#'!X38</f>
        <v>0</v>
      </c>
      <c r="K36" s="6">
        <f>'#'!AH38</f>
        <v>2</v>
      </c>
      <c r="L36" s="6">
        <f>'#'!AI38</f>
        <v>0</v>
      </c>
      <c r="M36" s="6">
        <f>'#'!AJ38</f>
        <v>0</v>
      </c>
      <c r="N36" s="4">
        <f>'#'!AT38</f>
        <v>3</v>
      </c>
      <c r="O36" s="4">
        <f>'#'!AU38</f>
        <v>2</v>
      </c>
      <c r="P36" s="4">
        <f>'#'!AV38</f>
        <v>0</v>
      </c>
      <c r="Q36" s="6">
        <f>'#'!BF38</f>
        <v>0</v>
      </c>
      <c r="R36" s="6">
        <f>'#'!BG38</f>
        <v>0</v>
      </c>
      <c r="S36" s="6">
        <f>'#'!BH38</f>
        <v>0</v>
      </c>
      <c r="T36" s="2">
        <f t="shared" si="9"/>
        <v>15</v>
      </c>
      <c r="U36" s="2">
        <f t="shared" si="10"/>
        <v>3</v>
      </c>
      <c r="V36" s="2">
        <f t="shared" si="11"/>
        <v>0</v>
      </c>
    </row>
    <row r="37" spans="1:23" x14ac:dyDescent="0.25">
      <c r="A37" s="28">
        <v>71</v>
      </c>
      <c r="B37" s="56" t="s">
        <v>355</v>
      </c>
      <c r="C37" s="28" t="s">
        <v>354</v>
      </c>
      <c r="D37" s="148" t="s">
        <v>339</v>
      </c>
      <c r="E37" s="6">
        <f>'#'!J39</f>
        <v>0</v>
      </c>
      <c r="F37" s="6">
        <f>'#'!K39</f>
        <v>0</v>
      </c>
      <c r="G37" s="6">
        <f>'#'!L39</f>
        <v>0</v>
      </c>
      <c r="H37" s="4">
        <f>'#'!V39</f>
        <v>1</v>
      </c>
      <c r="I37" s="4">
        <f>'#'!W39</f>
        <v>0</v>
      </c>
      <c r="J37" s="4">
        <f>'#'!X39</f>
        <v>0</v>
      </c>
      <c r="K37" s="6">
        <f>'#'!AH39</f>
        <v>0</v>
      </c>
      <c r="L37" s="6">
        <f>'#'!AI39</f>
        <v>0</v>
      </c>
      <c r="M37" s="6">
        <f>'#'!AJ39</f>
        <v>0</v>
      </c>
      <c r="N37" s="4">
        <f>'#'!AT39</f>
        <v>0</v>
      </c>
      <c r="O37" s="4">
        <f>'#'!AU39</f>
        <v>0</v>
      </c>
      <c r="P37" s="4">
        <f>'#'!AV39</f>
        <v>0</v>
      </c>
      <c r="Q37" s="6">
        <f>'#'!BF39</f>
        <v>0</v>
      </c>
      <c r="R37" s="6">
        <f>'#'!BG39</f>
        <v>0</v>
      </c>
      <c r="S37" s="6">
        <f>'#'!BH39</f>
        <v>0</v>
      </c>
      <c r="T37" s="2">
        <f t="shared" si="9"/>
        <v>1</v>
      </c>
      <c r="U37" s="2">
        <f t="shared" si="10"/>
        <v>0</v>
      </c>
      <c r="V37" s="2">
        <f t="shared" si="11"/>
        <v>0</v>
      </c>
    </row>
    <row r="38" spans="1:23" x14ac:dyDescent="0.25">
      <c r="A38" s="28">
        <v>89</v>
      </c>
      <c r="B38" s="56" t="s">
        <v>355</v>
      </c>
      <c r="C38" s="28" t="s">
        <v>352</v>
      </c>
      <c r="D38" s="148" t="s">
        <v>333</v>
      </c>
      <c r="E38" s="6">
        <f>'#'!J40</f>
        <v>0</v>
      </c>
      <c r="F38" s="6">
        <f>'#'!K40</f>
        <v>0</v>
      </c>
      <c r="G38" s="6">
        <f>'#'!L40</f>
        <v>0</v>
      </c>
      <c r="H38" s="4">
        <f>'#'!V40</f>
        <v>1</v>
      </c>
      <c r="I38" s="4">
        <f>'#'!W40</f>
        <v>0</v>
      </c>
      <c r="J38" s="4">
        <f>'#'!X40</f>
        <v>0</v>
      </c>
      <c r="K38" s="6">
        <f>'#'!AH40</f>
        <v>3</v>
      </c>
      <c r="L38" s="6">
        <f>'#'!AI40</f>
        <v>0</v>
      </c>
      <c r="M38" s="6">
        <f>'#'!AJ40</f>
        <v>0</v>
      </c>
      <c r="N38" s="4">
        <f>'#'!AT40</f>
        <v>1</v>
      </c>
      <c r="O38" s="4">
        <f>'#'!AU40</f>
        <v>0</v>
      </c>
      <c r="P38" s="4">
        <f>'#'!AV40</f>
        <v>0</v>
      </c>
      <c r="Q38" s="6">
        <f>'#'!BF40</f>
        <v>0</v>
      </c>
      <c r="R38" s="6">
        <f>'#'!BG40</f>
        <v>0</v>
      </c>
      <c r="S38" s="6">
        <f>'#'!BH40</f>
        <v>0</v>
      </c>
      <c r="T38" s="2">
        <f t="shared" si="9"/>
        <v>5</v>
      </c>
      <c r="U38" s="2">
        <f t="shared" si="10"/>
        <v>0</v>
      </c>
      <c r="V38" s="2">
        <f t="shared" si="11"/>
        <v>0</v>
      </c>
    </row>
    <row r="40" spans="1:23" x14ac:dyDescent="0.25">
      <c r="F40" t="s">
        <v>308</v>
      </c>
    </row>
  </sheetData>
  <autoFilter ref="A3:U38" xr:uid="{00000000-0001-0000-0000-000000000000}"/>
  <mergeCells count="7">
    <mergeCell ref="Q2:S2"/>
    <mergeCell ref="T2:V2"/>
    <mergeCell ref="F1:H1"/>
    <mergeCell ref="E2:G2"/>
    <mergeCell ref="H2:J2"/>
    <mergeCell ref="K2:M2"/>
    <mergeCell ref="N2:P2"/>
  </mergeCells>
  <conditionalFormatting sqref="T4:T38 V4:V38">
    <cfRule type="cellIs" dxfId="37" priority="20" operator="greaterThan">
      <formula>396</formula>
    </cfRule>
  </conditionalFormatting>
  <conditionalFormatting sqref="U4:U38">
    <cfRule type="cellIs" dxfId="36" priority="15" operator="greaterThan">
      <formula>92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9" operator="greaterThan" id="{6E250DF4-8260-4D85-B5F2-1D5A23CB5B88}">
            <xm:f>'All-time records'!$C$22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T4:T38 V4:V38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3"/>
  <sheetViews>
    <sheetView zoomScale="80" zoomScaleNormal="80" zoomScalePageLayoutView="110" workbookViewId="0">
      <selection activeCell="B23" sqref="B23"/>
    </sheetView>
  </sheetViews>
  <sheetFormatPr defaultColWidth="8.85546875" defaultRowHeight="15" x14ac:dyDescent="0.25"/>
  <cols>
    <col min="1" max="1" width="3.7109375" customWidth="1"/>
    <col min="2" max="2" width="26.42578125" bestFit="1" customWidth="1"/>
    <col min="3" max="3" width="3.42578125" customWidth="1"/>
    <col min="5" max="5" width="8.7109375" customWidth="1"/>
    <col min="12" max="13" width="0" hidden="1" customWidth="1"/>
  </cols>
  <sheetData>
    <row r="1" spans="1:20" x14ac:dyDescent="0.25">
      <c r="A1" s="1" t="s">
        <v>0</v>
      </c>
      <c r="B1" s="1"/>
      <c r="C1" s="1"/>
      <c r="D1" s="1" t="s">
        <v>83</v>
      </c>
      <c r="E1" s="16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0" x14ac:dyDescent="0.25">
      <c r="A2" s="3"/>
      <c r="B2" s="5"/>
      <c r="C2" s="3"/>
      <c r="D2" s="206" t="s">
        <v>4</v>
      </c>
      <c r="E2" s="206"/>
      <c r="F2" s="207" t="s">
        <v>6</v>
      </c>
      <c r="G2" s="207"/>
      <c r="H2" s="206" t="s">
        <v>108</v>
      </c>
      <c r="I2" s="206"/>
      <c r="J2" s="207" t="s">
        <v>110</v>
      </c>
      <c r="K2" s="207"/>
      <c r="L2" s="206" t="s">
        <v>39</v>
      </c>
      <c r="M2" s="206"/>
      <c r="N2" s="211" t="s">
        <v>7</v>
      </c>
      <c r="O2" s="211"/>
    </row>
    <row r="3" spans="1:20" x14ac:dyDescent="0.25">
      <c r="A3" s="3" t="s">
        <v>48</v>
      </c>
      <c r="B3" s="5" t="s">
        <v>1</v>
      </c>
      <c r="C3" s="3" t="s">
        <v>38</v>
      </c>
      <c r="D3" s="5" t="s">
        <v>2</v>
      </c>
      <c r="E3" s="5" t="s">
        <v>3</v>
      </c>
      <c r="F3" s="3" t="s">
        <v>2</v>
      </c>
      <c r="G3" s="3" t="s">
        <v>3</v>
      </c>
      <c r="H3" s="5" t="s">
        <v>5</v>
      </c>
      <c r="I3" s="5" t="s">
        <v>3</v>
      </c>
      <c r="J3" s="3" t="s">
        <v>2</v>
      </c>
      <c r="K3" s="3" t="s">
        <v>3</v>
      </c>
      <c r="L3" s="5" t="s">
        <v>2</v>
      </c>
      <c r="M3" s="5" t="s">
        <v>3</v>
      </c>
      <c r="N3" s="8" t="s">
        <v>2</v>
      </c>
      <c r="O3" s="8" t="s">
        <v>3</v>
      </c>
    </row>
    <row r="4" spans="1:20" x14ac:dyDescent="0.25">
      <c r="A4" s="27">
        <v>1</v>
      </c>
      <c r="B4" s="36" t="s">
        <v>8</v>
      </c>
      <c r="C4" s="29">
        <v>7</v>
      </c>
      <c r="D4" s="6">
        <v>0</v>
      </c>
      <c r="E4" s="6">
        <v>0</v>
      </c>
      <c r="F4" s="4">
        <v>0</v>
      </c>
      <c r="G4" s="4">
        <v>0</v>
      </c>
      <c r="H4" s="6">
        <v>0</v>
      </c>
      <c r="I4" s="6">
        <v>0</v>
      </c>
      <c r="J4" s="4">
        <v>0</v>
      </c>
      <c r="K4" s="4">
        <v>0</v>
      </c>
      <c r="L4" s="6">
        <v>0</v>
      </c>
      <c r="M4" s="6">
        <v>0</v>
      </c>
      <c r="N4" s="2">
        <v>0</v>
      </c>
      <c r="O4" s="2">
        <v>0</v>
      </c>
    </row>
    <row r="5" spans="1:20" x14ac:dyDescent="0.25">
      <c r="A5" s="27">
        <v>2</v>
      </c>
      <c r="B5" s="34" t="s">
        <v>9</v>
      </c>
      <c r="C5" s="29">
        <v>2</v>
      </c>
      <c r="D5" s="6">
        <v>1</v>
      </c>
      <c r="E5" s="6">
        <v>0</v>
      </c>
      <c r="F5" s="4">
        <v>0</v>
      </c>
      <c r="G5" s="4">
        <v>0</v>
      </c>
      <c r="H5" s="6">
        <v>0</v>
      </c>
      <c r="I5" s="6">
        <v>0</v>
      </c>
      <c r="J5" s="4">
        <v>0</v>
      </c>
      <c r="K5" s="4">
        <v>0</v>
      </c>
      <c r="L5" s="6">
        <v>0</v>
      </c>
      <c r="M5" s="6">
        <v>0</v>
      </c>
      <c r="N5" s="2">
        <v>1</v>
      </c>
      <c r="O5" s="2">
        <v>0</v>
      </c>
    </row>
    <row r="6" spans="1:20" x14ac:dyDescent="0.25">
      <c r="A6" s="27">
        <v>3</v>
      </c>
      <c r="B6" s="34" t="s">
        <v>10</v>
      </c>
      <c r="C6" s="29">
        <v>9</v>
      </c>
      <c r="D6" s="6">
        <v>11</v>
      </c>
      <c r="E6" s="6">
        <v>0</v>
      </c>
      <c r="F6" s="4">
        <v>6</v>
      </c>
      <c r="G6" s="4">
        <v>0</v>
      </c>
      <c r="H6" s="6">
        <v>2</v>
      </c>
      <c r="I6" s="6">
        <v>0</v>
      </c>
      <c r="J6" s="4">
        <v>3</v>
      </c>
      <c r="K6" s="4">
        <v>0</v>
      </c>
      <c r="L6" s="6">
        <v>0</v>
      </c>
      <c r="M6" s="6">
        <v>0</v>
      </c>
      <c r="N6" s="2">
        <v>22</v>
      </c>
      <c r="O6" s="2">
        <v>0</v>
      </c>
      <c r="T6" s="41"/>
    </row>
    <row r="7" spans="1:20" x14ac:dyDescent="0.25">
      <c r="A7" s="27">
        <v>4</v>
      </c>
      <c r="B7" s="34" t="s">
        <v>11</v>
      </c>
      <c r="C7" s="29">
        <v>5</v>
      </c>
      <c r="D7" s="6">
        <v>1</v>
      </c>
      <c r="E7" s="6">
        <v>0</v>
      </c>
      <c r="F7" s="4">
        <v>0</v>
      </c>
      <c r="G7" s="4">
        <v>0</v>
      </c>
      <c r="H7" s="6">
        <v>1</v>
      </c>
      <c r="I7" s="6">
        <v>0</v>
      </c>
      <c r="J7" s="4">
        <v>0</v>
      </c>
      <c r="K7" s="4">
        <v>0</v>
      </c>
      <c r="L7" s="6">
        <v>0</v>
      </c>
      <c r="M7" s="6">
        <v>0</v>
      </c>
      <c r="N7" s="2">
        <v>2</v>
      </c>
      <c r="O7" s="2">
        <v>0</v>
      </c>
      <c r="T7" s="42"/>
    </row>
    <row r="8" spans="1:20" x14ac:dyDescent="0.25">
      <c r="A8" s="27">
        <v>5</v>
      </c>
      <c r="B8" s="34" t="s">
        <v>84</v>
      </c>
      <c r="C8" s="29">
        <v>2</v>
      </c>
      <c r="D8" s="6">
        <v>19</v>
      </c>
      <c r="E8" s="6">
        <v>0</v>
      </c>
      <c r="F8" s="4">
        <v>2</v>
      </c>
      <c r="G8" s="4">
        <v>0</v>
      </c>
      <c r="H8" s="6">
        <v>3</v>
      </c>
      <c r="I8" s="6">
        <v>0</v>
      </c>
      <c r="J8" s="4">
        <v>3</v>
      </c>
      <c r="K8" s="4">
        <v>0</v>
      </c>
      <c r="L8" s="6">
        <v>0</v>
      </c>
      <c r="M8" s="6">
        <v>0</v>
      </c>
      <c r="N8" s="2">
        <v>27</v>
      </c>
      <c r="O8" s="2">
        <v>0</v>
      </c>
      <c r="T8" s="43"/>
    </row>
    <row r="9" spans="1:20" x14ac:dyDescent="0.25">
      <c r="A9" s="27">
        <v>6</v>
      </c>
      <c r="B9" s="34" t="s">
        <v>12</v>
      </c>
      <c r="C9" s="29">
        <v>6</v>
      </c>
      <c r="D9" s="6">
        <v>33</v>
      </c>
      <c r="E9" s="6">
        <v>2</v>
      </c>
      <c r="F9" s="4">
        <v>8</v>
      </c>
      <c r="G9" s="4">
        <v>0</v>
      </c>
      <c r="H9" s="6">
        <v>2</v>
      </c>
      <c r="I9" s="6">
        <v>0</v>
      </c>
      <c r="J9" s="4">
        <v>0</v>
      </c>
      <c r="K9" s="4">
        <v>0</v>
      </c>
      <c r="L9" s="6">
        <v>0</v>
      </c>
      <c r="M9" s="6">
        <v>0</v>
      </c>
      <c r="N9" s="2">
        <v>43</v>
      </c>
      <c r="O9" s="2">
        <v>2</v>
      </c>
      <c r="T9" s="44"/>
    </row>
    <row r="10" spans="1:20" x14ac:dyDescent="0.25">
      <c r="A10" s="27">
        <v>7</v>
      </c>
      <c r="B10" s="35" t="s">
        <v>23</v>
      </c>
      <c r="C10" s="29">
        <v>2</v>
      </c>
      <c r="D10" s="6">
        <v>38</v>
      </c>
      <c r="E10" s="6">
        <v>24</v>
      </c>
      <c r="F10" s="4">
        <v>8</v>
      </c>
      <c r="G10" s="4">
        <v>3</v>
      </c>
      <c r="H10" s="6">
        <v>5</v>
      </c>
      <c r="I10" s="6">
        <v>3</v>
      </c>
      <c r="J10" s="4">
        <v>0</v>
      </c>
      <c r="K10" s="4">
        <v>0</v>
      </c>
      <c r="L10" s="6">
        <v>0</v>
      </c>
      <c r="M10" s="6">
        <v>0</v>
      </c>
      <c r="N10" s="2">
        <v>51</v>
      </c>
      <c r="O10" s="2">
        <v>30</v>
      </c>
    </row>
    <row r="11" spans="1:20" x14ac:dyDescent="0.25">
      <c r="A11" s="27">
        <v>8</v>
      </c>
      <c r="B11" s="39" t="s">
        <v>22</v>
      </c>
      <c r="C11" s="29">
        <v>8</v>
      </c>
      <c r="D11" s="6">
        <v>23</v>
      </c>
      <c r="E11" s="6">
        <v>1</v>
      </c>
      <c r="F11" s="4">
        <v>4</v>
      </c>
      <c r="G11" s="4">
        <v>0</v>
      </c>
      <c r="H11" s="6">
        <v>4</v>
      </c>
      <c r="I11" s="6">
        <v>3</v>
      </c>
      <c r="J11" s="4">
        <v>1</v>
      </c>
      <c r="K11" s="4">
        <v>0</v>
      </c>
      <c r="L11" s="6">
        <v>0</v>
      </c>
      <c r="M11" s="6">
        <v>0</v>
      </c>
      <c r="N11" s="2">
        <v>32</v>
      </c>
      <c r="O11" s="2">
        <v>4</v>
      </c>
    </row>
    <row r="12" spans="1:20" x14ac:dyDescent="0.25">
      <c r="A12" s="27">
        <v>9</v>
      </c>
      <c r="B12" s="39" t="s">
        <v>106</v>
      </c>
      <c r="C12" s="29">
        <v>1</v>
      </c>
      <c r="D12" s="6">
        <v>12</v>
      </c>
      <c r="E12" s="6">
        <v>1</v>
      </c>
      <c r="F12" s="4">
        <v>3</v>
      </c>
      <c r="G12" s="4">
        <v>3</v>
      </c>
      <c r="H12" s="6">
        <v>4</v>
      </c>
      <c r="I12" s="6">
        <v>1</v>
      </c>
      <c r="J12" s="4">
        <v>3</v>
      </c>
      <c r="K12" s="4">
        <v>2</v>
      </c>
      <c r="L12" s="6">
        <v>0</v>
      </c>
      <c r="M12" s="6">
        <v>0</v>
      </c>
      <c r="N12" s="2">
        <v>22</v>
      </c>
      <c r="O12" s="2">
        <v>7</v>
      </c>
    </row>
    <row r="13" spans="1:20" x14ac:dyDescent="0.25">
      <c r="A13" s="27">
        <v>10</v>
      </c>
      <c r="B13" s="39" t="s">
        <v>16</v>
      </c>
      <c r="C13" s="29">
        <v>8</v>
      </c>
      <c r="D13" s="6">
        <v>2</v>
      </c>
      <c r="E13" s="6">
        <v>0</v>
      </c>
      <c r="F13" s="4">
        <v>0</v>
      </c>
      <c r="G13" s="4">
        <v>0</v>
      </c>
      <c r="H13" s="6">
        <v>0</v>
      </c>
      <c r="I13" s="6">
        <v>0</v>
      </c>
      <c r="J13" s="4">
        <v>0</v>
      </c>
      <c r="K13" s="4">
        <v>0</v>
      </c>
      <c r="L13" s="6">
        <v>0</v>
      </c>
      <c r="M13" s="6">
        <v>0</v>
      </c>
      <c r="N13" s="2">
        <v>2</v>
      </c>
      <c r="O13" s="2">
        <v>0</v>
      </c>
    </row>
    <row r="14" spans="1:20" x14ac:dyDescent="0.25">
      <c r="A14" s="27">
        <v>11</v>
      </c>
      <c r="B14" s="39" t="s">
        <v>17</v>
      </c>
      <c r="C14" s="29">
        <v>3</v>
      </c>
      <c r="D14" s="6">
        <v>33</v>
      </c>
      <c r="E14" s="6">
        <v>8</v>
      </c>
      <c r="F14" s="4">
        <v>8</v>
      </c>
      <c r="G14" s="4">
        <v>4</v>
      </c>
      <c r="H14" s="6">
        <v>3</v>
      </c>
      <c r="I14" s="6">
        <v>0</v>
      </c>
      <c r="J14" s="4">
        <v>0</v>
      </c>
      <c r="K14" s="4">
        <v>0</v>
      </c>
      <c r="L14" s="6">
        <v>0</v>
      </c>
      <c r="M14" s="6">
        <v>0</v>
      </c>
      <c r="N14" s="2">
        <v>44</v>
      </c>
      <c r="O14" s="2">
        <v>12</v>
      </c>
    </row>
    <row r="15" spans="1:20" x14ac:dyDescent="0.25">
      <c r="A15" s="27">
        <v>12</v>
      </c>
      <c r="B15" s="35" t="s">
        <v>18</v>
      </c>
      <c r="C15" s="29">
        <v>4</v>
      </c>
      <c r="D15" s="6">
        <v>29</v>
      </c>
      <c r="E15" s="6">
        <v>12</v>
      </c>
      <c r="F15" s="4">
        <v>6</v>
      </c>
      <c r="G15" s="4">
        <v>2</v>
      </c>
      <c r="H15" s="6">
        <v>4</v>
      </c>
      <c r="I15" s="6">
        <v>2</v>
      </c>
      <c r="J15" s="4">
        <v>1</v>
      </c>
      <c r="K15" s="4">
        <v>0</v>
      </c>
      <c r="L15" s="6">
        <v>0</v>
      </c>
      <c r="M15" s="6">
        <v>0</v>
      </c>
      <c r="N15" s="2">
        <v>40</v>
      </c>
      <c r="O15" s="2">
        <v>16</v>
      </c>
    </row>
    <row r="16" spans="1:20" x14ac:dyDescent="0.25">
      <c r="A16" s="27">
        <v>13</v>
      </c>
      <c r="B16" s="36" t="s">
        <v>21</v>
      </c>
      <c r="C16" s="29">
        <v>2</v>
      </c>
      <c r="D16" s="6">
        <v>2</v>
      </c>
      <c r="E16" s="6">
        <v>0</v>
      </c>
      <c r="F16" s="4">
        <v>7</v>
      </c>
      <c r="G16" s="4">
        <v>0</v>
      </c>
      <c r="H16" s="6">
        <v>4</v>
      </c>
      <c r="I16" s="6">
        <v>0</v>
      </c>
      <c r="J16" s="4">
        <v>0</v>
      </c>
      <c r="K16" s="4">
        <v>0</v>
      </c>
      <c r="L16" s="6">
        <v>0</v>
      </c>
      <c r="M16" s="6">
        <v>0</v>
      </c>
      <c r="N16" s="2">
        <v>13</v>
      </c>
      <c r="O16" s="2">
        <v>0</v>
      </c>
    </row>
    <row r="17" spans="1:15" x14ac:dyDescent="0.25">
      <c r="A17" s="27">
        <v>14</v>
      </c>
      <c r="B17" s="35" t="s">
        <v>19</v>
      </c>
      <c r="C17" s="29">
        <v>11</v>
      </c>
      <c r="D17" s="6">
        <v>28</v>
      </c>
      <c r="E17" s="6">
        <v>10</v>
      </c>
      <c r="F17" s="4">
        <v>6</v>
      </c>
      <c r="G17" s="4">
        <v>4</v>
      </c>
      <c r="H17" s="6">
        <v>3</v>
      </c>
      <c r="I17" s="6">
        <v>5</v>
      </c>
      <c r="J17" s="4">
        <v>0</v>
      </c>
      <c r="K17" s="4">
        <v>0</v>
      </c>
      <c r="L17" s="6">
        <v>0</v>
      </c>
      <c r="M17" s="6">
        <v>0</v>
      </c>
      <c r="N17" s="2">
        <v>37</v>
      </c>
      <c r="O17" s="2">
        <v>19</v>
      </c>
    </row>
    <row r="18" spans="1:15" x14ac:dyDescent="0.25">
      <c r="A18" s="27">
        <v>15</v>
      </c>
      <c r="B18" s="39" t="s">
        <v>20</v>
      </c>
      <c r="C18" s="29">
        <v>5</v>
      </c>
      <c r="D18" s="6">
        <v>29</v>
      </c>
      <c r="E18" s="6">
        <v>2</v>
      </c>
      <c r="F18" s="4">
        <v>7</v>
      </c>
      <c r="G18" s="4">
        <v>1</v>
      </c>
      <c r="H18" s="6">
        <v>6</v>
      </c>
      <c r="I18" s="6">
        <v>0</v>
      </c>
      <c r="J18" s="4">
        <v>3</v>
      </c>
      <c r="K18" s="4">
        <v>3</v>
      </c>
      <c r="L18" s="6">
        <v>0</v>
      </c>
      <c r="M18" s="6">
        <v>0</v>
      </c>
      <c r="N18" s="2">
        <v>45</v>
      </c>
      <c r="O18" s="2">
        <v>6</v>
      </c>
    </row>
    <row r="19" spans="1:15" x14ac:dyDescent="0.25">
      <c r="A19" s="27">
        <v>16</v>
      </c>
      <c r="B19" s="39" t="s">
        <v>103</v>
      </c>
      <c r="C19" s="29">
        <v>1</v>
      </c>
      <c r="D19" s="6">
        <v>9</v>
      </c>
      <c r="E19" s="6">
        <v>0</v>
      </c>
      <c r="F19" s="4">
        <v>1</v>
      </c>
      <c r="G19" s="4">
        <v>0</v>
      </c>
      <c r="H19" s="6">
        <v>5</v>
      </c>
      <c r="I19" s="6">
        <v>0</v>
      </c>
      <c r="J19" s="4">
        <v>3</v>
      </c>
      <c r="K19" s="4">
        <v>0</v>
      </c>
      <c r="L19" s="6">
        <v>0</v>
      </c>
      <c r="M19" s="6">
        <v>0</v>
      </c>
      <c r="N19" s="2">
        <v>18</v>
      </c>
      <c r="O19" s="2">
        <v>0</v>
      </c>
    </row>
    <row r="20" spans="1:15" x14ac:dyDescent="0.25">
      <c r="A20" s="28">
        <v>17</v>
      </c>
      <c r="B20" s="37" t="s">
        <v>95</v>
      </c>
      <c r="C20" s="31">
        <v>3</v>
      </c>
      <c r="D20" s="6">
        <v>26</v>
      </c>
      <c r="E20" s="6">
        <v>3</v>
      </c>
      <c r="F20" s="4">
        <v>7</v>
      </c>
      <c r="G20" s="4">
        <v>1</v>
      </c>
      <c r="H20" s="6">
        <v>3</v>
      </c>
      <c r="I20" s="6">
        <v>0</v>
      </c>
      <c r="J20" s="4">
        <v>2</v>
      </c>
      <c r="K20" s="4">
        <v>0</v>
      </c>
      <c r="L20" s="6">
        <v>0</v>
      </c>
      <c r="M20" s="6">
        <v>0</v>
      </c>
      <c r="N20" s="2">
        <v>38</v>
      </c>
      <c r="O20" s="2">
        <v>4</v>
      </c>
    </row>
    <row r="21" spans="1:15" x14ac:dyDescent="0.25">
      <c r="A21" s="27">
        <v>18</v>
      </c>
      <c r="B21" s="34" t="s">
        <v>24</v>
      </c>
      <c r="C21" s="30">
        <v>4</v>
      </c>
      <c r="D21" s="6">
        <v>36</v>
      </c>
      <c r="E21" s="6">
        <v>0</v>
      </c>
      <c r="F21" s="4">
        <v>3</v>
      </c>
      <c r="G21" s="4">
        <v>0</v>
      </c>
      <c r="H21" s="6">
        <v>4</v>
      </c>
      <c r="I21" s="6">
        <v>1</v>
      </c>
      <c r="J21" s="4">
        <v>0</v>
      </c>
      <c r="K21" s="4">
        <v>0</v>
      </c>
      <c r="L21" s="6">
        <v>0</v>
      </c>
      <c r="M21" s="6">
        <v>0</v>
      </c>
      <c r="N21" s="2">
        <v>43</v>
      </c>
      <c r="O21" s="2">
        <v>1</v>
      </c>
    </row>
    <row r="22" spans="1:15" x14ac:dyDescent="0.25">
      <c r="A22" s="27">
        <v>19</v>
      </c>
      <c r="B22" s="39" t="s">
        <v>296</v>
      </c>
      <c r="C22" s="29">
        <v>4</v>
      </c>
      <c r="D22" s="6">
        <v>8</v>
      </c>
      <c r="E22" s="6">
        <v>2</v>
      </c>
      <c r="F22" s="4">
        <v>3</v>
      </c>
      <c r="G22" s="4">
        <v>0</v>
      </c>
      <c r="H22" s="6">
        <v>0</v>
      </c>
      <c r="I22" s="6">
        <v>0</v>
      </c>
      <c r="J22" s="4">
        <v>0</v>
      </c>
      <c r="K22" s="4">
        <v>0</v>
      </c>
      <c r="L22" s="6">
        <v>0</v>
      </c>
      <c r="M22" s="6">
        <v>0</v>
      </c>
      <c r="N22" s="2">
        <v>11</v>
      </c>
      <c r="O22" s="2">
        <v>2</v>
      </c>
    </row>
    <row r="23" spans="1:15" x14ac:dyDescent="0.25">
      <c r="A23" s="27">
        <v>20</v>
      </c>
      <c r="B23" s="39" t="s">
        <v>107</v>
      </c>
      <c r="C23" s="29">
        <v>1</v>
      </c>
      <c r="D23" s="6">
        <v>26</v>
      </c>
      <c r="E23" s="6">
        <v>2</v>
      </c>
      <c r="F23" s="4">
        <v>7</v>
      </c>
      <c r="G23" s="4">
        <v>0</v>
      </c>
      <c r="H23" s="6">
        <v>4</v>
      </c>
      <c r="I23" s="6">
        <v>0</v>
      </c>
      <c r="J23" s="4">
        <v>0</v>
      </c>
      <c r="K23" s="4">
        <v>0</v>
      </c>
      <c r="L23" s="6">
        <v>0</v>
      </c>
      <c r="M23" s="6">
        <v>0</v>
      </c>
      <c r="N23" s="2">
        <v>37</v>
      </c>
      <c r="O23" s="2">
        <v>2</v>
      </c>
    </row>
    <row r="24" spans="1:15" x14ac:dyDescent="0.25">
      <c r="A24" s="27">
        <v>21</v>
      </c>
      <c r="B24" s="34" t="s">
        <v>26</v>
      </c>
      <c r="C24" s="30">
        <v>2</v>
      </c>
      <c r="D24" s="6">
        <v>1</v>
      </c>
      <c r="E24" s="6">
        <v>1</v>
      </c>
      <c r="F24" s="4">
        <v>0</v>
      </c>
      <c r="G24" s="4">
        <v>0</v>
      </c>
      <c r="H24" s="6">
        <v>0</v>
      </c>
      <c r="I24" s="6">
        <v>0</v>
      </c>
      <c r="J24" s="4">
        <v>0</v>
      </c>
      <c r="K24" s="4">
        <v>0</v>
      </c>
      <c r="L24" s="6">
        <v>0</v>
      </c>
      <c r="M24" s="6">
        <v>0</v>
      </c>
      <c r="N24" s="2">
        <v>1</v>
      </c>
      <c r="O24" s="2">
        <v>1</v>
      </c>
    </row>
    <row r="25" spans="1:15" x14ac:dyDescent="0.25">
      <c r="A25" s="27">
        <v>22</v>
      </c>
      <c r="B25" s="35" t="s">
        <v>27</v>
      </c>
      <c r="C25" s="30">
        <v>3</v>
      </c>
      <c r="D25" s="6">
        <v>0</v>
      </c>
      <c r="E25" s="6">
        <v>0</v>
      </c>
      <c r="F25" s="4">
        <v>0</v>
      </c>
      <c r="G25" s="4">
        <v>0</v>
      </c>
      <c r="H25" s="6">
        <v>0</v>
      </c>
      <c r="I25" s="6">
        <v>0</v>
      </c>
      <c r="J25" s="4">
        <v>0</v>
      </c>
      <c r="K25" s="4">
        <v>0</v>
      </c>
      <c r="L25" s="6">
        <v>0</v>
      </c>
      <c r="M25" s="6">
        <v>0</v>
      </c>
      <c r="N25" s="2">
        <v>0</v>
      </c>
      <c r="O25" s="2">
        <v>0</v>
      </c>
    </row>
    <row r="26" spans="1:15" x14ac:dyDescent="0.25">
      <c r="A26" s="27">
        <v>23</v>
      </c>
      <c r="B26" s="35" t="s">
        <v>28</v>
      </c>
      <c r="C26" s="30">
        <v>2</v>
      </c>
      <c r="D26" s="6">
        <v>16</v>
      </c>
      <c r="E26" s="6">
        <v>2</v>
      </c>
      <c r="F26" s="4">
        <v>0</v>
      </c>
      <c r="G26" s="4">
        <v>0</v>
      </c>
      <c r="H26" s="6">
        <v>4</v>
      </c>
      <c r="I26" s="6">
        <v>2</v>
      </c>
      <c r="J26" s="4">
        <v>0</v>
      </c>
      <c r="K26" s="4">
        <v>0</v>
      </c>
      <c r="L26" s="6">
        <v>0</v>
      </c>
      <c r="M26" s="6">
        <v>0</v>
      </c>
      <c r="N26" s="2">
        <v>20</v>
      </c>
      <c r="O26" s="2">
        <v>4</v>
      </c>
    </row>
    <row r="27" spans="1:15" x14ac:dyDescent="0.25">
      <c r="A27" s="28">
        <v>24</v>
      </c>
      <c r="B27" s="37" t="s">
        <v>36</v>
      </c>
      <c r="C27" s="31">
        <v>2</v>
      </c>
      <c r="D27" s="6">
        <v>32</v>
      </c>
      <c r="E27" s="6">
        <v>1</v>
      </c>
      <c r="F27" s="4">
        <v>5</v>
      </c>
      <c r="G27" s="4">
        <v>0</v>
      </c>
      <c r="H27" s="6">
        <v>4</v>
      </c>
      <c r="I27" s="6">
        <v>0</v>
      </c>
      <c r="J27" s="4">
        <v>0</v>
      </c>
      <c r="K27" s="4">
        <v>0</v>
      </c>
      <c r="L27" s="6">
        <v>0</v>
      </c>
      <c r="M27" s="6">
        <v>0</v>
      </c>
      <c r="N27" s="2">
        <v>41</v>
      </c>
      <c r="O27" s="2">
        <v>1</v>
      </c>
    </row>
    <row r="28" spans="1:15" x14ac:dyDescent="0.25">
      <c r="A28" s="27">
        <v>25</v>
      </c>
      <c r="B28" s="34" t="s">
        <v>41</v>
      </c>
      <c r="C28" s="30">
        <v>5</v>
      </c>
      <c r="D28" s="6">
        <v>1</v>
      </c>
      <c r="E28" s="6">
        <v>0</v>
      </c>
      <c r="F28" s="4">
        <v>2</v>
      </c>
      <c r="G28" s="4">
        <v>0</v>
      </c>
      <c r="H28" s="6">
        <v>0</v>
      </c>
      <c r="I28" s="6">
        <v>0</v>
      </c>
      <c r="J28" s="4">
        <v>2</v>
      </c>
      <c r="K28" s="4">
        <v>0</v>
      </c>
      <c r="L28" s="6">
        <v>0</v>
      </c>
      <c r="M28" s="6">
        <v>0</v>
      </c>
      <c r="N28" s="2">
        <v>5</v>
      </c>
      <c r="O28" s="2">
        <v>0</v>
      </c>
    </row>
    <row r="29" spans="1:15" x14ac:dyDescent="0.25">
      <c r="A29" s="27">
        <v>26</v>
      </c>
      <c r="B29" s="36" t="s">
        <v>30</v>
      </c>
      <c r="C29" s="30">
        <v>4</v>
      </c>
      <c r="D29" s="6">
        <v>2</v>
      </c>
      <c r="E29" s="6">
        <v>0</v>
      </c>
      <c r="F29" s="4">
        <v>0</v>
      </c>
      <c r="G29" s="4">
        <v>0</v>
      </c>
      <c r="H29" s="6">
        <v>0</v>
      </c>
      <c r="I29" s="6">
        <v>0</v>
      </c>
      <c r="J29" s="4">
        <v>3</v>
      </c>
      <c r="K29" s="4">
        <v>0</v>
      </c>
      <c r="L29" s="6">
        <v>0</v>
      </c>
      <c r="M29" s="6">
        <v>0</v>
      </c>
      <c r="N29" s="2">
        <v>5</v>
      </c>
      <c r="O29" s="2">
        <v>0</v>
      </c>
    </row>
    <row r="30" spans="1:15" x14ac:dyDescent="0.25">
      <c r="A30" s="27">
        <v>28</v>
      </c>
      <c r="B30" s="35" t="s">
        <v>32</v>
      </c>
      <c r="C30" s="30">
        <v>5</v>
      </c>
      <c r="D30" s="6">
        <v>0</v>
      </c>
      <c r="E30" s="6">
        <v>0</v>
      </c>
      <c r="F30" s="4">
        <v>0</v>
      </c>
      <c r="G30" s="4">
        <v>0</v>
      </c>
      <c r="H30" s="6">
        <v>0</v>
      </c>
      <c r="I30" s="6">
        <v>0</v>
      </c>
      <c r="J30" s="4">
        <v>0</v>
      </c>
      <c r="K30" s="4">
        <v>0</v>
      </c>
      <c r="L30" s="6">
        <v>0</v>
      </c>
      <c r="M30" s="6">
        <v>0</v>
      </c>
      <c r="N30" s="2">
        <v>0</v>
      </c>
      <c r="O30" s="2">
        <v>0</v>
      </c>
    </row>
    <row r="31" spans="1:15" x14ac:dyDescent="0.25">
      <c r="A31" s="27">
        <v>29</v>
      </c>
      <c r="B31" s="35" t="s">
        <v>104</v>
      </c>
      <c r="C31" s="30">
        <v>1</v>
      </c>
      <c r="D31" s="6">
        <v>32</v>
      </c>
      <c r="E31" s="6">
        <v>2</v>
      </c>
      <c r="F31" s="4">
        <v>7</v>
      </c>
      <c r="G31" s="4">
        <v>1</v>
      </c>
      <c r="H31" s="6">
        <v>5</v>
      </c>
      <c r="I31" s="6">
        <v>0</v>
      </c>
      <c r="J31" s="4">
        <v>2</v>
      </c>
      <c r="K31" s="4">
        <v>1</v>
      </c>
      <c r="L31" s="6">
        <v>0</v>
      </c>
      <c r="M31" s="6">
        <v>0</v>
      </c>
      <c r="N31" s="2">
        <v>46</v>
      </c>
      <c r="O31" s="2">
        <v>4</v>
      </c>
    </row>
    <row r="32" spans="1:15" x14ac:dyDescent="0.25">
      <c r="A32" s="27">
        <v>31</v>
      </c>
      <c r="B32" s="35" t="s">
        <v>105</v>
      </c>
      <c r="C32" s="30">
        <v>2</v>
      </c>
      <c r="D32" s="6">
        <v>0</v>
      </c>
      <c r="E32" s="6">
        <v>0</v>
      </c>
      <c r="F32" s="4">
        <v>0</v>
      </c>
      <c r="G32" s="4">
        <v>0</v>
      </c>
      <c r="H32" s="6">
        <v>3</v>
      </c>
      <c r="I32" s="6">
        <v>0</v>
      </c>
      <c r="J32" s="4">
        <v>3</v>
      </c>
      <c r="K32" s="4">
        <v>0</v>
      </c>
      <c r="L32" s="6">
        <v>0</v>
      </c>
      <c r="M32" s="6">
        <v>0</v>
      </c>
      <c r="N32" s="2">
        <v>6</v>
      </c>
      <c r="O32" s="2">
        <v>0</v>
      </c>
    </row>
    <row r="33" spans="1:15" x14ac:dyDescent="0.25">
      <c r="A33" s="28">
        <v>32</v>
      </c>
      <c r="B33" s="38" t="s">
        <v>35</v>
      </c>
      <c r="C33" s="31">
        <v>3</v>
      </c>
      <c r="D33" s="6">
        <v>35</v>
      </c>
      <c r="E33" s="6">
        <v>0</v>
      </c>
      <c r="F33" s="4">
        <v>0</v>
      </c>
      <c r="G33" s="4">
        <v>0</v>
      </c>
      <c r="H33" s="6">
        <v>0</v>
      </c>
      <c r="I33" s="6">
        <v>0</v>
      </c>
      <c r="J33" s="4">
        <v>1</v>
      </c>
      <c r="K33" s="4">
        <v>0</v>
      </c>
      <c r="L33" s="6">
        <v>0</v>
      </c>
      <c r="M33" s="6">
        <v>0</v>
      </c>
      <c r="N33" s="2">
        <v>36</v>
      </c>
      <c r="O33" s="2">
        <v>0</v>
      </c>
    </row>
    <row r="34" spans="1:15" x14ac:dyDescent="0.25">
      <c r="A34" s="27">
        <v>33</v>
      </c>
      <c r="B34" s="36" t="s">
        <v>92</v>
      </c>
      <c r="C34" s="30">
        <v>1</v>
      </c>
      <c r="D34" s="6">
        <v>29</v>
      </c>
      <c r="E34" s="6">
        <v>0</v>
      </c>
      <c r="F34" s="4">
        <v>0</v>
      </c>
      <c r="G34" s="4">
        <v>0</v>
      </c>
      <c r="H34" s="6">
        <v>2</v>
      </c>
      <c r="I34" s="6">
        <v>0</v>
      </c>
      <c r="J34" s="4">
        <v>0</v>
      </c>
      <c r="K34" s="4">
        <v>0</v>
      </c>
      <c r="L34" s="6">
        <v>0</v>
      </c>
      <c r="M34" s="6">
        <v>0</v>
      </c>
      <c r="N34" s="2">
        <v>31</v>
      </c>
      <c r="O34" s="2">
        <v>0</v>
      </c>
    </row>
    <row r="35" spans="1:15" x14ac:dyDescent="0.25">
      <c r="A35" s="27">
        <v>34</v>
      </c>
      <c r="B35" s="39" t="s">
        <v>33</v>
      </c>
      <c r="C35" s="30">
        <v>8</v>
      </c>
      <c r="D35" s="6">
        <v>14</v>
      </c>
      <c r="E35" s="6">
        <v>0</v>
      </c>
      <c r="F35" s="4">
        <v>6</v>
      </c>
      <c r="G35" s="4">
        <v>0</v>
      </c>
      <c r="H35" s="6">
        <v>3</v>
      </c>
      <c r="I35" s="6">
        <v>0</v>
      </c>
      <c r="J35" s="4">
        <v>1</v>
      </c>
      <c r="K35" s="4">
        <v>0</v>
      </c>
      <c r="L35" s="6">
        <v>0</v>
      </c>
      <c r="M35" s="6">
        <v>0</v>
      </c>
      <c r="N35" s="2">
        <v>24</v>
      </c>
      <c r="O35" s="2">
        <v>0</v>
      </c>
    </row>
    <row r="36" spans="1:15" x14ac:dyDescent="0.25">
      <c r="A36" s="27">
        <v>35</v>
      </c>
      <c r="B36" s="39" t="s">
        <v>100</v>
      </c>
      <c r="C36" s="30">
        <v>1</v>
      </c>
      <c r="D36" s="6">
        <v>0</v>
      </c>
      <c r="E36" s="6">
        <v>0</v>
      </c>
      <c r="F36" s="4">
        <v>5</v>
      </c>
      <c r="G36" s="4">
        <v>0</v>
      </c>
      <c r="H36" s="6">
        <v>2</v>
      </c>
      <c r="I36" s="6">
        <v>0</v>
      </c>
      <c r="J36" s="4">
        <v>3</v>
      </c>
      <c r="K36" s="4">
        <v>0</v>
      </c>
      <c r="L36" s="6">
        <v>0</v>
      </c>
      <c r="M36" s="6">
        <v>0</v>
      </c>
      <c r="N36" s="2">
        <v>10</v>
      </c>
      <c r="O36" s="2">
        <v>0</v>
      </c>
    </row>
    <row r="37" spans="1:15" x14ac:dyDescent="0.25">
      <c r="A37" s="28">
        <v>36</v>
      </c>
      <c r="B37" s="40" t="s">
        <v>94</v>
      </c>
      <c r="C37" s="31">
        <v>1</v>
      </c>
      <c r="D37" s="6">
        <v>0</v>
      </c>
      <c r="E37" s="6">
        <v>0</v>
      </c>
      <c r="F37" s="4">
        <v>0</v>
      </c>
      <c r="G37" s="4">
        <v>0</v>
      </c>
      <c r="H37" s="6">
        <v>0</v>
      </c>
      <c r="I37" s="6">
        <v>0</v>
      </c>
      <c r="J37" s="4">
        <v>0</v>
      </c>
      <c r="K37" s="4">
        <v>0</v>
      </c>
      <c r="L37" s="6">
        <v>0</v>
      </c>
      <c r="M37" s="6">
        <v>0</v>
      </c>
      <c r="N37" s="2">
        <v>0</v>
      </c>
      <c r="O37" s="2">
        <v>0</v>
      </c>
    </row>
    <row r="38" spans="1:15" x14ac:dyDescent="0.25">
      <c r="A38" s="28">
        <v>37</v>
      </c>
      <c r="B38" s="40" t="s">
        <v>85</v>
      </c>
      <c r="C38" s="31">
        <v>2</v>
      </c>
      <c r="D38" s="6">
        <v>0</v>
      </c>
      <c r="E38" s="6">
        <v>0</v>
      </c>
      <c r="F38" s="4">
        <v>0</v>
      </c>
      <c r="G38" s="4">
        <v>0</v>
      </c>
      <c r="H38" s="6">
        <v>0</v>
      </c>
      <c r="I38" s="6">
        <v>0</v>
      </c>
      <c r="J38" s="4">
        <v>1</v>
      </c>
      <c r="K38" s="4">
        <v>0</v>
      </c>
      <c r="L38" s="6">
        <v>0</v>
      </c>
      <c r="M38" s="6">
        <v>0</v>
      </c>
      <c r="N38" s="2">
        <v>1</v>
      </c>
      <c r="O38" s="2">
        <v>0</v>
      </c>
    </row>
    <row r="39" spans="1:15" x14ac:dyDescent="0.25">
      <c r="A39" s="28">
        <v>40</v>
      </c>
      <c r="B39" s="40" t="s">
        <v>34</v>
      </c>
      <c r="C39" s="31">
        <v>3</v>
      </c>
      <c r="D39" s="6">
        <v>0</v>
      </c>
      <c r="E39" s="6">
        <v>0</v>
      </c>
      <c r="F39" s="4">
        <v>0</v>
      </c>
      <c r="G39" s="4">
        <v>0</v>
      </c>
      <c r="H39" s="6">
        <v>0</v>
      </c>
      <c r="I39" s="6">
        <v>0</v>
      </c>
      <c r="J39" s="4">
        <v>2</v>
      </c>
      <c r="K39" s="4">
        <v>0</v>
      </c>
      <c r="L39" s="6">
        <v>0</v>
      </c>
      <c r="M39" s="6">
        <v>0</v>
      </c>
      <c r="N39" s="2">
        <v>2</v>
      </c>
      <c r="O39" s="2">
        <v>0</v>
      </c>
    </row>
    <row r="40" spans="1:15" x14ac:dyDescent="0.25">
      <c r="A40" s="28">
        <v>47</v>
      </c>
      <c r="B40" s="37" t="s">
        <v>96</v>
      </c>
      <c r="C40" s="31">
        <v>3</v>
      </c>
      <c r="D40" s="6">
        <v>1</v>
      </c>
      <c r="E40" s="6">
        <v>0</v>
      </c>
      <c r="F40" s="4">
        <v>0</v>
      </c>
      <c r="G40" s="4">
        <v>0</v>
      </c>
      <c r="H40" s="6">
        <v>0</v>
      </c>
      <c r="I40" s="6">
        <v>0</v>
      </c>
      <c r="J40" s="4">
        <v>0</v>
      </c>
      <c r="K40" s="4">
        <v>0</v>
      </c>
      <c r="L40" s="6">
        <v>0</v>
      </c>
      <c r="M40" s="6">
        <v>0</v>
      </c>
      <c r="N40" s="2">
        <v>1</v>
      </c>
      <c r="O40" s="2">
        <v>0</v>
      </c>
    </row>
    <row r="41" spans="1:15" x14ac:dyDescent="0.25">
      <c r="A41" s="28">
        <v>55</v>
      </c>
      <c r="B41" s="37" t="s">
        <v>43</v>
      </c>
      <c r="C41" s="31">
        <v>3</v>
      </c>
      <c r="D41" s="6">
        <v>0</v>
      </c>
      <c r="E41" s="6">
        <v>0</v>
      </c>
      <c r="F41" s="4">
        <v>0</v>
      </c>
      <c r="G41" s="4">
        <v>0</v>
      </c>
      <c r="H41" s="6">
        <v>3</v>
      </c>
      <c r="I41" s="6">
        <v>0</v>
      </c>
      <c r="J41" s="4">
        <v>3</v>
      </c>
      <c r="K41" s="4">
        <v>0</v>
      </c>
      <c r="L41" s="6">
        <v>0</v>
      </c>
      <c r="M41" s="6">
        <v>0</v>
      </c>
      <c r="N41" s="2">
        <v>6</v>
      </c>
      <c r="O41" s="2">
        <v>0</v>
      </c>
    </row>
    <row r="42" spans="1:15" x14ac:dyDescent="0.25">
      <c r="A42" s="28">
        <v>68</v>
      </c>
      <c r="B42" s="37" t="s">
        <v>109</v>
      </c>
      <c r="C42" s="31">
        <v>3</v>
      </c>
      <c r="D42" s="6">
        <v>0</v>
      </c>
      <c r="E42" s="6">
        <v>0</v>
      </c>
      <c r="F42" s="4">
        <v>0</v>
      </c>
      <c r="G42" s="4">
        <v>0</v>
      </c>
      <c r="H42" s="6">
        <v>0</v>
      </c>
      <c r="I42" s="6">
        <v>0</v>
      </c>
      <c r="J42" s="4">
        <v>2</v>
      </c>
      <c r="K42" s="4">
        <v>0</v>
      </c>
      <c r="L42" s="6">
        <v>0</v>
      </c>
      <c r="M42" s="6">
        <v>0</v>
      </c>
      <c r="N42" s="2">
        <v>2</v>
      </c>
      <c r="O42" s="2">
        <v>0</v>
      </c>
    </row>
    <row r="43" spans="1:15" x14ac:dyDescent="0.25">
      <c r="A43" s="28">
        <v>73</v>
      </c>
      <c r="B43" s="37" t="s">
        <v>42</v>
      </c>
      <c r="C43" s="31">
        <v>2</v>
      </c>
      <c r="D43" s="6">
        <v>0</v>
      </c>
      <c r="E43" s="6">
        <v>0</v>
      </c>
      <c r="F43" s="4">
        <v>0</v>
      </c>
      <c r="G43" s="4">
        <v>0</v>
      </c>
      <c r="H43" s="6">
        <v>0</v>
      </c>
      <c r="I43" s="6">
        <v>0</v>
      </c>
      <c r="J43" s="4">
        <v>0</v>
      </c>
      <c r="K43" s="4">
        <v>0</v>
      </c>
      <c r="L43" s="6">
        <v>0</v>
      </c>
      <c r="M43" s="6">
        <v>0</v>
      </c>
      <c r="N43" s="2">
        <v>0</v>
      </c>
      <c r="O43" s="2">
        <v>0</v>
      </c>
    </row>
  </sheetData>
  <autoFilter ref="A3:O43" xr:uid="{00000000-0009-0000-0000-000001000000}">
    <sortState xmlns:xlrd2="http://schemas.microsoft.com/office/spreadsheetml/2017/richdata2" ref="A4:O43">
      <sortCondition ref="A3:A43"/>
    </sortState>
  </autoFilter>
  <mergeCells count="6">
    <mergeCell ref="N2:O2"/>
    <mergeCell ref="D2:E2"/>
    <mergeCell ref="F2:G2"/>
    <mergeCell ref="H2:I2"/>
    <mergeCell ref="J2:K2"/>
    <mergeCell ref="L2:M2"/>
  </mergeCells>
  <conditionalFormatting sqref="N4:N43">
    <cfRule type="cellIs" dxfId="35" priority="2" operator="greaterThan">
      <formula>396</formula>
    </cfRule>
  </conditionalFormatting>
  <conditionalFormatting sqref="O4:O43">
    <cfRule type="cellIs" dxfId="34" priority="1" operator="greaterThan">
      <formula>92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"/>
  <sheetViews>
    <sheetView zoomScaleNormal="100" zoomScalePageLayoutView="110" workbookViewId="0">
      <selection activeCell="B13" sqref="B13"/>
    </sheetView>
  </sheetViews>
  <sheetFormatPr defaultColWidth="8.85546875" defaultRowHeight="15" x14ac:dyDescent="0.25"/>
  <cols>
    <col min="1" max="1" width="3.7109375" customWidth="1"/>
    <col min="2" max="2" width="26.42578125" bestFit="1" customWidth="1"/>
    <col min="3" max="3" width="3.42578125" customWidth="1"/>
    <col min="5" max="5" width="8.7109375" customWidth="1"/>
    <col min="12" max="13" width="8.85546875" customWidth="1"/>
  </cols>
  <sheetData>
    <row r="1" spans="1:20" x14ac:dyDescent="0.25">
      <c r="A1" s="1" t="s">
        <v>0</v>
      </c>
      <c r="B1" s="1"/>
      <c r="C1" s="1"/>
      <c r="D1" s="1"/>
      <c r="E1" s="16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0" x14ac:dyDescent="0.25">
      <c r="A2" s="3"/>
      <c r="B2" s="5"/>
      <c r="C2" s="3"/>
      <c r="D2" s="206" t="s">
        <v>4</v>
      </c>
      <c r="E2" s="206"/>
      <c r="F2" s="207" t="s">
        <v>113</v>
      </c>
      <c r="G2" s="207"/>
      <c r="H2" s="206" t="s">
        <v>108</v>
      </c>
      <c r="I2" s="206"/>
      <c r="J2" s="207" t="s">
        <v>110</v>
      </c>
      <c r="K2" s="207"/>
      <c r="L2" s="206" t="s">
        <v>39</v>
      </c>
      <c r="M2" s="206"/>
      <c r="N2" s="211" t="s">
        <v>7</v>
      </c>
      <c r="O2" s="211"/>
    </row>
    <row r="3" spans="1:20" x14ac:dyDescent="0.25">
      <c r="A3" s="3" t="s">
        <v>48</v>
      </c>
      <c r="B3" s="5" t="s">
        <v>1</v>
      </c>
      <c r="C3" s="3" t="s">
        <v>38</v>
      </c>
      <c r="D3" s="5" t="s">
        <v>2</v>
      </c>
      <c r="E3" s="5" t="s">
        <v>3</v>
      </c>
      <c r="F3" s="3" t="s">
        <v>2</v>
      </c>
      <c r="G3" s="3" t="s">
        <v>3</v>
      </c>
      <c r="H3" s="5" t="s">
        <v>5</v>
      </c>
      <c r="I3" s="5" t="s">
        <v>3</v>
      </c>
      <c r="J3" s="3" t="s">
        <v>2</v>
      </c>
      <c r="K3" s="3" t="s">
        <v>3</v>
      </c>
      <c r="L3" s="5" t="s">
        <v>2</v>
      </c>
      <c r="M3" s="5" t="s">
        <v>3</v>
      </c>
      <c r="N3" s="8" t="s">
        <v>2</v>
      </c>
      <c r="O3" s="8" t="s">
        <v>3</v>
      </c>
    </row>
    <row r="4" spans="1:20" x14ac:dyDescent="0.25">
      <c r="A4" s="27">
        <v>4</v>
      </c>
      <c r="B4" s="34" t="s">
        <v>11</v>
      </c>
      <c r="C4" s="29">
        <v>8</v>
      </c>
      <c r="D4" s="6">
        <v>6</v>
      </c>
      <c r="E4" s="6">
        <v>1</v>
      </c>
      <c r="F4" s="4">
        <v>3</v>
      </c>
      <c r="G4" s="4">
        <v>0</v>
      </c>
      <c r="H4" s="6">
        <v>1</v>
      </c>
      <c r="I4" s="6">
        <v>1</v>
      </c>
      <c r="J4" s="4">
        <v>1</v>
      </c>
      <c r="K4" s="4">
        <v>0</v>
      </c>
      <c r="L4" s="6">
        <v>1</v>
      </c>
      <c r="M4" s="6">
        <v>0</v>
      </c>
      <c r="N4" s="2">
        <v>12</v>
      </c>
      <c r="O4" s="2">
        <v>2</v>
      </c>
      <c r="Q4" s="55"/>
    </row>
    <row r="5" spans="1:20" x14ac:dyDescent="0.25">
      <c r="A5" s="27">
        <v>6</v>
      </c>
      <c r="B5" s="34" t="s">
        <v>12</v>
      </c>
      <c r="C5" s="29">
        <v>8</v>
      </c>
      <c r="D5" s="6">
        <v>25</v>
      </c>
      <c r="E5" s="6">
        <v>2</v>
      </c>
      <c r="F5" s="4">
        <v>4</v>
      </c>
      <c r="G5" s="4">
        <v>0</v>
      </c>
      <c r="H5" s="6">
        <v>0</v>
      </c>
      <c r="I5" s="6">
        <v>0</v>
      </c>
      <c r="J5" s="4">
        <v>2</v>
      </c>
      <c r="K5" s="4">
        <v>0</v>
      </c>
      <c r="L5" s="6">
        <v>0</v>
      </c>
      <c r="M5" s="6">
        <v>0</v>
      </c>
      <c r="N5" s="2">
        <v>31</v>
      </c>
      <c r="O5" s="2">
        <v>2</v>
      </c>
      <c r="Q5" s="55"/>
      <c r="T5" s="44"/>
    </row>
    <row r="6" spans="1:20" x14ac:dyDescent="0.25">
      <c r="A6" s="27">
        <v>7</v>
      </c>
      <c r="B6" s="35" t="s">
        <v>130</v>
      </c>
      <c r="C6" s="29">
        <v>1</v>
      </c>
      <c r="D6" s="6">
        <v>11</v>
      </c>
      <c r="E6" s="6">
        <v>2</v>
      </c>
      <c r="F6" s="4">
        <v>5</v>
      </c>
      <c r="G6" s="4">
        <v>1</v>
      </c>
      <c r="H6" s="6">
        <v>0</v>
      </c>
      <c r="I6" s="6">
        <v>0</v>
      </c>
      <c r="J6" s="4">
        <v>0</v>
      </c>
      <c r="K6" s="4">
        <v>0</v>
      </c>
      <c r="L6" s="6">
        <v>0</v>
      </c>
      <c r="M6" s="6">
        <v>0</v>
      </c>
      <c r="N6" s="2">
        <v>16</v>
      </c>
      <c r="O6" s="2">
        <v>3</v>
      </c>
      <c r="Q6" s="55"/>
    </row>
    <row r="7" spans="1:20" x14ac:dyDescent="0.25">
      <c r="A7" s="27">
        <v>8</v>
      </c>
      <c r="B7" s="39" t="s">
        <v>22</v>
      </c>
      <c r="C7" s="29">
        <v>10</v>
      </c>
      <c r="D7" s="6">
        <v>25</v>
      </c>
      <c r="E7" s="6">
        <v>7</v>
      </c>
      <c r="F7" s="4">
        <v>4</v>
      </c>
      <c r="G7" s="4">
        <v>4</v>
      </c>
      <c r="H7" s="6">
        <v>0</v>
      </c>
      <c r="I7" s="6">
        <v>0</v>
      </c>
      <c r="J7" s="4">
        <v>2</v>
      </c>
      <c r="K7" s="4">
        <v>0</v>
      </c>
      <c r="L7" s="6">
        <v>0</v>
      </c>
      <c r="M7" s="6">
        <v>0</v>
      </c>
      <c r="N7" s="2">
        <v>31</v>
      </c>
      <c r="O7" s="2">
        <v>11</v>
      </c>
      <c r="Q7" s="55"/>
    </row>
    <row r="8" spans="1:20" x14ac:dyDescent="0.25">
      <c r="A8" s="27">
        <v>9</v>
      </c>
      <c r="B8" s="39" t="s">
        <v>112</v>
      </c>
      <c r="C8" s="29">
        <v>1</v>
      </c>
      <c r="D8" s="6">
        <v>31</v>
      </c>
      <c r="E8" s="6">
        <v>14</v>
      </c>
      <c r="F8" s="4">
        <v>2</v>
      </c>
      <c r="G8" s="4">
        <v>2</v>
      </c>
      <c r="H8" s="6">
        <v>0</v>
      </c>
      <c r="I8" s="6">
        <v>0</v>
      </c>
      <c r="J8" s="4">
        <v>2</v>
      </c>
      <c r="K8" s="4">
        <v>0</v>
      </c>
      <c r="L8" s="6">
        <v>1</v>
      </c>
      <c r="M8" s="6">
        <v>0</v>
      </c>
      <c r="N8" s="2">
        <v>36</v>
      </c>
      <c r="O8" s="2">
        <v>16</v>
      </c>
      <c r="Q8" s="55"/>
    </row>
    <row r="9" spans="1:20" x14ac:dyDescent="0.25">
      <c r="A9" s="27">
        <v>10</v>
      </c>
      <c r="B9" s="39" t="s">
        <v>16</v>
      </c>
      <c r="C9" s="29">
        <v>10</v>
      </c>
      <c r="D9" s="6">
        <v>20</v>
      </c>
      <c r="E9" s="6">
        <v>1</v>
      </c>
      <c r="F9" s="4">
        <v>11</v>
      </c>
      <c r="G9" s="4">
        <v>1</v>
      </c>
      <c r="H9" s="6">
        <v>0</v>
      </c>
      <c r="I9" s="6">
        <v>0</v>
      </c>
      <c r="J9" s="4">
        <v>5</v>
      </c>
      <c r="K9" s="4">
        <v>0</v>
      </c>
      <c r="L9" s="6">
        <v>0</v>
      </c>
      <c r="M9" s="6">
        <v>0</v>
      </c>
      <c r="N9" s="2">
        <v>36</v>
      </c>
      <c r="O9" s="2">
        <v>2</v>
      </c>
      <c r="Q9" s="55"/>
    </row>
    <row r="10" spans="1:20" x14ac:dyDescent="0.25">
      <c r="A10" s="27">
        <v>11</v>
      </c>
      <c r="B10" s="39" t="s">
        <v>17</v>
      </c>
      <c r="C10" s="29">
        <v>5</v>
      </c>
      <c r="D10" s="6">
        <v>26</v>
      </c>
      <c r="E10" s="6">
        <v>4</v>
      </c>
      <c r="F10" s="4">
        <v>5</v>
      </c>
      <c r="G10" s="4">
        <v>1</v>
      </c>
      <c r="H10" s="6">
        <v>0</v>
      </c>
      <c r="I10" s="6">
        <v>0</v>
      </c>
      <c r="J10" s="4">
        <v>2</v>
      </c>
      <c r="K10" s="4">
        <v>0</v>
      </c>
      <c r="L10" s="6">
        <v>0</v>
      </c>
      <c r="M10" s="6">
        <v>0</v>
      </c>
      <c r="N10" s="2">
        <v>33</v>
      </c>
      <c r="O10" s="2">
        <v>5</v>
      </c>
      <c r="Q10" s="55"/>
    </row>
    <row r="11" spans="1:20" x14ac:dyDescent="0.25">
      <c r="A11" s="27">
        <v>13</v>
      </c>
      <c r="B11" s="36" t="s">
        <v>21</v>
      </c>
      <c r="C11" s="29">
        <v>4</v>
      </c>
      <c r="D11" s="6">
        <v>5</v>
      </c>
      <c r="E11" s="6">
        <v>0</v>
      </c>
      <c r="F11" s="4">
        <v>8</v>
      </c>
      <c r="G11" s="4">
        <v>0</v>
      </c>
      <c r="H11" s="6">
        <v>1</v>
      </c>
      <c r="I11" s="6">
        <v>0</v>
      </c>
      <c r="J11" s="4">
        <v>5</v>
      </c>
      <c r="K11" s="4">
        <v>0</v>
      </c>
      <c r="L11" s="6">
        <v>0</v>
      </c>
      <c r="M11" s="6">
        <v>0</v>
      </c>
      <c r="N11" s="2">
        <v>19</v>
      </c>
      <c r="O11" s="2">
        <v>0</v>
      </c>
      <c r="Q11" s="55"/>
    </row>
    <row r="12" spans="1:20" x14ac:dyDescent="0.25">
      <c r="A12" s="27">
        <v>14</v>
      </c>
      <c r="B12" s="36" t="s">
        <v>131</v>
      </c>
      <c r="C12" s="29">
        <v>1</v>
      </c>
      <c r="D12" s="6">
        <v>13</v>
      </c>
      <c r="E12" s="6">
        <v>10</v>
      </c>
      <c r="F12" s="4">
        <v>0</v>
      </c>
      <c r="G12" s="4">
        <v>0</v>
      </c>
      <c r="H12" s="6">
        <v>0</v>
      </c>
      <c r="I12" s="6">
        <v>0</v>
      </c>
      <c r="J12" s="4">
        <v>1</v>
      </c>
      <c r="K12" s="4">
        <v>0</v>
      </c>
      <c r="L12" s="6">
        <v>0</v>
      </c>
      <c r="M12" s="6">
        <v>0</v>
      </c>
      <c r="N12" s="2">
        <v>14</v>
      </c>
      <c r="O12" s="2">
        <v>10</v>
      </c>
      <c r="Q12" s="55"/>
    </row>
    <row r="13" spans="1:20" x14ac:dyDescent="0.25">
      <c r="A13" s="27">
        <v>16</v>
      </c>
      <c r="B13" s="39" t="s">
        <v>103</v>
      </c>
      <c r="C13" s="29">
        <v>3</v>
      </c>
      <c r="D13" s="6">
        <v>12</v>
      </c>
      <c r="E13" s="6">
        <v>0</v>
      </c>
      <c r="F13" s="4">
        <v>8</v>
      </c>
      <c r="G13" s="4">
        <v>1</v>
      </c>
      <c r="H13" s="6">
        <v>1</v>
      </c>
      <c r="I13" s="6">
        <v>0</v>
      </c>
      <c r="J13" s="4">
        <v>4</v>
      </c>
      <c r="K13" s="4">
        <v>0</v>
      </c>
      <c r="L13" s="6">
        <v>1</v>
      </c>
      <c r="M13" s="6">
        <v>0</v>
      </c>
      <c r="N13" s="2">
        <v>26</v>
      </c>
      <c r="O13" s="2">
        <v>1</v>
      </c>
      <c r="Q13" s="55"/>
    </row>
    <row r="14" spans="1:20" x14ac:dyDescent="0.25">
      <c r="A14" s="28">
        <v>17</v>
      </c>
      <c r="B14" s="37" t="s">
        <v>95</v>
      </c>
      <c r="C14" s="31">
        <v>5</v>
      </c>
      <c r="D14" s="6">
        <v>26</v>
      </c>
      <c r="E14" s="6">
        <v>3</v>
      </c>
      <c r="F14" s="4">
        <v>6</v>
      </c>
      <c r="G14" s="4">
        <v>0</v>
      </c>
      <c r="H14" s="6">
        <v>1</v>
      </c>
      <c r="I14" s="6">
        <v>0</v>
      </c>
      <c r="J14" s="4">
        <v>5</v>
      </c>
      <c r="K14" s="4">
        <v>0</v>
      </c>
      <c r="L14" s="6">
        <v>1</v>
      </c>
      <c r="M14" s="6">
        <v>0</v>
      </c>
      <c r="N14" s="2">
        <v>39</v>
      </c>
      <c r="O14" s="2">
        <v>3</v>
      </c>
      <c r="Q14" s="55"/>
    </row>
    <row r="15" spans="1:20" x14ac:dyDescent="0.25">
      <c r="A15" s="27">
        <v>18</v>
      </c>
      <c r="B15" s="34" t="s">
        <v>24</v>
      </c>
      <c r="C15" s="30">
        <v>6</v>
      </c>
      <c r="D15" s="6">
        <v>28</v>
      </c>
      <c r="E15" s="6">
        <v>5</v>
      </c>
      <c r="F15" s="4">
        <v>5</v>
      </c>
      <c r="G15" s="4">
        <v>1</v>
      </c>
      <c r="H15" s="6">
        <v>0</v>
      </c>
      <c r="I15" s="6">
        <v>0</v>
      </c>
      <c r="J15" s="4">
        <v>2</v>
      </c>
      <c r="K15" s="4">
        <v>0</v>
      </c>
      <c r="L15" s="6">
        <v>1</v>
      </c>
      <c r="M15" s="6">
        <v>0</v>
      </c>
      <c r="N15" s="2">
        <v>36</v>
      </c>
      <c r="O15" s="2">
        <v>6</v>
      </c>
      <c r="Q15" s="55"/>
    </row>
    <row r="16" spans="1:20" x14ac:dyDescent="0.25">
      <c r="A16" s="27">
        <v>19</v>
      </c>
      <c r="B16" s="39" t="s">
        <v>296</v>
      </c>
      <c r="C16" s="29">
        <v>6</v>
      </c>
      <c r="D16" s="6">
        <v>0</v>
      </c>
      <c r="E16" s="6">
        <v>0</v>
      </c>
      <c r="F16" s="4">
        <v>0</v>
      </c>
      <c r="G16" s="4">
        <v>0</v>
      </c>
      <c r="H16" s="6">
        <v>0</v>
      </c>
      <c r="I16" s="6">
        <v>0</v>
      </c>
      <c r="J16" s="4">
        <v>0</v>
      </c>
      <c r="K16" s="4">
        <v>0</v>
      </c>
      <c r="L16" s="6">
        <v>0</v>
      </c>
      <c r="M16" s="6">
        <v>0</v>
      </c>
      <c r="N16" s="2">
        <v>0</v>
      </c>
      <c r="O16" s="2">
        <v>0</v>
      </c>
      <c r="Q16" s="55"/>
    </row>
    <row r="17" spans="1:17" x14ac:dyDescent="0.25">
      <c r="A17" s="27">
        <v>20</v>
      </c>
      <c r="B17" s="39" t="s">
        <v>107</v>
      </c>
      <c r="C17" s="29">
        <v>3</v>
      </c>
      <c r="D17" s="6">
        <v>27</v>
      </c>
      <c r="E17" s="6">
        <v>3</v>
      </c>
      <c r="F17" s="4">
        <v>6</v>
      </c>
      <c r="G17" s="4">
        <v>0</v>
      </c>
      <c r="H17" s="6">
        <v>0</v>
      </c>
      <c r="I17" s="6">
        <v>0</v>
      </c>
      <c r="J17" s="4">
        <v>3</v>
      </c>
      <c r="K17" s="4">
        <v>0</v>
      </c>
      <c r="L17" s="6">
        <v>0</v>
      </c>
      <c r="M17" s="6">
        <v>0</v>
      </c>
      <c r="N17" s="2">
        <v>36</v>
      </c>
      <c r="O17" s="2">
        <v>3</v>
      </c>
      <c r="Q17" s="55"/>
    </row>
    <row r="18" spans="1:17" x14ac:dyDescent="0.25">
      <c r="A18" s="27">
        <v>21</v>
      </c>
      <c r="B18" s="34" t="s">
        <v>26</v>
      </c>
      <c r="C18" s="30">
        <v>4</v>
      </c>
      <c r="D18" s="6">
        <v>12</v>
      </c>
      <c r="E18" s="6">
        <v>0</v>
      </c>
      <c r="F18" s="4">
        <v>7</v>
      </c>
      <c r="G18" s="4">
        <v>0</v>
      </c>
      <c r="H18" s="6">
        <v>0</v>
      </c>
      <c r="I18" s="6">
        <v>0</v>
      </c>
      <c r="J18" s="4">
        <v>4</v>
      </c>
      <c r="K18" s="4">
        <v>0</v>
      </c>
      <c r="L18" s="6">
        <v>0</v>
      </c>
      <c r="M18" s="6">
        <v>0</v>
      </c>
      <c r="N18" s="2">
        <v>23</v>
      </c>
      <c r="O18" s="2">
        <v>0</v>
      </c>
      <c r="Q18" s="55"/>
    </row>
    <row r="19" spans="1:17" x14ac:dyDescent="0.25">
      <c r="A19" s="27">
        <v>22</v>
      </c>
      <c r="B19" s="35" t="s">
        <v>105</v>
      </c>
      <c r="C19" s="30">
        <v>4</v>
      </c>
      <c r="D19" s="6">
        <v>0</v>
      </c>
      <c r="E19" s="6">
        <v>0</v>
      </c>
      <c r="F19" s="4">
        <v>0</v>
      </c>
      <c r="G19" s="4">
        <v>0</v>
      </c>
      <c r="H19" s="6">
        <v>0</v>
      </c>
      <c r="I19" s="6">
        <v>0</v>
      </c>
      <c r="J19" s="4">
        <v>0</v>
      </c>
      <c r="K19" s="4">
        <v>0</v>
      </c>
      <c r="L19" s="6">
        <v>0</v>
      </c>
      <c r="M19" s="6">
        <v>0</v>
      </c>
      <c r="N19" s="2">
        <v>0</v>
      </c>
      <c r="O19" s="2">
        <v>0</v>
      </c>
      <c r="Q19" s="55"/>
    </row>
    <row r="20" spans="1:17" x14ac:dyDescent="0.25">
      <c r="A20" s="27">
        <v>23</v>
      </c>
      <c r="B20" s="35" t="s">
        <v>28</v>
      </c>
      <c r="C20" s="30">
        <v>4</v>
      </c>
      <c r="D20" s="6">
        <v>28</v>
      </c>
      <c r="E20" s="6">
        <v>5</v>
      </c>
      <c r="F20" s="4">
        <v>8</v>
      </c>
      <c r="G20" s="4">
        <v>3</v>
      </c>
      <c r="H20" s="6">
        <v>1</v>
      </c>
      <c r="I20" s="6">
        <v>1</v>
      </c>
      <c r="J20" s="4">
        <v>3</v>
      </c>
      <c r="K20" s="4">
        <v>1</v>
      </c>
      <c r="L20" s="6">
        <v>1</v>
      </c>
      <c r="M20" s="6">
        <v>0</v>
      </c>
      <c r="N20" s="2">
        <v>41</v>
      </c>
      <c r="O20" s="2">
        <v>10</v>
      </c>
      <c r="Q20" s="55"/>
    </row>
    <row r="21" spans="1:17" x14ac:dyDescent="0.25">
      <c r="A21" s="28">
        <v>24</v>
      </c>
      <c r="B21" s="37" t="s">
        <v>36</v>
      </c>
      <c r="C21" s="31">
        <v>4</v>
      </c>
      <c r="D21" s="6">
        <v>35</v>
      </c>
      <c r="E21" s="6">
        <v>2</v>
      </c>
      <c r="F21" s="4">
        <v>6</v>
      </c>
      <c r="G21" s="4">
        <v>1</v>
      </c>
      <c r="H21" s="6">
        <v>0</v>
      </c>
      <c r="I21" s="6">
        <v>0</v>
      </c>
      <c r="J21" s="4">
        <v>3</v>
      </c>
      <c r="K21" s="4">
        <v>0</v>
      </c>
      <c r="L21" s="6">
        <v>1</v>
      </c>
      <c r="M21" s="6">
        <v>0</v>
      </c>
      <c r="N21" s="2">
        <v>45</v>
      </c>
      <c r="O21" s="2">
        <v>3</v>
      </c>
      <c r="Q21" s="55"/>
    </row>
    <row r="22" spans="1:17" x14ac:dyDescent="0.25">
      <c r="A22" s="27">
        <v>25</v>
      </c>
      <c r="B22" s="34" t="s">
        <v>41</v>
      </c>
      <c r="C22" s="30">
        <v>7</v>
      </c>
      <c r="D22" s="6">
        <v>0</v>
      </c>
      <c r="E22" s="6">
        <v>0</v>
      </c>
      <c r="F22" s="4">
        <v>0</v>
      </c>
      <c r="G22" s="4">
        <v>0</v>
      </c>
      <c r="H22" s="6">
        <v>0</v>
      </c>
      <c r="I22" s="6">
        <v>0</v>
      </c>
      <c r="J22" s="4">
        <v>0</v>
      </c>
      <c r="K22" s="4">
        <v>0</v>
      </c>
      <c r="L22" s="6">
        <v>0</v>
      </c>
      <c r="M22" s="6">
        <v>0</v>
      </c>
      <c r="N22" s="2">
        <v>0</v>
      </c>
      <c r="O22" s="2">
        <v>0</v>
      </c>
      <c r="Q22" s="55"/>
    </row>
    <row r="23" spans="1:17" x14ac:dyDescent="0.25">
      <c r="A23" s="27">
        <v>26</v>
      </c>
      <c r="B23" s="36" t="s">
        <v>30</v>
      </c>
      <c r="C23" s="30">
        <v>6</v>
      </c>
      <c r="D23" s="6">
        <v>0</v>
      </c>
      <c r="E23" s="6">
        <v>0</v>
      </c>
      <c r="F23" s="4">
        <v>0</v>
      </c>
      <c r="G23" s="4">
        <v>0</v>
      </c>
      <c r="H23" s="6">
        <v>0</v>
      </c>
      <c r="I23" s="6">
        <v>0</v>
      </c>
      <c r="J23" s="4">
        <v>0</v>
      </c>
      <c r="K23" s="4">
        <v>0</v>
      </c>
      <c r="L23" s="6">
        <v>0</v>
      </c>
      <c r="M23" s="6">
        <v>0</v>
      </c>
      <c r="N23" s="2">
        <v>0</v>
      </c>
      <c r="O23" s="2">
        <v>0</v>
      </c>
      <c r="Q23" s="55"/>
    </row>
    <row r="24" spans="1:17" x14ac:dyDescent="0.25">
      <c r="A24" s="27">
        <v>27</v>
      </c>
      <c r="B24" s="36" t="s">
        <v>167</v>
      </c>
      <c r="C24" s="30">
        <v>1</v>
      </c>
      <c r="D24" s="6">
        <v>3</v>
      </c>
      <c r="E24" s="6">
        <v>0</v>
      </c>
      <c r="F24" s="4">
        <v>0</v>
      </c>
      <c r="G24" s="4">
        <v>0</v>
      </c>
      <c r="H24" s="6">
        <v>0</v>
      </c>
      <c r="I24" s="6">
        <v>0</v>
      </c>
      <c r="J24" s="4">
        <v>0</v>
      </c>
      <c r="K24" s="4">
        <v>0</v>
      </c>
      <c r="L24" s="6">
        <v>0</v>
      </c>
      <c r="M24" s="6">
        <v>0</v>
      </c>
      <c r="N24" s="2">
        <v>3</v>
      </c>
      <c r="O24" s="2">
        <v>0</v>
      </c>
      <c r="Q24" s="55"/>
    </row>
    <row r="25" spans="1:17" x14ac:dyDescent="0.25">
      <c r="A25" s="28" t="s">
        <v>166</v>
      </c>
      <c r="B25" s="37" t="s">
        <v>32</v>
      </c>
      <c r="C25" s="31">
        <v>7</v>
      </c>
      <c r="D25" s="6">
        <v>0</v>
      </c>
      <c r="E25" s="6">
        <v>0</v>
      </c>
      <c r="F25" s="4">
        <v>0</v>
      </c>
      <c r="G25" s="4">
        <v>0</v>
      </c>
      <c r="H25" s="6">
        <v>0</v>
      </c>
      <c r="I25" s="6">
        <v>0</v>
      </c>
      <c r="J25" s="4">
        <v>0</v>
      </c>
      <c r="K25" s="4">
        <v>0</v>
      </c>
      <c r="L25" s="6">
        <v>0</v>
      </c>
      <c r="M25" s="6">
        <v>0</v>
      </c>
      <c r="N25" s="2">
        <v>0</v>
      </c>
      <c r="O25" s="2">
        <v>0</v>
      </c>
      <c r="Q25" s="55"/>
    </row>
    <row r="26" spans="1:17" x14ac:dyDescent="0.25">
      <c r="A26" s="27">
        <v>28</v>
      </c>
      <c r="B26" s="35" t="s">
        <v>106</v>
      </c>
      <c r="C26" s="30">
        <v>4</v>
      </c>
      <c r="D26" s="6">
        <v>0</v>
      </c>
      <c r="E26" s="6">
        <v>0</v>
      </c>
      <c r="F26" s="4">
        <v>0</v>
      </c>
      <c r="G26" s="4">
        <v>0</v>
      </c>
      <c r="H26" s="6">
        <v>0</v>
      </c>
      <c r="I26" s="6">
        <v>0</v>
      </c>
      <c r="J26" s="4">
        <v>0</v>
      </c>
      <c r="K26" s="4">
        <v>0</v>
      </c>
      <c r="L26" s="6">
        <v>0</v>
      </c>
      <c r="M26" s="6">
        <v>0</v>
      </c>
      <c r="N26" s="2">
        <v>0</v>
      </c>
      <c r="O26" s="2">
        <v>0</v>
      </c>
      <c r="Q26" s="55"/>
    </row>
    <row r="27" spans="1:17" x14ac:dyDescent="0.25">
      <c r="A27" s="27">
        <v>29</v>
      </c>
      <c r="B27" s="35" t="s">
        <v>104</v>
      </c>
      <c r="C27" s="30">
        <v>3</v>
      </c>
      <c r="D27" s="6">
        <v>38</v>
      </c>
      <c r="E27" s="6">
        <v>1</v>
      </c>
      <c r="F27" s="4">
        <v>4</v>
      </c>
      <c r="G27" s="4">
        <v>1</v>
      </c>
      <c r="H27" s="6">
        <v>0</v>
      </c>
      <c r="I27" s="6">
        <v>0</v>
      </c>
      <c r="J27" s="4">
        <v>3</v>
      </c>
      <c r="K27" s="4">
        <v>1</v>
      </c>
      <c r="L27" s="6">
        <v>1</v>
      </c>
      <c r="M27" s="6">
        <v>0</v>
      </c>
      <c r="N27" s="2">
        <v>46</v>
      </c>
      <c r="O27" s="2">
        <v>3</v>
      </c>
      <c r="Q27" s="55"/>
    </row>
    <row r="28" spans="1:17" x14ac:dyDescent="0.25">
      <c r="A28" s="28">
        <v>30</v>
      </c>
      <c r="B28" s="37" t="s">
        <v>43</v>
      </c>
      <c r="C28" s="31">
        <v>5</v>
      </c>
      <c r="D28" s="6">
        <v>16</v>
      </c>
      <c r="E28" s="6">
        <v>0</v>
      </c>
      <c r="F28" s="4">
        <v>9</v>
      </c>
      <c r="G28" s="4">
        <v>0</v>
      </c>
      <c r="H28" s="6">
        <v>1</v>
      </c>
      <c r="I28" s="6">
        <v>0</v>
      </c>
      <c r="J28" s="4">
        <v>3</v>
      </c>
      <c r="K28" s="4">
        <v>0</v>
      </c>
      <c r="L28" s="6">
        <v>0</v>
      </c>
      <c r="M28" s="6">
        <v>0</v>
      </c>
      <c r="N28" s="2">
        <v>29</v>
      </c>
      <c r="O28" s="2">
        <v>0</v>
      </c>
      <c r="Q28" s="55"/>
    </row>
    <row r="29" spans="1:17" x14ac:dyDescent="0.25">
      <c r="A29" s="27">
        <v>31</v>
      </c>
      <c r="B29" s="35" t="s">
        <v>114</v>
      </c>
      <c r="C29" s="30">
        <v>1</v>
      </c>
      <c r="D29" s="6">
        <v>26</v>
      </c>
      <c r="E29" s="6">
        <v>2</v>
      </c>
      <c r="F29" s="4">
        <v>5</v>
      </c>
      <c r="G29" s="4">
        <v>2</v>
      </c>
      <c r="H29" s="6">
        <v>0</v>
      </c>
      <c r="I29" s="6">
        <v>0</v>
      </c>
      <c r="J29" s="4">
        <v>3</v>
      </c>
      <c r="K29" s="4">
        <v>0</v>
      </c>
      <c r="L29" s="6">
        <v>1</v>
      </c>
      <c r="M29" s="6">
        <v>1</v>
      </c>
      <c r="N29" s="2">
        <v>35</v>
      </c>
      <c r="O29" s="2">
        <v>5</v>
      </c>
      <c r="Q29" s="55"/>
    </row>
    <row r="30" spans="1:17" x14ac:dyDescent="0.25">
      <c r="A30" s="28">
        <v>32</v>
      </c>
      <c r="B30" s="38" t="s">
        <v>35</v>
      </c>
      <c r="C30" s="31">
        <v>5</v>
      </c>
      <c r="D30" s="6">
        <v>0</v>
      </c>
      <c r="E30" s="6">
        <v>0</v>
      </c>
      <c r="F30" s="4">
        <v>0</v>
      </c>
      <c r="G30" s="4">
        <v>0</v>
      </c>
      <c r="H30" s="6">
        <v>1</v>
      </c>
      <c r="I30" s="6">
        <v>0</v>
      </c>
      <c r="J30" s="4">
        <v>1</v>
      </c>
      <c r="K30" s="4">
        <v>0</v>
      </c>
      <c r="L30" s="6">
        <v>0</v>
      </c>
      <c r="M30" s="6">
        <v>0</v>
      </c>
      <c r="N30" s="2">
        <v>2</v>
      </c>
      <c r="O30" s="2">
        <v>0</v>
      </c>
      <c r="Q30" s="55"/>
    </row>
    <row r="31" spans="1:17" x14ac:dyDescent="0.25">
      <c r="A31" s="27">
        <v>33</v>
      </c>
      <c r="B31" s="36" t="s">
        <v>92</v>
      </c>
      <c r="C31" s="30">
        <v>3</v>
      </c>
      <c r="D31" s="6">
        <v>34</v>
      </c>
      <c r="E31" s="6">
        <v>0</v>
      </c>
      <c r="F31" s="4">
        <v>3</v>
      </c>
      <c r="G31" s="4">
        <v>0</v>
      </c>
      <c r="H31" s="6">
        <v>0</v>
      </c>
      <c r="I31" s="6">
        <v>0</v>
      </c>
      <c r="J31" s="4">
        <v>0</v>
      </c>
      <c r="K31" s="4">
        <v>0</v>
      </c>
      <c r="L31" s="6">
        <v>1</v>
      </c>
      <c r="M31" s="6">
        <v>0</v>
      </c>
      <c r="N31" s="2">
        <v>38</v>
      </c>
      <c r="O31" s="2">
        <v>0</v>
      </c>
      <c r="Q31" s="55"/>
    </row>
    <row r="32" spans="1:17" x14ac:dyDescent="0.25">
      <c r="A32" s="27">
        <v>35</v>
      </c>
      <c r="B32" s="39" t="s">
        <v>100</v>
      </c>
      <c r="C32" s="30">
        <v>3</v>
      </c>
      <c r="D32" s="6">
        <v>13</v>
      </c>
      <c r="E32" s="6">
        <v>0</v>
      </c>
      <c r="F32" s="4">
        <v>12</v>
      </c>
      <c r="G32" s="4">
        <v>1</v>
      </c>
      <c r="H32" s="6">
        <v>1</v>
      </c>
      <c r="I32" s="6">
        <v>0</v>
      </c>
      <c r="J32" s="4">
        <v>5</v>
      </c>
      <c r="K32" s="4">
        <v>0</v>
      </c>
      <c r="L32" s="6">
        <v>1</v>
      </c>
      <c r="M32" s="6">
        <v>0</v>
      </c>
      <c r="N32" s="2">
        <v>32</v>
      </c>
      <c r="O32" s="2">
        <v>1</v>
      </c>
      <c r="Q32" s="55"/>
    </row>
    <row r="33" spans="1:17" x14ac:dyDescent="0.25">
      <c r="A33" s="28">
        <v>37</v>
      </c>
      <c r="B33" s="40" t="s">
        <v>85</v>
      </c>
      <c r="C33" s="31">
        <v>4</v>
      </c>
      <c r="D33" s="6">
        <v>0</v>
      </c>
      <c r="E33" s="6">
        <v>0</v>
      </c>
      <c r="F33" s="4">
        <v>0</v>
      </c>
      <c r="G33" s="4">
        <v>0</v>
      </c>
      <c r="H33" s="6">
        <v>0</v>
      </c>
      <c r="I33" s="6">
        <v>0</v>
      </c>
      <c r="J33" s="4">
        <v>0</v>
      </c>
      <c r="K33" s="4">
        <v>0</v>
      </c>
      <c r="L33" s="6">
        <v>0</v>
      </c>
      <c r="M33" s="6">
        <v>0</v>
      </c>
      <c r="N33" s="2">
        <v>0</v>
      </c>
      <c r="O33" s="2">
        <v>0</v>
      </c>
      <c r="Q33" s="55"/>
    </row>
    <row r="34" spans="1:17" x14ac:dyDescent="0.25">
      <c r="A34" s="28">
        <v>40</v>
      </c>
      <c r="B34" s="40" t="s">
        <v>34</v>
      </c>
      <c r="C34" s="31">
        <v>5</v>
      </c>
      <c r="D34" s="6">
        <v>0</v>
      </c>
      <c r="E34" s="6">
        <v>0</v>
      </c>
      <c r="F34" s="4">
        <v>0</v>
      </c>
      <c r="G34" s="4">
        <v>0</v>
      </c>
      <c r="H34" s="6">
        <v>0</v>
      </c>
      <c r="I34" s="6">
        <v>0</v>
      </c>
      <c r="J34" s="4">
        <v>0</v>
      </c>
      <c r="K34" s="4">
        <v>0</v>
      </c>
      <c r="L34" s="6">
        <v>0</v>
      </c>
      <c r="M34" s="6">
        <v>0</v>
      </c>
      <c r="N34" s="2">
        <v>0</v>
      </c>
      <c r="O34" s="2">
        <v>0</v>
      </c>
      <c r="Q34" s="55"/>
    </row>
    <row r="35" spans="1:17" x14ac:dyDescent="0.25">
      <c r="A35" s="28">
        <v>43</v>
      </c>
      <c r="B35" s="40" t="s">
        <v>118</v>
      </c>
      <c r="C35" s="31">
        <v>1</v>
      </c>
      <c r="D35" s="6">
        <v>0</v>
      </c>
      <c r="E35" s="6">
        <v>0</v>
      </c>
      <c r="F35" s="4">
        <v>0</v>
      </c>
      <c r="G35" s="4">
        <v>0</v>
      </c>
      <c r="H35" s="6">
        <v>0</v>
      </c>
      <c r="I35" s="6">
        <v>0</v>
      </c>
      <c r="J35" s="4">
        <v>3</v>
      </c>
      <c r="K35" s="4">
        <v>0</v>
      </c>
      <c r="L35" s="6">
        <v>0</v>
      </c>
      <c r="M35" s="6">
        <v>0</v>
      </c>
      <c r="N35" s="2">
        <v>3</v>
      </c>
      <c r="O35" s="2">
        <v>0</v>
      </c>
      <c r="Q35" s="55"/>
    </row>
    <row r="36" spans="1:17" x14ac:dyDescent="0.25">
      <c r="A36" s="28">
        <v>54</v>
      </c>
      <c r="B36" s="40" t="s">
        <v>124</v>
      </c>
      <c r="C36" s="31">
        <v>1</v>
      </c>
      <c r="D36" s="6">
        <v>0</v>
      </c>
      <c r="E36" s="6">
        <v>0</v>
      </c>
      <c r="F36" s="4">
        <v>0</v>
      </c>
      <c r="G36" s="4">
        <v>0</v>
      </c>
      <c r="H36" s="6">
        <v>0</v>
      </c>
      <c r="I36" s="6">
        <v>0</v>
      </c>
      <c r="J36" s="4">
        <v>1</v>
      </c>
      <c r="K36" s="4">
        <v>0</v>
      </c>
      <c r="L36" s="6">
        <v>0</v>
      </c>
      <c r="M36" s="6">
        <v>0</v>
      </c>
      <c r="N36" s="2">
        <v>1</v>
      </c>
      <c r="O36" s="2">
        <v>0</v>
      </c>
      <c r="Q36" s="55"/>
    </row>
    <row r="37" spans="1:17" x14ac:dyDescent="0.25">
      <c r="A37" s="28">
        <v>58</v>
      </c>
      <c r="B37" s="40" t="s">
        <v>122</v>
      </c>
      <c r="C37" s="31">
        <v>1</v>
      </c>
      <c r="D37" s="6">
        <v>0</v>
      </c>
      <c r="E37" s="6">
        <v>0</v>
      </c>
      <c r="F37" s="4">
        <v>3</v>
      </c>
      <c r="G37" s="4">
        <v>0</v>
      </c>
      <c r="H37" s="6">
        <v>0</v>
      </c>
      <c r="I37" s="6">
        <v>0</v>
      </c>
      <c r="J37" s="4">
        <v>0</v>
      </c>
      <c r="K37" s="4">
        <v>0</v>
      </c>
      <c r="L37" s="6">
        <v>0</v>
      </c>
      <c r="M37" s="6">
        <v>0</v>
      </c>
      <c r="N37" s="2">
        <v>3</v>
      </c>
      <c r="O37" s="2">
        <v>0</v>
      </c>
      <c r="Q37" s="55"/>
    </row>
    <row r="38" spans="1:17" x14ac:dyDescent="0.25">
      <c r="A38" s="28">
        <v>61</v>
      </c>
      <c r="B38" s="37" t="s">
        <v>115</v>
      </c>
      <c r="C38" s="31">
        <v>1</v>
      </c>
      <c r="D38" s="6">
        <v>4</v>
      </c>
      <c r="E38" s="6">
        <v>0</v>
      </c>
      <c r="F38" s="4">
        <v>8</v>
      </c>
      <c r="G38" s="4">
        <v>0</v>
      </c>
      <c r="H38" s="6">
        <v>1</v>
      </c>
      <c r="I38" s="6">
        <v>0</v>
      </c>
      <c r="J38" s="4">
        <v>3</v>
      </c>
      <c r="K38" s="4">
        <v>0</v>
      </c>
      <c r="L38" s="6">
        <v>1</v>
      </c>
      <c r="M38" s="6">
        <v>0</v>
      </c>
      <c r="N38" s="2">
        <v>17</v>
      </c>
      <c r="O38" s="2">
        <v>0</v>
      </c>
      <c r="Q38" s="55"/>
    </row>
    <row r="39" spans="1:17" x14ac:dyDescent="0.25">
      <c r="A39" s="28">
        <v>62</v>
      </c>
      <c r="B39" s="37" t="s">
        <v>123</v>
      </c>
      <c r="C39" s="31">
        <v>1</v>
      </c>
      <c r="D39" s="6">
        <v>2</v>
      </c>
      <c r="E39" s="6">
        <v>0</v>
      </c>
      <c r="F39" s="4">
        <v>5</v>
      </c>
      <c r="G39" s="4">
        <v>0</v>
      </c>
      <c r="H39" s="6">
        <v>1</v>
      </c>
      <c r="I39" s="6">
        <v>0</v>
      </c>
      <c r="J39" s="4">
        <v>1</v>
      </c>
      <c r="K39" s="4">
        <v>2</v>
      </c>
      <c r="L39" s="6">
        <v>0</v>
      </c>
      <c r="M39" s="6">
        <v>0</v>
      </c>
      <c r="N39" s="2">
        <v>9</v>
      </c>
      <c r="O39" s="2">
        <v>2</v>
      </c>
      <c r="Q39" s="55"/>
    </row>
    <row r="40" spans="1:17" x14ac:dyDescent="0.25">
      <c r="A40" s="28">
        <v>65</v>
      </c>
      <c r="B40" s="37" t="s">
        <v>121</v>
      </c>
      <c r="C40" s="31">
        <v>1</v>
      </c>
      <c r="D40" s="6">
        <v>0</v>
      </c>
      <c r="E40" s="6">
        <v>0</v>
      </c>
      <c r="F40" s="4">
        <v>1</v>
      </c>
      <c r="G40" s="4">
        <v>0</v>
      </c>
      <c r="H40" s="6">
        <v>0</v>
      </c>
      <c r="I40" s="6">
        <v>0</v>
      </c>
      <c r="J40" s="4">
        <v>1</v>
      </c>
      <c r="K40" s="4">
        <v>0</v>
      </c>
      <c r="L40" s="6">
        <v>0</v>
      </c>
      <c r="M40" s="6">
        <v>0</v>
      </c>
      <c r="N40" s="2">
        <v>2</v>
      </c>
      <c r="O40" s="2">
        <v>0</v>
      </c>
      <c r="Q40" s="55"/>
    </row>
    <row r="41" spans="1:17" x14ac:dyDescent="0.25">
      <c r="A41" s="28">
        <v>69</v>
      </c>
      <c r="B41" s="37" t="s">
        <v>117</v>
      </c>
      <c r="C41" s="56">
        <v>1</v>
      </c>
      <c r="D41" s="6">
        <v>2</v>
      </c>
      <c r="E41" s="6">
        <v>0</v>
      </c>
      <c r="F41" s="4">
        <v>5</v>
      </c>
      <c r="G41" s="4">
        <v>0</v>
      </c>
      <c r="H41" s="6">
        <v>1</v>
      </c>
      <c r="I41" s="6">
        <v>0</v>
      </c>
      <c r="J41" s="4">
        <v>3</v>
      </c>
      <c r="K41" s="4">
        <v>0</v>
      </c>
      <c r="L41" s="6">
        <v>0</v>
      </c>
      <c r="M41" s="6">
        <v>0</v>
      </c>
      <c r="N41" s="2">
        <v>11</v>
      </c>
      <c r="O41" s="2">
        <v>0</v>
      </c>
      <c r="Q41" s="55"/>
    </row>
  </sheetData>
  <autoFilter ref="A3:O38" xr:uid="{00000000-0009-0000-0000-000002000000}">
    <sortState xmlns:xlrd2="http://schemas.microsoft.com/office/spreadsheetml/2017/richdata2" ref="A4:O43">
      <sortCondition ref="A3:A40"/>
    </sortState>
  </autoFilter>
  <mergeCells count="6">
    <mergeCell ref="N2:O2"/>
    <mergeCell ref="D2:E2"/>
    <mergeCell ref="F2:G2"/>
    <mergeCell ref="H2:I2"/>
    <mergeCell ref="J2:K2"/>
    <mergeCell ref="L2:M2"/>
  </mergeCells>
  <conditionalFormatting sqref="N4:O41">
    <cfRule type="cellIs" dxfId="33" priority="4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7833-567F-4B99-938D-9354407A9393}">
  <dimension ref="A1:T43"/>
  <sheetViews>
    <sheetView zoomScaleNormal="100" zoomScalePageLayoutView="110" workbookViewId="0">
      <selection activeCell="E23" sqref="E23"/>
    </sheetView>
  </sheetViews>
  <sheetFormatPr defaultColWidth="8.85546875" defaultRowHeight="15" x14ac:dyDescent="0.25"/>
  <cols>
    <col min="1" max="1" width="3.7109375" customWidth="1"/>
    <col min="2" max="2" width="26.42578125" bestFit="1" customWidth="1"/>
    <col min="3" max="3" width="3.42578125" customWidth="1"/>
    <col min="5" max="5" width="8.7109375" customWidth="1"/>
    <col min="12" max="13" width="8.85546875" customWidth="1"/>
  </cols>
  <sheetData>
    <row r="1" spans="1:20" x14ac:dyDescent="0.25">
      <c r="A1" s="1" t="s">
        <v>0</v>
      </c>
      <c r="B1" s="1"/>
      <c r="C1" s="1"/>
      <c r="D1" s="1"/>
      <c r="E1" s="16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0" x14ac:dyDescent="0.25">
      <c r="A2" s="3"/>
      <c r="B2" s="5"/>
      <c r="C2" s="3"/>
      <c r="D2" s="206" t="s">
        <v>4</v>
      </c>
      <c r="E2" s="206"/>
      <c r="F2" s="207" t="s">
        <v>113</v>
      </c>
      <c r="G2" s="207"/>
      <c r="H2" s="206" t="s">
        <v>108</v>
      </c>
      <c r="I2" s="206"/>
      <c r="J2" s="207" t="s">
        <v>110</v>
      </c>
      <c r="K2" s="207"/>
      <c r="L2" s="206" t="s">
        <v>39</v>
      </c>
      <c r="M2" s="206"/>
      <c r="N2" s="211" t="s">
        <v>7</v>
      </c>
      <c r="O2" s="211"/>
    </row>
    <row r="3" spans="1:20" x14ac:dyDescent="0.25">
      <c r="A3" s="3" t="s">
        <v>48</v>
      </c>
      <c r="B3" s="5" t="s">
        <v>1</v>
      </c>
      <c r="C3" s="3" t="s">
        <v>38</v>
      </c>
      <c r="D3" s="5" t="s">
        <v>2</v>
      </c>
      <c r="E3" s="5" t="s">
        <v>3</v>
      </c>
      <c r="F3" s="3" t="s">
        <v>2</v>
      </c>
      <c r="G3" s="3" t="s">
        <v>3</v>
      </c>
      <c r="H3" s="5" t="s">
        <v>5</v>
      </c>
      <c r="I3" s="5" t="s">
        <v>3</v>
      </c>
      <c r="J3" s="3" t="s">
        <v>2</v>
      </c>
      <c r="K3" s="3" t="s">
        <v>3</v>
      </c>
      <c r="L3" s="5" t="s">
        <v>2</v>
      </c>
      <c r="M3" s="5" t="s">
        <v>3</v>
      </c>
      <c r="N3" s="8" t="s">
        <v>2</v>
      </c>
      <c r="O3" s="8" t="s">
        <v>3</v>
      </c>
    </row>
    <row r="4" spans="1:20" x14ac:dyDescent="0.25">
      <c r="A4" s="27">
        <v>1</v>
      </c>
      <c r="B4" s="36" t="s">
        <v>92</v>
      </c>
      <c r="C4" s="30">
        <v>4</v>
      </c>
      <c r="D4" s="6">
        <v>7</v>
      </c>
      <c r="E4" s="6">
        <v>0</v>
      </c>
      <c r="F4" s="4">
        <v>11</v>
      </c>
      <c r="G4" s="4">
        <v>0</v>
      </c>
      <c r="H4" s="6">
        <v>2</v>
      </c>
      <c r="I4" s="6">
        <v>0</v>
      </c>
      <c r="J4" s="4">
        <v>2</v>
      </c>
      <c r="K4" s="4">
        <v>0</v>
      </c>
      <c r="L4" s="6">
        <v>0</v>
      </c>
      <c r="M4" s="6">
        <v>0</v>
      </c>
      <c r="N4" s="2">
        <v>22</v>
      </c>
      <c r="O4" s="2">
        <v>0</v>
      </c>
      <c r="Q4" s="55"/>
      <c r="T4" s="44"/>
    </row>
    <row r="5" spans="1:20" x14ac:dyDescent="0.25">
      <c r="A5" s="28">
        <v>2</v>
      </c>
      <c r="B5" s="37" t="s">
        <v>36</v>
      </c>
      <c r="C5" s="31">
        <v>6</v>
      </c>
      <c r="D5" s="6">
        <v>19</v>
      </c>
      <c r="E5" s="6">
        <v>0</v>
      </c>
      <c r="F5" s="4">
        <v>0</v>
      </c>
      <c r="G5" s="4">
        <v>0</v>
      </c>
      <c r="H5" s="6">
        <v>0</v>
      </c>
      <c r="I5" s="6">
        <v>0</v>
      </c>
      <c r="J5" s="4">
        <v>0</v>
      </c>
      <c r="K5" s="4">
        <v>0</v>
      </c>
      <c r="L5" s="6">
        <v>0</v>
      </c>
      <c r="M5" s="6">
        <v>0</v>
      </c>
      <c r="N5" s="2">
        <v>19</v>
      </c>
      <c r="O5" s="2">
        <v>0</v>
      </c>
      <c r="Q5" s="55"/>
    </row>
    <row r="6" spans="1:20" x14ac:dyDescent="0.25">
      <c r="A6" s="27">
        <v>4</v>
      </c>
      <c r="B6" s="39" t="s">
        <v>100</v>
      </c>
      <c r="C6" s="30">
        <v>4</v>
      </c>
      <c r="D6" s="6">
        <v>8</v>
      </c>
      <c r="E6" s="6">
        <v>0</v>
      </c>
      <c r="F6" s="4">
        <v>7</v>
      </c>
      <c r="G6" s="4">
        <v>0</v>
      </c>
      <c r="H6" s="6">
        <v>1</v>
      </c>
      <c r="I6" s="6">
        <v>0</v>
      </c>
      <c r="J6" s="4">
        <v>1</v>
      </c>
      <c r="K6" s="4">
        <v>0</v>
      </c>
      <c r="L6" s="6">
        <v>0</v>
      </c>
      <c r="M6" s="6">
        <v>0</v>
      </c>
      <c r="N6" s="2">
        <v>17</v>
      </c>
      <c r="O6" s="2">
        <v>0</v>
      </c>
      <c r="Q6" s="55"/>
    </row>
    <row r="7" spans="1:20" x14ac:dyDescent="0.25">
      <c r="A7" s="27">
        <v>5</v>
      </c>
      <c r="B7" s="39" t="s">
        <v>203</v>
      </c>
      <c r="C7" s="30">
        <v>1</v>
      </c>
      <c r="D7" s="6">
        <v>25</v>
      </c>
      <c r="E7" s="6">
        <v>1</v>
      </c>
      <c r="F7" s="4">
        <v>12</v>
      </c>
      <c r="G7" s="4">
        <v>2</v>
      </c>
      <c r="H7" s="6">
        <v>2</v>
      </c>
      <c r="I7" s="6">
        <v>0</v>
      </c>
      <c r="J7" s="4">
        <v>1</v>
      </c>
      <c r="K7" s="4">
        <v>0</v>
      </c>
      <c r="L7" s="6">
        <v>0</v>
      </c>
      <c r="M7" s="6">
        <v>0</v>
      </c>
      <c r="N7" s="2">
        <v>40</v>
      </c>
      <c r="O7" s="2">
        <v>3</v>
      </c>
      <c r="Q7" s="55"/>
    </row>
    <row r="8" spans="1:20" x14ac:dyDescent="0.25">
      <c r="A8" s="27">
        <v>6</v>
      </c>
      <c r="B8" s="34" t="s">
        <v>12</v>
      </c>
      <c r="C8" s="29">
        <v>9</v>
      </c>
      <c r="D8" s="6">
        <v>16</v>
      </c>
      <c r="E8" s="6">
        <v>3</v>
      </c>
      <c r="F8" s="4">
        <v>10</v>
      </c>
      <c r="G8" s="4">
        <v>0</v>
      </c>
      <c r="H8" s="6">
        <v>1</v>
      </c>
      <c r="I8" s="6">
        <v>0</v>
      </c>
      <c r="J8" s="4">
        <v>1</v>
      </c>
      <c r="K8" s="4">
        <v>0</v>
      </c>
      <c r="L8" s="6">
        <v>0</v>
      </c>
      <c r="M8" s="6">
        <v>0</v>
      </c>
      <c r="N8" s="2">
        <v>28</v>
      </c>
      <c r="O8" s="2">
        <v>3</v>
      </c>
      <c r="Q8" s="55"/>
    </row>
    <row r="9" spans="1:20" x14ac:dyDescent="0.25">
      <c r="A9" s="27">
        <v>7</v>
      </c>
      <c r="B9" s="35" t="s">
        <v>130</v>
      </c>
      <c r="C9" s="29">
        <v>2</v>
      </c>
      <c r="D9" s="6">
        <v>24</v>
      </c>
      <c r="E9" s="6">
        <v>6</v>
      </c>
      <c r="F9" s="4">
        <v>11</v>
      </c>
      <c r="G9" s="4">
        <v>0</v>
      </c>
      <c r="H9" s="6">
        <v>0</v>
      </c>
      <c r="I9" s="6">
        <v>0</v>
      </c>
      <c r="J9" s="4">
        <v>3</v>
      </c>
      <c r="K9" s="4">
        <v>0</v>
      </c>
      <c r="L9" s="6">
        <v>0</v>
      </c>
      <c r="M9" s="6">
        <v>0</v>
      </c>
      <c r="N9" s="2">
        <v>38</v>
      </c>
      <c r="O9" s="2">
        <v>6</v>
      </c>
      <c r="Q9" s="55"/>
    </row>
    <row r="10" spans="1:20" x14ac:dyDescent="0.25">
      <c r="A10" s="27">
        <v>8</v>
      </c>
      <c r="B10" s="39" t="s">
        <v>22</v>
      </c>
      <c r="C10" s="29">
        <v>11</v>
      </c>
      <c r="D10" s="6">
        <v>29</v>
      </c>
      <c r="E10" s="6">
        <v>4</v>
      </c>
      <c r="F10" s="4">
        <v>7</v>
      </c>
      <c r="G10" s="4">
        <v>2</v>
      </c>
      <c r="H10" s="6">
        <v>2</v>
      </c>
      <c r="I10" s="6">
        <v>0</v>
      </c>
      <c r="J10" s="4">
        <v>3</v>
      </c>
      <c r="K10" s="4">
        <v>0</v>
      </c>
      <c r="L10" s="6">
        <v>0</v>
      </c>
      <c r="M10" s="6">
        <v>0</v>
      </c>
      <c r="N10" s="2">
        <v>41</v>
      </c>
      <c r="O10" s="2">
        <v>6</v>
      </c>
      <c r="Q10" s="55"/>
    </row>
    <row r="11" spans="1:20" x14ac:dyDescent="0.25">
      <c r="A11" s="27">
        <v>9</v>
      </c>
      <c r="B11" s="39" t="s">
        <v>112</v>
      </c>
      <c r="C11" s="29">
        <v>2</v>
      </c>
      <c r="D11" s="6">
        <v>35</v>
      </c>
      <c r="E11" s="6">
        <v>13</v>
      </c>
      <c r="F11" s="4">
        <v>10</v>
      </c>
      <c r="G11" s="4">
        <v>5</v>
      </c>
      <c r="H11" s="6">
        <v>2</v>
      </c>
      <c r="I11" s="6">
        <v>0</v>
      </c>
      <c r="J11" s="4">
        <v>2</v>
      </c>
      <c r="K11" s="4">
        <v>1</v>
      </c>
      <c r="L11" s="6">
        <v>0</v>
      </c>
      <c r="M11" s="6">
        <v>0</v>
      </c>
      <c r="N11" s="2">
        <v>49</v>
      </c>
      <c r="O11" s="2">
        <v>19</v>
      </c>
      <c r="Q11" s="55"/>
    </row>
    <row r="12" spans="1:20" x14ac:dyDescent="0.25">
      <c r="A12" s="27">
        <v>10</v>
      </c>
      <c r="B12" s="39" t="s">
        <v>17</v>
      </c>
      <c r="C12" s="29">
        <v>6</v>
      </c>
      <c r="D12" s="6">
        <v>23</v>
      </c>
      <c r="E12" s="6">
        <v>5</v>
      </c>
      <c r="F12" s="4">
        <v>10</v>
      </c>
      <c r="G12" s="4">
        <v>1</v>
      </c>
      <c r="H12" s="6">
        <v>1</v>
      </c>
      <c r="I12" s="6">
        <v>0</v>
      </c>
      <c r="J12" s="4">
        <v>0</v>
      </c>
      <c r="K12" s="4">
        <v>0</v>
      </c>
      <c r="L12" s="6">
        <v>0</v>
      </c>
      <c r="M12" s="6">
        <v>0</v>
      </c>
      <c r="N12" s="2">
        <v>34</v>
      </c>
      <c r="O12" s="2">
        <v>6</v>
      </c>
      <c r="Q12" s="55"/>
    </row>
    <row r="13" spans="1:20" x14ac:dyDescent="0.25">
      <c r="A13" s="27">
        <v>11</v>
      </c>
      <c r="B13" s="39" t="s">
        <v>169</v>
      </c>
      <c r="C13" s="29">
        <v>1</v>
      </c>
      <c r="D13" s="6">
        <v>34</v>
      </c>
      <c r="E13" s="6">
        <v>2</v>
      </c>
      <c r="F13" s="4">
        <v>12</v>
      </c>
      <c r="G13" s="4">
        <v>0</v>
      </c>
      <c r="H13" s="6">
        <v>1</v>
      </c>
      <c r="I13" s="6">
        <v>0</v>
      </c>
      <c r="J13" s="4">
        <v>3</v>
      </c>
      <c r="K13" s="4">
        <v>0</v>
      </c>
      <c r="L13" s="6">
        <v>0</v>
      </c>
      <c r="M13" s="6">
        <v>0</v>
      </c>
      <c r="N13" s="2">
        <v>50</v>
      </c>
      <c r="O13" s="2">
        <v>2</v>
      </c>
      <c r="Q13" s="55"/>
    </row>
    <row r="14" spans="1:20" x14ac:dyDescent="0.25">
      <c r="A14" s="27">
        <v>12</v>
      </c>
      <c r="B14" s="39" t="s">
        <v>170</v>
      </c>
      <c r="C14" s="29">
        <v>1</v>
      </c>
      <c r="D14" s="6">
        <v>14</v>
      </c>
      <c r="E14" s="6">
        <v>0</v>
      </c>
      <c r="F14" s="4">
        <v>6</v>
      </c>
      <c r="G14" s="4">
        <v>0</v>
      </c>
      <c r="H14" s="6">
        <v>1</v>
      </c>
      <c r="I14" s="6">
        <v>0</v>
      </c>
      <c r="J14" s="4">
        <v>2</v>
      </c>
      <c r="K14" s="4">
        <v>1</v>
      </c>
      <c r="L14" s="6">
        <v>0</v>
      </c>
      <c r="M14" s="6">
        <v>0</v>
      </c>
      <c r="N14" s="2">
        <v>23</v>
      </c>
      <c r="O14" s="2">
        <v>1</v>
      </c>
      <c r="Q14" s="55"/>
    </row>
    <row r="15" spans="1:20" x14ac:dyDescent="0.25">
      <c r="A15" s="27">
        <v>13</v>
      </c>
      <c r="B15" s="36" t="s">
        <v>21</v>
      </c>
      <c r="C15" s="29">
        <v>5</v>
      </c>
      <c r="D15" s="6">
        <v>0</v>
      </c>
      <c r="E15" s="6">
        <v>0</v>
      </c>
      <c r="F15" s="4">
        <v>0</v>
      </c>
      <c r="G15" s="4">
        <v>0</v>
      </c>
      <c r="H15" s="6">
        <v>0</v>
      </c>
      <c r="I15" s="6">
        <v>0</v>
      </c>
      <c r="J15" s="4">
        <v>0</v>
      </c>
      <c r="K15" s="4">
        <v>0</v>
      </c>
      <c r="L15" s="6">
        <v>0</v>
      </c>
      <c r="M15" s="6">
        <v>0</v>
      </c>
      <c r="N15" s="2">
        <v>0</v>
      </c>
      <c r="O15" s="2">
        <v>0</v>
      </c>
      <c r="Q15" s="55"/>
    </row>
    <row r="16" spans="1:20" x14ac:dyDescent="0.25">
      <c r="A16" s="27">
        <v>14</v>
      </c>
      <c r="B16" s="36" t="s">
        <v>131</v>
      </c>
      <c r="C16" s="29">
        <v>2</v>
      </c>
      <c r="D16" s="6">
        <v>35</v>
      </c>
      <c r="E16" s="6">
        <v>22</v>
      </c>
      <c r="F16" s="4">
        <v>12</v>
      </c>
      <c r="G16" s="4">
        <v>8</v>
      </c>
      <c r="H16" s="6">
        <v>1</v>
      </c>
      <c r="I16" s="6">
        <v>1</v>
      </c>
      <c r="J16" s="4">
        <v>2</v>
      </c>
      <c r="K16" s="4">
        <v>0</v>
      </c>
      <c r="L16" s="6">
        <v>0</v>
      </c>
      <c r="M16" s="6">
        <v>0</v>
      </c>
      <c r="N16" s="2">
        <v>50</v>
      </c>
      <c r="O16" s="2">
        <v>31</v>
      </c>
      <c r="Q16" s="55"/>
    </row>
    <row r="17" spans="1:17" x14ac:dyDescent="0.25">
      <c r="A17" s="27">
        <v>15</v>
      </c>
      <c r="B17" s="37" t="s">
        <v>43</v>
      </c>
      <c r="C17" s="29">
        <v>5</v>
      </c>
      <c r="D17" s="6">
        <v>16</v>
      </c>
      <c r="E17" s="6">
        <v>1</v>
      </c>
      <c r="F17" s="4">
        <v>10</v>
      </c>
      <c r="G17" s="4">
        <v>1</v>
      </c>
      <c r="H17" s="6">
        <v>2</v>
      </c>
      <c r="I17" s="6">
        <v>0</v>
      </c>
      <c r="J17" s="4">
        <v>2</v>
      </c>
      <c r="K17" s="4">
        <v>0</v>
      </c>
      <c r="L17" s="6">
        <v>0</v>
      </c>
      <c r="M17" s="6">
        <v>0</v>
      </c>
      <c r="N17" s="2">
        <v>30</v>
      </c>
      <c r="O17" s="2">
        <v>2</v>
      </c>
      <c r="Q17" s="55"/>
    </row>
    <row r="18" spans="1:17" x14ac:dyDescent="0.25">
      <c r="A18" s="27">
        <v>16</v>
      </c>
      <c r="B18" s="39" t="s">
        <v>103</v>
      </c>
      <c r="C18" s="29">
        <v>3</v>
      </c>
      <c r="D18" s="6">
        <v>10</v>
      </c>
      <c r="E18" s="6">
        <v>0</v>
      </c>
      <c r="F18" s="4">
        <v>5</v>
      </c>
      <c r="G18" s="4">
        <v>0</v>
      </c>
      <c r="H18" s="6">
        <v>0</v>
      </c>
      <c r="I18" s="6">
        <v>0</v>
      </c>
      <c r="J18" s="4">
        <v>1</v>
      </c>
      <c r="K18" s="4">
        <v>0</v>
      </c>
      <c r="L18" s="6">
        <v>0</v>
      </c>
      <c r="M18" s="6">
        <v>0</v>
      </c>
      <c r="N18" s="2">
        <v>16</v>
      </c>
      <c r="O18" s="2">
        <v>0</v>
      </c>
      <c r="Q18" s="55"/>
    </row>
    <row r="19" spans="1:17" x14ac:dyDescent="0.25">
      <c r="A19" s="28">
        <v>17</v>
      </c>
      <c r="B19" s="37" t="s">
        <v>95</v>
      </c>
      <c r="C19" s="31">
        <v>4</v>
      </c>
      <c r="D19" s="6">
        <v>35</v>
      </c>
      <c r="E19" s="6">
        <v>3</v>
      </c>
      <c r="F19" s="4">
        <v>11</v>
      </c>
      <c r="G19" s="4">
        <v>2</v>
      </c>
      <c r="H19" s="6">
        <v>2</v>
      </c>
      <c r="I19" s="6">
        <v>0</v>
      </c>
      <c r="J19" s="4">
        <v>3</v>
      </c>
      <c r="K19" s="4">
        <v>0</v>
      </c>
      <c r="L19" s="6">
        <v>0</v>
      </c>
      <c r="M19" s="6">
        <v>0</v>
      </c>
      <c r="N19" s="2">
        <v>51</v>
      </c>
      <c r="O19" s="2">
        <v>5</v>
      </c>
      <c r="Q19" s="55"/>
    </row>
    <row r="20" spans="1:17" x14ac:dyDescent="0.25">
      <c r="A20" s="27">
        <v>18</v>
      </c>
      <c r="B20" s="34" t="s">
        <v>24</v>
      </c>
      <c r="C20" s="30">
        <v>7</v>
      </c>
      <c r="D20" s="6">
        <v>22</v>
      </c>
      <c r="E20" s="6">
        <v>1</v>
      </c>
      <c r="F20" s="4">
        <v>12</v>
      </c>
      <c r="G20" s="4">
        <v>0</v>
      </c>
      <c r="H20" s="6">
        <v>0</v>
      </c>
      <c r="I20" s="6">
        <v>0</v>
      </c>
      <c r="J20" s="4">
        <v>2</v>
      </c>
      <c r="K20" s="4">
        <v>0</v>
      </c>
      <c r="L20" s="6">
        <v>0</v>
      </c>
      <c r="M20" s="6">
        <v>0</v>
      </c>
      <c r="N20" s="2">
        <v>36</v>
      </c>
      <c r="O20" s="2">
        <v>1</v>
      </c>
      <c r="Q20" s="55"/>
    </row>
    <row r="21" spans="1:17" x14ac:dyDescent="0.25">
      <c r="A21" s="27">
        <v>19</v>
      </c>
      <c r="B21" s="34" t="s">
        <v>171</v>
      </c>
      <c r="C21" s="30">
        <v>1</v>
      </c>
      <c r="D21" s="6">
        <v>32</v>
      </c>
      <c r="E21" s="6">
        <v>0</v>
      </c>
      <c r="F21" s="4">
        <v>3</v>
      </c>
      <c r="G21" s="4">
        <v>0</v>
      </c>
      <c r="H21" s="6">
        <v>0</v>
      </c>
      <c r="I21" s="6">
        <v>0</v>
      </c>
      <c r="J21" s="4">
        <v>1</v>
      </c>
      <c r="K21" s="4">
        <v>0</v>
      </c>
      <c r="L21" s="6">
        <v>0</v>
      </c>
      <c r="M21" s="6">
        <v>0</v>
      </c>
      <c r="N21" s="2">
        <v>36</v>
      </c>
      <c r="O21" s="2">
        <v>0</v>
      </c>
      <c r="Q21" s="55"/>
    </row>
    <row r="22" spans="1:17" x14ac:dyDescent="0.25">
      <c r="A22" s="27">
        <v>20</v>
      </c>
      <c r="B22" s="39" t="s">
        <v>107</v>
      </c>
      <c r="C22" s="29">
        <v>3</v>
      </c>
      <c r="D22" s="6">
        <v>31</v>
      </c>
      <c r="E22" s="6">
        <v>2</v>
      </c>
      <c r="F22" s="4">
        <v>6</v>
      </c>
      <c r="G22" s="4">
        <v>1</v>
      </c>
      <c r="H22" s="6">
        <v>1</v>
      </c>
      <c r="I22" s="6">
        <v>0</v>
      </c>
      <c r="J22" s="4">
        <v>2</v>
      </c>
      <c r="K22" s="4">
        <v>0</v>
      </c>
      <c r="L22" s="6">
        <v>0</v>
      </c>
      <c r="M22" s="6">
        <v>0</v>
      </c>
      <c r="N22" s="2">
        <v>40</v>
      </c>
      <c r="O22" s="2">
        <v>3</v>
      </c>
      <c r="Q22" s="55"/>
    </row>
    <row r="23" spans="1:17" x14ac:dyDescent="0.25">
      <c r="A23" s="27">
        <v>21</v>
      </c>
      <c r="B23" s="34" t="s">
        <v>26</v>
      </c>
      <c r="C23" s="30">
        <v>5</v>
      </c>
      <c r="D23" s="6">
        <v>0</v>
      </c>
      <c r="E23" s="6">
        <v>0</v>
      </c>
      <c r="F23" s="4">
        <v>0</v>
      </c>
      <c r="G23" s="4">
        <v>0</v>
      </c>
      <c r="H23" s="6">
        <v>0</v>
      </c>
      <c r="I23" s="6">
        <v>0</v>
      </c>
      <c r="J23" s="4">
        <v>0</v>
      </c>
      <c r="K23" s="4">
        <v>0</v>
      </c>
      <c r="L23" s="6">
        <v>0</v>
      </c>
      <c r="M23" s="6">
        <v>0</v>
      </c>
      <c r="N23" s="2">
        <v>0</v>
      </c>
      <c r="O23" s="2">
        <v>0</v>
      </c>
      <c r="Q23" s="55"/>
    </row>
    <row r="24" spans="1:17" x14ac:dyDescent="0.25">
      <c r="A24" s="27">
        <v>22</v>
      </c>
      <c r="B24" s="34" t="s">
        <v>184</v>
      </c>
      <c r="C24" s="30">
        <v>1</v>
      </c>
      <c r="D24" s="6">
        <v>4</v>
      </c>
      <c r="E24" s="6">
        <v>0</v>
      </c>
      <c r="F24" s="4">
        <v>2</v>
      </c>
      <c r="G24" s="4">
        <v>0</v>
      </c>
      <c r="H24" s="6">
        <v>0</v>
      </c>
      <c r="I24" s="6">
        <v>0</v>
      </c>
      <c r="J24" s="4">
        <v>0</v>
      </c>
      <c r="K24" s="4">
        <v>0</v>
      </c>
      <c r="L24" s="6">
        <v>0</v>
      </c>
      <c r="M24" s="6">
        <v>0</v>
      </c>
      <c r="N24" s="2">
        <v>6</v>
      </c>
      <c r="O24" s="2">
        <v>0</v>
      </c>
      <c r="Q24" s="55"/>
    </row>
    <row r="25" spans="1:17" x14ac:dyDescent="0.25">
      <c r="A25" s="27">
        <v>23</v>
      </c>
      <c r="B25" s="35" t="s">
        <v>28</v>
      </c>
      <c r="C25" s="30">
        <v>5</v>
      </c>
      <c r="D25" s="6">
        <v>8</v>
      </c>
      <c r="E25" s="6">
        <v>1</v>
      </c>
      <c r="F25" s="4">
        <v>4</v>
      </c>
      <c r="G25" s="4">
        <v>2</v>
      </c>
      <c r="H25" s="6">
        <v>0</v>
      </c>
      <c r="I25" s="6">
        <v>0</v>
      </c>
      <c r="J25" s="4">
        <v>2</v>
      </c>
      <c r="K25" s="4">
        <v>2</v>
      </c>
      <c r="L25" s="6">
        <v>0</v>
      </c>
      <c r="M25" s="6">
        <v>0</v>
      </c>
      <c r="N25" s="2">
        <v>14</v>
      </c>
      <c r="O25" s="2">
        <v>5</v>
      </c>
      <c r="Q25" s="55"/>
    </row>
    <row r="26" spans="1:17" x14ac:dyDescent="0.25">
      <c r="A26" s="27">
        <v>25</v>
      </c>
      <c r="B26" s="34" t="s">
        <v>41</v>
      </c>
      <c r="C26" s="30">
        <v>8</v>
      </c>
      <c r="D26" s="6">
        <v>3</v>
      </c>
      <c r="E26" s="6">
        <v>0</v>
      </c>
      <c r="F26" s="4">
        <v>3</v>
      </c>
      <c r="G26" s="4">
        <v>0</v>
      </c>
      <c r="H26" s="6">
        <v>1</v>
      </c>
      <c r="I26" s="6">
        <v>0</v>
      </c>
      <c r="J26" s="4">
        <v>1</v>
      </c>
      <c r="K26" s="4">
        <v>0</v>
      </c>
      <c r="L26" s="6">
        <v>0</v>
      </c>
      <c r="M26" s="6">
        <v>0</v>
      </c>
      <c r="N26" s="2">
        <v>8</v>
      </c>
      <c r="O26" s="2">
        <v>0</v>
      </c>
      <c r="Q26" s="55"/>
    </row>
    <row r="27" spans="1:17" x14ac:dyDescent="0.25">
      <c r="A27" s="27">
        <v>26</v>
      </c>
      <c r="B27" s="36" t="s">
        <v>30</v>
      </c>
      <c r="C27" s="30">
        <v>6</v>
      </c>
      <c r="D27" s="6">
        <v>0</v>
      </c>
      <c r="E27" s="6">
        <v>0</v>
      </c>
      <c r="F27" s="4">
        <v>1</v>
      </c>
      <c r="G27" s="4">
        <v>0</v>
      </c>
      <c r="H27" s="6">
        <v>0</v>
      </c>
      <c r="I27" s="6">
        <v>0</v>
      </c>
      <c r="J27" s="4">
        <v>0</v>
      </c>
      <c r="K27" s="4">
        <v>0</v>
      </c>
      <c r="L27" s="6">
        <v>0</v>
      </c>
      <c r="M27" s="6">
        <v>0</v>
      </c>
      <c r="N27" s="2">
        <v>1</v>
      </c>
      <c r="O27" s="2">
        <v>0</v>
      </c>
      <c r="Q27" s="55"/>
    </row>
    <row r="28" spans="1:17" x14ac:dyDescent="0.25">
      <c r="A28" s="27">
        <v>27</v>
      </c>
      <c r="B28" s="36" t="s">
        <v>167</v>
      </c>
      <c r="C28" s="30">
        <v>2</v>
      </c>
      <c r="D28" s="6">
        <v>4</v>
      </c>
      <c r="E28" s="6">
        <v>0</v>
      </c>
      <c r="F28" s="4">
        <v>0</v>
      </c>
      <c r="G28" s="4">
        <v>0</v>
      </c>
      <c r="H28" s="6">
        <v>0</v>
      </c>
      <c r="I28" s="6">
        <v>0</v>
      </c>
      <c r="J28" s="4">
        <v>0</v>
      </c>
      <c r="K28" s="4">
        <v>0</v>
      </c>
      <c r="L28" s="6">
        <v>0</v>
      </c>
      <c r="M28" s="6">
        <v>0</v>
      </c>
      <c r="N28" s="2">
        <v>4</v>
      </c>
      <c r="O28" s="2">
        <v>0</v>
      </c>
      <c r="Q28" s="55"/>
    </row>
    <row r="29" spans="1:17" x14ac:dyDescent="0.25">
      <c r="A29" s="27">
        <v>29</v>
      </c>
      <c r="B29" s="35" t="s">
        <v>172</v>
      </c>
      <c r="C29" s="30">
        <v>1</v>
      </c>
      <c r="D29" s="6">
        <v>33</v>
      </c>
      <c r="E29" s="6">
        <v>0</v>
      </c>
      <c r="F29" s="4">
        <v>11</v>
      </c>
      <c r="G29" s="4">
        <v>1</v>
      </c>
      <c r="H29" s="6">
        <v>1</v>
      </c>
      <c r="I29" s="6">
        <v>0</v>
      </c>
      <c r="J29" s="4">
        <v>3</v>
      </c>
      <c r="K29" s="4">
        <v>0</v>
      </c>
      <c r="L29" s="6">
        <v>0</v>
      </c>
      <c r="M29" s="6">
        <v>0</v>
      </c>
      <c r="N29" s="2">
        <v>48</v>
      </c>
      <c r="O29" s="2">
        <v>1</v>
      </c>
      <c r="Q29" s="55"/>
    </row>
    <row r="30" spans="1:17" x14ac:dyDescent="0.25">
      <c r="A30" s="27">
        <v>31</v>
      </c>
      <c r="B30" s="35" t="s">
        <v>114</v>
      </c>
      <c r="C30" s="30">
        <v>3</v>
      </c>
      <c r="D30" s="6">
        <v>24</v>
      </c>
      <c r="E30" s="6">
        <v>0</v>
      </c>
      <c r="F30" s="4">
        <v>10</v>
      </c>
      <c r="G30" s="4">
        <v>0</v>
      </c>
      <c r="H30" s="6">
        <v>2</v>
      </c>
      <c r="I30" s="6">
        <v>0</v>
      </c>
      <c r="J30" s="4">
        <v>0</v>
      </c>
      <c r="K30" s="4">
        <v>0</v>
      </c>
      <c r="L30" s="6">
        <v>0</v>
      </c>
      <c r="M30" s="6">
        <v>0</v>
      </c>
      <c r="N30" s="2">
        <v>36</v>
      </c>
      <c r="O30" s="2">
        <v>0</v>
      </c>
      <c r="Q30" s="55"/>
    </row>
    <row r="31" spans="1:17" x14ac:dyDescent="0.25">
      <c r="A31" s="27">
        <v>34</v>
      </c>
      <c r="B31" s="35" t="s">
        <v>104</v>
      </c>
      <c r="C31" s="30">
        <v>3</v>
      </c>
      <c r="D31" s="6">
        <v>29</v>
      </c>
      <c r="E31" s="6">
        <v>4</v>
      </c>
      <c r="F31" s="4">
        <v>9</v>
      </c>
      <c r="G31" s="4">
        <v>0</v>
      </c>
      <c r="H31" s="6">
        <v>1</v>
      </c>
      <c r="I31" s="6">
        <v>0</v>
      </c>
      <c r="J31" s="4">
        <v>1</v>
      </c>
      <c r="K31" s="4">
        <v>0</v>
      </c>
      <c r="L31" s="6">
        <v>0</v>
      </c>
      <c r="M31" s="6">
        <v>0</v>
      </c>
      <c r="N31" s="2">
        <v>40</v>
      </c>
      <c r="O31" s="2">
        <v>4</v>
      </c>
      <c r="Q31" s="55"/>
    </row>
    <row r="32" spans="1:17" x14ac:dyDescent="0.25">
      <c r="A32" s="28">
        <v>37</v>
      </c>
      <c r="B32" s="40" t="s">
        <v>85</v>
      </c>
      <c r="C32" s="31">
        <v>4</v>
      </c>
      <c r="D32" s="6">
        <v>0</v>
      </c>
      <c r="E32" s="6">
        <v>0</v>
      </c>
      <c r="F32" s="4">
        <v>0</v>
      </c>
      <c r="G32" s="4">
        <v>0</v>
      </c>
      <c r="H32" s="6">
        <v>0</v>
      </c>
      <c r="I32" s="6">
        <v>0</v>
      </c>
      <c r="J32" s="4">
        <v>0</v>
      </c>
      <c r="K32" s="4">
        <v>0</v>
      </c>
      <c r="L32" s="6">
        <v>0</v>
      </c>
      <c r="M32" s="6">
        <v>0</v>
      </c>
      <c r="N32" s="2">
        <v>0</v>
      </c>
      <c r="O32" s="2">
        <v>0</v>
      </c>
      <c r="Q32" s="55"/>
    </row>
    <row r="33" spans="1:17" x14ac:dyDescent="0.25">
      <c r="A33" s="28">
        <v>40</v>
      </c>
      <c r="B33" s="40" t="s">
        <v>34</v>
      </c>
      <c r="C33" s="31">
        <v>6</v>
      </c>
      <c r="D33" s="6">
        <v>0</v>
      </c>
      <c r="E33" s="6">
        <v>0</v>
      </c>
      <c r="F33" s="4">
        <v>0</v>
      </c>
      <c r="G33" s="4">
        <v>0</v>
      </c>
      <c r="H33" s="6">
        <v>0</v>
      </c>
      <c r="I33" s="6">
        <v>0</v>
      </c>
      <c r="J33" s="4">
        <v>0</v>
      </c>
      <c r="K33" s="4">
        <v>0</v>
      </c>
      <c r="L33" s="6">
        <v>0</v>
      </c>
      <c r="M33" s="6">
        <v>0</v>
      </c>
      <c r="N33" s="2">
        <v>0</v>
      </c>
      <c r="O33" s="2">
        <v>0</v>
      </c>
      <c r="Q33" s="55"/>
    </row>
    <row r="34" spans="1:17" x14ac:dyDescent="0.25">
      <c r="A34" s="28">
        <v>43</v>
      </c>
      <c r="B34" s="40" t="s">
        <v>179</v>
      </c>
      <c r="C34" s="31">
        <v>1</v>
      </c>
      <c r="D34" s="6">
        <v>0</v>
      </c>
      <c r="E34" s="6">
        <v>0</v>
      </c>
      <c r="F34" s="4">
        <v>2</v>
      </c>
      <c r="G34" s="4">
        <v>0</v>
      </c>
      <c r="H34" s="6">
        <v>0</v>
      </c>
      <c r="I34" s="6">
        <v>0</v>
      </c>
      <c r="J34" s="4">
        <v>0</v>
      </c>
      <c r="K34" s="4">
        <v>0</v>
      </c>
      <c r="L34" s="6">
        <v>0</v>
      </c>
      <c r="M34" s="6">
        <v>0</v>
      </c>
      <c r="N34" s="2">
        <v>2</v>
      </c>
      <c r="O34" s="2">
        <v>0</v>
      </c>
      <c r="Q34" s="55"/>
    </row>
    <row r="35" spans="1:17" x14ac:dyDescent="0.25">
      <c r="A35" s="28">
        <v>47</v>
      </c>
      <c r="B35" s="40" t="s">
        <v>178</v>
      </c>
      <c r="C35" s="31">
        <v>1</v>
      </c>
      <c r="D35" s="6">
        <v>0</v>
      </c>
      <c r="E35" s="6">
        <v>0</v>
      </c>
      <c r="F35" s="4">
        <v>2</v>
      </c>
      <c r="G35" s="4">
        <v>0</v>
      </c>
      <c r="H35" s="6">
        <v>1</v>
      </c>
      <c r="I35" s="6">
        <v>0</v>
      </c>
      <c r="J35" s="4">
        <v>0</v>
      </c>
      <c r="K35" s="4">
        <v>0</v>
      </c>
      <c r="L35" s="6">
        <v>0</v>
      </c>
      <c r="M35" s="6">
        <v>0</v>
      </c>
      <c r="N35" s="2">
        <v>3</v>
      </c>
      <c r="O35" s="2">
        <v>0</v>
      </c>
      <c r="Q35" s="55"/>
    </row>
    <row r="36" spans="1:17" x14ac:dyDescent="0.25">
      <c r="A36" s="28">
        <v>49</v>
      </c>
      <c r="B36" s="40" t="s">
        <v>123</v>
      </c>
      <c r="C36" s="31">
        <v>2</v>
      </c>
      <c r="D36" s="6">
        <v>5</v>
      </c>
      <c r="E36" s="6">
        <v>1</v>
      </c>
      <c r="F36" s="4">
        <v>2</v>
      </c>
      <c r="G36" s="4">
        <v>0</v>
      </c>
      <c r="H36" s="6">
        <v>1</v>
      </c>
      <c r="I36" s="6">
        <v>0</v>
      </c>
      <c r="J36" s="4">
        <v>1</v>
      </c>
      <c r="K36" s="4">
        <v>0</v>
      </c>
      <c r="L36" s="6">
        <v>0</v>
      </c>
      <c r="M36" s="6">
        <v>0</v>
      </c>
      <c r="N36" s="2">
        <v>9</v>
      </c>
      <c r="O36" s="2">
        <v>1</v>
      </c>
    </row>
    <row r="37" spans="1:17" x14ac:dyDescent="0.25">
      <c r="A37" s="28">
        <v>53</v>
      </c>
      <c r="B37" s="40" t="s">
        <v>177</v>
      </c>
      <c r="C37" s="31">
        <v>1</v>
      </c>
      <c r="D37" s="6">
        <v>0</v>
      </c>
      <c r="E37" s="6">
        <v>0</v>
      </c>
      <c r="F37" s="4">
        <v>0</v>
      </c>
      <c r="G37" s="4">
        <v>0</v>
      </c>
      <c r="H37" s="6">
        <v>0</v>
      </c>
      <c r="I37" s="6">
        <v>0</v>
      </c>
      <c r="J37" s="4">
        <v>1</v>
      </c>
      <c r="K37" s="4">
        <v>0</v>
      </c>
      <c r="L37" s="6">
        <v>0</v>
      </c>
      <c r="M37" s="6">
        <v>0</v>
      </c>
      <c r="N37" s="2">
        <v>1</v>
      </c>
      <c r="O37" s="2">
        <v>0</v>
      </c>
      <c r="Q37" s="55"/>
    </row>
    <row r="38" spans="1:17" x14ac:dyDescent="0.25">
      <c r="A38" s="28">
        <v>54</v>
      </c>
      <c r="B38" s="40" t="s">
        <v>124</v>
      </c>
      <c r="C38" s="31">
        <v>1</v>
      </c>
      <c r="D38" s="6">
        <v>0</v>
      </c>
      <c r="E38" s="6">
        <v>0</v>
      </c>
      <c r="F38" s="4">
        <v>0</v>
      </c>
      <c r="G38" s="4">
        <v>0</v>
      </c>
      <c r="H38" s="6">
        <v>0</v>
      </c>
      <c r="I38" s="6">
        <v>0</v>
      </c>
      <c r="J38" s="4">
        <v>0</v>
      </c>
      <c r="K38" s="4">
        <v>0</v>
      </c>
      <c r="L38" s="6">
        <v>0</v>
      </c>
      <c r="M38" s="6">
        <v>0</v>
      </c>
      <c r="N38" s="2">
        <v>0</v>
      </c>
      <c r="O38" s="2">
        <v>0</v>
      </c>
      <c r="Q38" s="55"/>
    </row>
    <row r="39" spans="1:17" x14ac:dyDescent="0.25">
      <c r="A39" s="28">
        <v>55</v>
      </c>
      <c r="B39" s="40" t="s">
        <v>174</v>
      </c>
      <c r="C39" s="31">
        <v>1</v>
      </c>
      <c r="D39" s="6">
        <v>0</v>
      </c>
      <c r="E39" s="6">
        <v>0</v>
      </c>
      <c r="F39" s="4">
        <v>4</v>
      </c>
      <c r="G39" s="4">
        <v>2</v>
      </c>
      <c r="H39" s="6">
        <v>0</v>
      </c>
      <c r="I39" s="6">
        <v>0</v>
      </c>
      <c r="J39" s="4">
        <v>2</v>
      </c>
      <c r="K39" s="4">
        <v>1</v>
      </c>
      <c r="L39" s="6">
        <v>0</v>
      </c>
      <c r="M39" s="6">
        <v>0</v>
      </c>
      <c r="N39" s="2">
        <v>6</v>
      </c>
      <c r="O39" s="2">
        <v>3</v>
      </c>
      <c r="Q39" s="55"/>
    </row>
    <row r="40" spans="1:17" x14ac:dyDescent="0.25">
      <c r="A40" s="28">
        <v>59</v>
      </c>
      <c r="B40" s="40" t="s">
        <v>117</v>
      </c>
      <c r="C40" s="31">
        <v>2</v>
      </c>
      <c r="D40" s="6">
        <v>2</v>
      </c>
      <c r="E40" s="6">
        <v>0</v>
      </c>
      <c r="F40" s="4">
        <v>3</v>
      </c>
      <c r="G40" s="4">
        <v>1</v>
      </c>
      <c r="H40" s="6">
        <v>1</v>
      </c>
      <c r="I40" s="6">
        <v>2</v>
      </c>
      <c r="J40" s="4">
        <v>0</v>
      </c>
      <c r="K40" s="4">
        <v>0</v>
      </c>
      <c r="L40" s="6">
        <v>0</v>
      </c>
      <c r="M40" s="6">
        <v>0</v>
      </c>
      <c r="N40" s="2">
        <v>6</v>
      </c>
      <c r="O40" s="2">
        <v>3</v>
      </c>
    </row>
    <row r="41" spans="1:17" x14ac:dyDescent="0.25">
      <c r="A41" s="28">
        <v>61</v>
      </c>
      <c r="B41" s="40" t="s">
        <v>115</v>
      </c>
      <c r="C41" s="31">
        <v>2</v>
      </c>
      <c r="D41" s="6">
        <v>0</v>
      </c>
      <c r="E41" s="6">
        <v>0</v>
      </c>
      <c r="F41" s="4">
        <v>0</v>
      </c>
      <c r="G41" s="4">
        <v>0</v>
      </c>
      <c r="H41" s="6">
        <v>0</v>
      </c>
      <c r="I41" s="6">
        <v>0</v>
      </c>
      <c r="J41" s="4">
        <v>0</v>
      </c>
      <c r="K41" s="4">
        <v>0</v>
      </c>
      <c r="L41" s="6">
        <v>0</v>
      </c>
      <c r="M41" s="6">
        <v>0</v>
      </c>
      <c r="N41" s="2">
        <v>0</v>
      </c>
      <c r="O41" s="2">
        <v>0</v>
      </c>
    </row>
    <row r="42" spans="1:17" x14ac:dyDescent="0.25">
      <c r="A42" s="28">
        <v>65</v>
      </c>
      <c r="B42" s="40" t="s">
        <v>121</v>
      </c>
      <c r="C42" s="31">
        <v>1</v>
      </c>
      <c r="D42" s="6">
        <v>0</v>
      </c>
      <c r="E42" s="6">
        <v>0</v>
      </c>
      <c r="F42" s="4">
        <v>0</v>
      </c>
      <c r="G42" s="4">
        <v>0</v>
      </c>
      <c r="H42" s="6">
        <v>0</v>
      </c>
      <c r="I42" s="6">
        <v>0</v>
      </c>
      <c r="J42" s="4">
        <v>0</v>
      </c>
      <c r="K42" s="4">
        <v>0</v>
      </c>
      <c r="L42" s="6">
        <v>0</v>
      </c>
      <c r="M42" s="6">
        <v>0</v>
      </c>
      <c r="N42" s="2">
        <v>0</v>
      </c>
      <c r="O42" s="2">
        <v>0</v>
      </c>
    </row>
    <row r="43" spans="1:17" x14ac:dyDescent="0.25">
      <c r="A43" s="28">
        <v>87</v>
      </c>
      <c r="B43" s="40" t="s">
        <v>180</v>
      </c>
      <c r="C43" s="31">
        <v>1</v>
      </c>
      <c r="D43" s="6">
        <v>1</v>
      </c>
      <c r="E43" s="6">
        <v>0</v>
      </c>
      <c r="F43" s="4">
        <v>2</v>
      </c>
      <c r="G43" s="4">
        <v>0</v>
      </c>
      <c r="H43" s="6">
        <v>1</v>
      </c>
      <c r="I43" s="6">
        <v>0</v>
      </c>
      <c r="J43" s="4">
        <v>0</v>
      </c>
      <c r="K43" s="4">
        <v>0</v>
      </c>
      <c r="L43" s="6">
        <v>0</v>
      </c>
      <c r="M43" s="6">
        <v>0</v>
      </c>
      <c r="N43" s="2">
        <v>4</v>
      </c>
      <c r="O43" s="2">
        <v>0</v>
      </c>
    </row>
  </sheetData>
  <autoFilter ref="A3:O32" xr:uid="{00000000-0009-0000-0000-000002000000}">
    <sortState xmlns:xlrd2="http://schemas.microsoft.com/office/spreadsheetml/2017/richdata2" ref="A4:O42">
      <sortCondition ref="A3:A32"/>
    </sortState>
  </autoFilter>
  <mergeCells count="6">
    <mergeCell ref="N2:O2"/>
    <mergeCell ref="D2:E2"/>
    <mergeCell ref="F2:G2"/>
    <mergeCell ref="H2:I2"/>
    <mergeCell ref="J2:K2"/>
    <mergeCell ref="L2:M2"/>
  </mergeCells>
  <conditionalFormatting sqref="N4:O43">
    <cfRule type="cellIs" dxfId="32" priority="5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2C4F-CC1C-4131-B179-B05BC7D148EC}">
  <dimension ref="A1:Q36"/>
  <sheetViews>
    <sheetView topLeftCell="A5" zoomScaleNormal="100" zoomScalePageLayoutView="110" workbookViewId="0">
      <selection activeCell="B8" sqref="B8"/>
    </sheetView>
  </sheetViews>
  <sheetFormatPr defaultColWidth="8.85546875" defaultRowHeight="15" x14ac:dyDescent="0.25"/>
  <cols>
    <col min="1" max="1" width="3.7109375" customWidth="1"/>
    <col min="2" max="2" width="26.42578125" bestFit="1" customWidth="1"/>
    <col min="3" max="3" width="3.42578125" customWidth="1"/>
    <col min="5" max="5" width="8.7109375" customWidth="1"/>
    <col min="12" max="13" width="8.85546875" customWidth="1"/>
  </cols>
  <sheetData>
    <row r="1" spans="1:17" x14ac:dyDescent="0.25">
      <c r="A1" s="1" t="s">
        <v>0</v>
      </c>
      <c r="B1" s="1"/>
      <c r="C1" s="1"/>
      <c r="D1" s="1"/>
      <c r="E1" s="16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7" x14ac:dyDescent="0.25">
      <c r="A2" s="3"/>
      <c r="B2" s="5"/>
      <c r="C2" s="3"/>
      <c r="D2" s="206" t="s">
        <v>4</v>
      </c>
      <c r="E2" s="206"/>
      <c r="F2" s="207" t="s">
        <v>113</v>
      </c>
      <c r="G2" s="207"/>
      <c r="H2" s="206" t="s">
        <v>108</v>
      </c>
      <c r="I2" s="206"/>
      <c r="J2" s="207" t="s">
        <v>110</v>
      </c>
      <c r="K2" s="207"/>
      <c r="L2" s="206" t="s">
        <v>39</v>
      </c>
      <c r="M2" s="206"/>
      <c r="N2" s="211" t="s">
        <v>7</v>
      </c>
      <c r="O2" s="211"/>
    </row>
    <row r="3" spans="1:17" x14ac:dyDescent="0.25">
      <c r="A3" s="3" t="s">
        <v>48</v>
      </c>
      <c r="B3" s="5" t="s">
        <v>1</v>
      </c>
      <c r="C3" s="3" t="s">
        <v>38</v>
      </c>
      <c r="D3" s="5" t="s">
        <v>2</v>
      </c>
      <c r="E3" s="5" t="s">
        <v>3</v>
      </c>
      <c r="F3" s="3" t="s">
        <v>2</v>
      </c>
      <c r="G3" s="3" t="s">
        <v>3</v>
      </c>
      <c r="H3" s="5" t="s">
        <v>5</v>
      </c>
      <c r="I3" s="5" t="s">
        <v>3</v>
      </c>
      <c r="J3" s="3" t="s">
        <v>2</v>
      </c>
      <c r="K3" s="3" t="s">
        <v>3</v>
      </c>
      <c r="L3" s="5" t="s">
        <v>2</v>
      </c>
      <c r="M3" s="5" t="s">
        <v>3</v>
      </c>
      <c r="N3" s="8" t="s">
        <v>2</v>
      </c>
      <c r="O3" s="8" t="s">
        <v>3</v>
      </c>
    </row>
    <row r="4" spans="1:17" x14ac:dyDescent="0.25">
      <c r="A4" s="27">
        <v>1</v>
      </c>
      <c r="B4" s="34" t="s">
        <v>171</v>
      </c>
      <c r="C4" s="30">
        <v>1</v>
      </c>
      <c r="D4" s="6">
        <v>30</v>
      </c>
      <c r="E4" s="6">
        <v>0</v>
      </c>
      <c r="F4" s="4">
        <v>2</v>
      </c>
      <c r="G4" s="4">
        <v>0</v>
      </c>
      <c r="H4" s="6">
        <v>0</v>
      </c>
      <c r="I4" s="6">
        <v>0</v>
      </c>
      <c r="J4" s="4">
        <v>0</v>
      </c>
      <c r="K4" s="4">
        <v>0</v>
      </c>
      <c r="L4" s="6">
        <v>0</v>
      </c>
      <c r="M4" s="6">
        <v>0</v>
      </c>
      <c r="N4" s="2">
        <v>32</v>
      </c>
      <c r="O4" s="2">
        <v>0</v>
      </c>
      <c r="Q4" s="55"/>
    </row>
    <row r="5" spans="1:17" x14ac:dyDescent="0.25">
      <c r="A5" s="28">
        <v>2</v>
      </c>
      <c r="B5" s="37" t="s">
        <v>36</v>
      </c>
      <c r="C5" s="31">
        <v>6</v>
      </c>
      <c r="D5" s="6">
        <v>15</v>
      </c>
      <c r="E5" s="6">
        <v>1</v>
      </c>
      <c r="F5" s="4">
        <v>3</v>
      </c>
      <c r="G5" s="4">
        <v>0</v>
      </c>
      <c r="H5" s="6">
        <v>3</v>
      </c>
      <c r="I5" s="6">
        <v>0</v>
      </c>
      <c r="J5" s="4">
        <v>2</v>
      </c>
      <c r="K5" s="4">
        <v>0</v>
      </c>
      <c r="L5" s="6">
        <v>0</v>
      </c>
      <c r="M5" s="6">
        <v>0</v>
      </c>
      <c r="N5" s="2">
        <v>23</v>
      </c>
      <c r="O5" s="2">
        <v>1</v>
      </c>
      <c r="Q5" s="55"/>
    </row>
    <row r="6" spans="1:17" x14ac:dyDescent="0.25">
      <c r="A6" s="28">
        <v>3</v>
      </c>
      <c r="B6" s="37" t="s">
        <v>191</v>
      </c>
      <c r="C6" s="31">
        <v>1</v>
      </c>
      <c r="D6" s="6">
        <v>15</v>
      </c>
      <c r="E6" s="6">
        <v>1</v>
      </c>
      <c r="F6" s="4">
        <v>4</v>
      </c>
      <c r="G6" s="4">
        <v>0</v>
      </c>
      <c r="H6" s="6">
        <v>3</v>
      </c>
      <c r="I6" s="6">
        <v>0</v>
      </c>
      <c r="J6" s="4">
        <v>2</v>
      </c>
      <c r="K6" s="4">
        <v>0</v>
      </c>
      <c r="L6" s="6">
        <v>0</v>
      </c>
      <c r="M6" s="6">
        <v>0</v>
      </c>
      <c r="N6" s="2">
        <v>24</v>
      </c>
      <c r="O6" s="2">
        <v>1</v>
      </c>
      <c r="Q6" s="55"/>
    </row>
    <row r="7" spans="1:17" x14ac:dyDescent="0.25">
      <c r="A7" s="27">
        <v>4</v>
      </c>
      <c r="B7" s="39" t="s">
        <v>100</v>
      </c>
      <c r="C7" s="30">
        <v>4</v>
      </c>
      <c r="D7" s="6">
        <v>0</v>
      </c>
      <c r="E7" s="6">
        <v>0</v>
      </c>
      <c r="F7" s="4">
        <v>0</v>
      </c>
      <c r="G7" s="4">
        <v>0</v>
      </c>
      <c r="H7" s="6">
        <v>0</v>
      </c>
      <c r="I7" s="6">
        <v>0</v>
      </c>
      <c r="J7" s="4">
        <v>0</v>
      </c>
      <c r="K7" s="4">
        <v>0</v>
      </c>
      <c r="L7" s="6">
        <v>0</v>
      </c>
      <c r="M7" s="6">
        <v>0</v>
      </c>
      <c r="N7" s="2">
        <v>0</v>
      </c>
      <c r="O7" s="2">
        <v>0</v>
      </c>
      <c r="Q7" s="55"/>
    </row>
    <row r="8" spans="1:17" x14ac:dyDescent="0.25">
      <c r="A8" s="27">
        <v>5</v>
      </c>
      <c r="B8" s="39" t="s">
        <v>203</v>
      </c>
      <c r="C8" s="30">
        <v>1</v>
      </c>
      <c r="D8" s="6">
        <v>19</v>
      </c>
      <c r="E8" s="6">
        <v>2</v>
      </c>
      <c r="F8" s="4">
        <v>5</v>
      </c>
      <c r="G8" s="4">
        <v>0</v>
      </c>
      <c r="H8" s="6">
        <v>5</v>
      </c>
      <c r="I8" s="6">
        <v>1</v>
      </c>
      <c r="J8" s="4">
        <v>0</v>
      </c>
      <c r="K8" s="4">
        <v>0</v>
      </c>
      <c r="L8" s="6">
        <v>0</v>
      </c>
      <c r="M8" s="6">
        <v>0</v>
      </c>
      <c r="N8" s="2">
        <v>29</v>
      </c>
      <c r="O8" s="2">
        <v>3</v>
      </c>
      <c r="Q8" s="55"/>
    </row>
    <row r="9" spans="1:17" x14ac:dyDescent="0.25">
      <c r="A9" s="27">
        <v>7</v>
      </c>
      <c r="B9" s="35" t="s">
        <v>130</v>
      </c>
      <c r="C9" s="29">
        <v>2</v>
      </c>
      <c r="D9" s="6">
        <v>3</v>
      </c>
      <c r="E9" s="6">
        <v>0</v>
      </c>
      <c r="F9" s="4">
        <v>0</v>
      </c>
      <c r="G9" s="4">
        <v>0</v>
      </c>
      <c r="H9" s="6">
        <v>0</v>
      </c>
      <c r="I9" s="6">
        <v>0</v>
      </c>
      <c r="J9" s="4">
        <v>0</v>
      </c>
      <c r="K9" s="4">
        <v>0</v>
      </c>
      <c r="L9" s="6">
        <v>0</v>
      </c>
      <c r="M9" s="6">
        <v>0</v>
      </c>
      <c r="N9" s="2">
        <v>3</v>
      </c>
      <c r="O9" s="2">
        <v>0</v>
      </c>
      <c r="Q9" s="55"/>
    </row>
    <row r="10" spans="1:17" x14ac:dyDescent="0.25">
      <c r="A10" s="27">
        <v>8</v>
      </c>
      <c r="B10" s="35" t="s">
        <v>187</v>
      </c>
      <c r="C10" s="29">
        <v>1</v>
      </c>
      <c r="D10" s="6">
        <v>24</v>
      </c>
      <c r="E10" s="6">
        <v>0</v>
      </c>
      <c r="F10" s="4">
        <v>6</v>
      </c>
      <c r="G10" s="4">
        <v>1</v>
      </c>
      <c r="H10" s="6">
        <v>5</v>
      </c>
      <c r="I10" s="6">
        <v>1</v>
      </c>
      <c r="J10" s="4">
        <v>2</v>
      </c>
      <c r="K10" s="4">
        <v>0</v>
      </c>
      <c r="L10" s="6">
        <v>0</v>
      </c>
      <c r="M10" s="6">
        <v>0</v>
      </c>
      <c r="N10" s="2">
        <v>37</v>
      </c>
      <c r="O10" s="2">
        <v>2</v>
      </c>
      <c r="Q10" s="55"/>
    </row>
    <row r="11" spans="1:17" x14ac:dyDescent="0.25">
      <c r="A11" s="27">
        <v>9</v>
      </c>
      <c r="B11" s="39" t="s">
        <v>112</v>
      </c>
      <c r="C11" s="29">
        <v>2</v>
      </c>
      <c r="D11" s="6">
        <v>30</v>
      </c>
      <c r="E11" s="6">
        <v>10</v>
      </c>
      <c r="F11" s="4">
        <v>5</v>
      </c>
      <c r="G11" s="4">
        <v>2</v>
      </c>
      <c r="H11" s="6">
        <v>4</v>
      </c>
      <c r="I11" s="6">
        <v>0</v>
      </c>
      <c r="J11" s="4">
        <v>0</v>
      </c>
      <c r="K11" s="4">
        <v>0</v>
      </c>
      <c r="L11" s="6">
        <v>0</v>
      </c>
      <c r="M11" s="6">
        <v>0</v>
      </c>
      <c r="N11" s="2">
        <v>39</v>
      </c>
      <c r="O11" s="2">
        <v>12</v>
      </c>
      <c r="Q11" s="55"/>
    </row>
    <row r="12" spans="1:17" x14ac:dyDescent="0.25">
      <c r="A12" s="27">
        <v>10</v>
      </c>
      <c r="B12" s="39" t="s">
        <v>17</v>
      </c>
      <c r="C12" s="29">
        <v>6</v>
      </c>
      <c r="D12" s="6">
        <v>18</v>
      </c>
      <c r="E12" s="6">
        <v>1</v>
      </c>
      <c r="F12" s="4">
        <v>2</v>
      </c>
      <c r="G12" s="4">
        <v>0</v>
      </c>
      <c r="H12" s="6">
        <v>1</v>
      </c>
      <c r="I12" s="6">
        <v>0</v>
      </c>
      <c r="J12" s="4">
        <v>2</v>
      </c>
      <c r="K12" s="4">
        <v>0</v>
      </c>
      <c r="L12" s="6">
        <v>0</v>
      </c>
      <c r="M12" s="6">
        <v>0</v>
      </c>
      <c r="N12" s="2">
        <v>23</v>
      </c>
      <c r="O12" s="2">
        <v>1</v>
      </c>
      <c r="Q12" s="55"/>
    </row>
    <row r="13" spans="1:17" x14ac:dyDescent="0.25">
      <c r="A13" s="27">
        <v>11</v>
      </c>
      <c r="B13" s="39" t="s">
        <v>169</v>
      </c>
      <c r="C13" s="29">
        <v>1</v>
      </c>
      <c r="D13" s="6">
        <v>29</v>
      </c>
      <c r="E13" s="6">
        <v>1</v>
      </c>
      <c r="F13" s="4">
        <v>6</v>
      </c>
      <c r="G13" s="4">
        <v>0</v>
      </c>
      <c r="H13" s="6">
        <v>1</v>
      </c>
      <c r="I13" s="6">
        <v>0</v>
      </c>
      <c r="J13" s="4">
        <v>2</v>
      </c>
      <c r="K13" s="4">
        <v>1</v>
      </c>
      <c r="L13" s="6">
        <v>0</v>
      </c>
      <c r="M13" s="6">
        <v>0</v>
      </c>
      <c r="N13" s="2">
        <v>38</v>
      </c>
      <c r="O13" s="2">
        <v>2</v>
      </c>
      <c r="Q13" s="55"/>
    </row>
    <row r="14" spans="1:17" x14ac:dyDescent="0.25">
      <c r="A14" s="27">
        <v>14</v>
      </c>
      <c r="B14" s="36" t="s">
        <v>131</v>
      </c>
      <c r="C14" s="29">
        <v>2</v>
      </c>
      <c r="D14" s="6">
        <v>36</v>
      </c>
      <c r="E14" s="6">
        <v>22</v>
      </c>
      <c r="F14" s="4">
        <v>6</v>
      </c>
      <c r="G14" s="4">
        <v>3</v>
      </c>
      <c r="H14" s="6">
        <v>2</v>
      </c>
      <c r="I14" s="6">
        <v>4</v>
      </c>
      <c r="J14" s="4">
        <v>0</v>
      </c>
      <c r="K14" s="4">
        <v>0</v>
      </c>
      <c r="L14" s="6">
        <v>0</v>
      </c>
      <c r="M14" s="6">
        <v>0</v>
      </c>
      <c r="N14" s="2">
        <v>44</v>
      </c>
      <c r="O14" s="2">
        <v>29</v>
      </c>
      <c r="Q14" s="55"/>
    </row>
    <row r="15" spans="1:17" x14ac:dyDescent="0.25">
      <c r="A15" s="27">
        <v>15</v>
      </c>
      <c r="B15" s="36" t="s">
        <v>43</v>
      </c>
      <c r="C15" s="29">
        <v>5</v>
      </c>
      <c r="D15" s="6">
        <v>20</v>
      </c>
      <c r="E15" s="6">
        <v>0</v>
      </c>
      <c r="F15" s="4">
        <v>6</v>
      </c>
      <c r="G15" s="4">
        <v>0</v>
      </c>
      <c r="H15" s="6">
        <v>5</v>
      </c>
      <c r="I15" s="6">
        <v>0</v>
      </c>
      <c r="J15" s="4">
        <v>1</v>
      </c>
      <c r="K15" s="4">
        <v>1</v>
      </c>
      <c r="L15" s="6">
        <v>0</v>
      </c>
      <c r="M15" s="6">
        <v>0</v>
      </c>
      <c r="N15" s="2">
        <v>32</v>
      </c>
      <c r="O15" s="2">
        <v>1</v>
      </c>
      <c r="Q15" s="55"/>
    </row>
    <row r="16" spans="1:17" x14ac:dyDescent="0.25">
      <c r="A16" s="27">
        <v>16</v>
      </c>
      <c r="B16" s="39" t="s">
        <v>103</v>
      </c>
      <c r="C16" s="29">
        <v>3</v>
      </c>
      <c r="D16" s="6">
        <v>8</v>
      </c>
      <c r="E16" s="6">
        <v>0</v>
      </c>
      <c r="F16" s="4">
        <v>3</v>
      </c>
      <c r="G16" s="4">
        <v>0</v>
      </c>
      <c r="H16" s="6">
        <v>4</v>
      </c>
      <c r="I16" s="6">
        <v>0</v>
      </c>
      <c r="J16" s="4">
        <v>2</v>
      </c>
      <c r="K16" s="4">
        <v>1</v>
      </c>
      <c r="L16" s="6">
        <v>0</v>
      </c>
      <c r="M16" s="6">
        <v>0</v>
      </c>
      <c r="N16" s="2">
        <v>17</v>
      </c>
      <c r="O16" s="2">
        <v>1</v>
      </c>
      <c r="Q16" s="55"/>
    </row>
    <row r="17" spans="1:17" x14ac:dyDescent="0.25">
      <c r="A17" s="27">
        <v>17</v>
      </c>
      <c r="B17" s="39" t="s">
        <v>192</v>
      </c>
      <c r="C17" s="29">
        <v>1</v>
      </c>
      <c r="D17" s="6">
        <v>5</v>
      </c>
      <c r="E17" s="6">
        <v>1</v>
      </c>
      <c r="F17" s="4">
        <v>0</v>
      </c>
      <c r="G17" s="4">
        <v>0</v>
      </c>
      <c r="H17" s="6">
        <v>0</v>
      </c>
      <c r="I17" s="6">
        <v>0</v>
      </c>
      <c r="J17" s="4">
        <v>0</v>
      </c>
      <c r="K17" s="4">
        <v>0</v>
      </c>
      <c r="L17" s="6">
        <v>0</v>
      </c>
      <c r="M17" s="6">
        <v>0</v>
      </c>
      <c r="N17" s="2">
        <v>5</v>
      </c>
      <c r="O17" s="2">
        <v>1</v>
      </c>
      <c r="Q17" s="55"/>
    </row>
    <row r="18" spans="1:17" x14ac:dyDescent="0.25">
      <c r="A18" s="27">
        <v>19</v>
      </c>
      <c r="B18" s="34" t="s">
        <v>189</v>
      </c>
      <c r="C18" s="30">
        <v>1</v>
      </c>
      <c r="D18" s="6">
        <v>31</v>
      </c>
      <c r="E18" s="6">
        <v>5</v>
      </c>
      <c r="F18" s="4">
        <v>6</v>
      </c>
      <c r="G18" s="4">
        <v>2</v>
      </c>
      <c r="H18" s="6">
        <v>5</v>
      </c>
      <c r="I18" s="6">
        <v>1</v>
      </c>
      <c r="J18" s="4">
        <v>0</v>
      </c>
      <c r="K18" s="4">
        <v>0</v>
      </c>
      <c r="L18" s="6">
        <v>0</v>
      </c>
      <c r="M18" s="6">
        <v>0</v>
      </c>
      <c r="N18" s="2">
        <v>42</v>
      </c>
      <c r="O18" s="2">
        <v>8</v>
      </c>
      <c r="Q18" s="55"/>
    </row>
    <row r="19" spans="1:17" x14ac:dyDescent="0.25">
      <c r="A19" s="27">
        <v>20</v>
      </c>
      <c r="B19" s="39" t="s">
        <v>107</v>
      </c>
      <c r="C19" s="29">
        <v>3</v>
      </c>
      <c r="D19" s="6">
        <v>15</v>
      </c>
      <c r="E19" s="6">
        <v>0</v>
      </c>
      <c r="F19" s="4">
        <v>7</v>
      </c>
      <c r="G19" s="4">
        <v>1</v>
      </c>
      <c r="H19" s="6">
        <v>3</v>
      </c>
      <c r="I19" s="6">
        <v>0</v>
      </c>
      <c r="J19" s="4">
        <v>2</v>
      </c>
      <c r="K19" s="4">
        <v>0</v>
      </c>
      <c r="L19" s="6">
        <v>0</v>
      </c>
      <c r="M19" s="6">
        <v>0</v>
      </c>
      <c r="N19" s="2">
        <v>27</v>
      </c>
      <c r="O19" s="2">
        <v>1</v>
      </c>
      <c r="Q19" s="55"/>
    </row>
    <row r="20" spans="1:17" x14ac:dyDescent="0.25">
      <c r="A20" s="27">
        <v>21</v>
      </c>
      <c r="B20" s="34" t="s">
        <v>26</v>
      </c>
      <c r="C20" s="30">
        <v>5</v>
      </c>
      <c r="D20" s="6">
        <v>14</v>
      </c>
      <c r="E20" s="6">
        <v>1</v>
      </c>
      <c r="F20" s="4">
        <v>3</v>
      </c>
      <c r="G20" s="4">
        <v>0</v>
      </c>
      <c r="H20" s="6">
        <v>0</v>
      </c>
      <c r="I20" s="6">
        <v>0</v>
      </c>
      <c r="J20" s="4">
        <v>1</v>
      </c>
      <c r="K20" s="4">
        <v>0</v>
      </c>
      <c r="L20" s="6">
        <v>0</v>
      </c>
      <c r="M20" s="6">
        <v>0</v>
      </c>
      <c r="N20" s="2">
        <v>18</v>
      </c>
      <c r="O20" s="2">
        <v>1</v>
      </c>
      <c r="Q20" s="55"/>
    </row>
    <row r="21" spans="1:17" x14ac:dyDescent="0.25">
      <c r="A21" s="27">
        <v>22</v>
      </c>
      <c r="B21" s="34" t="s">
        <v>193</v>
      </c>
      <c r="C21" s="30">
        <v>1</v>
      </c>
      <c r="D21" s="6">
        <v>2</v>
      </c>
      <c r="E21" s="6">
        <v>0</v>
      </c>
      <c r="F21" s="4">
        <v>0</v>
      </c>
      <c r="G21" s="4">
        <v>0</v>
      </c>
      <c r="H21" s="6">
        <v>1</v>
      </c>
      <c r="I21" s="6">
        <v>0</v>
      </c>
      <c r="J21" s="4">
        <v>0</v>
      </c>
      <c r="K21" s="4">
        <v>0</v>
      </c>
      <c r="L21" s="6">
        <v>0</v>
      </c>
      <c r="M21" s="6">
        <v>0</v>
      </c>
      <c r="N21" s="2">
        <v>3</v>
      </c>
      <c r="O21" s="2">
        <v>0</v>
      </c>
      <c r="Q21" s="55"/>
    </row>
    <row r="22" spans="1:17" x14ac:dyDescent="0.25">
      <c r="A22" s="27">
        <v>23</v>
      </c>
      <c r="B22" s="34" t="s">
        <v>190</v>
      </c>
      <c r="C22" s="30">
        <v>1</v>
      </c>
      <c r="D22" s="6">
        <v>33</v>
      </c>
      <c r="E22" s="6">
        <v>2</v>
      </c>
      <c r="F22" s="4">
        <v>5</v>
      </c>
      <c r="G22" s="4">
        <v>0</v>
      </c>
      <c r="H22" s="6">
        <v>5</v>
      </c>
      <c r="I22" s="6">
        <v>0</v>
      </c>
      <c r="J22" s="4">
        <v>0</v>
      </c>
      <c r="K22" s="4">
        <v>0</v>
      </c>
      <c r="L22" s="6">
        <v>0</v>
      </c>
      <c r="M22" s="6">
        <v>0</v>
      </c>
      <c r="N22" s="2">
        <v>43</v>
      </c>
      <c r="O22" s="2">
        <v>2</v>
      </c>
      <c r="Q22" s="55"/>
    </row>
    <row r="23" spans="1:17" x14ac:dyDescent="0.25">
      <c r="A23" s="28">
        <v>24</v>
      </c>
      <c r="B23" s="40" t="s">
        <v>115</v>
      </c>
      <c r="C23" s="31">
        <v>2</v>
      </c>
      <c r="D23" s="6">
        <v>17</v>
      </c>
      <c r="E23" s="6">
        <v>1</v>
      </c>
      <c r="F23" s="4">
        <v>2</v>
      </c>
      <c r="G23" s="4">
        <v>0</v>
      </c>
      <c r="H23" s="6">
        <v>2</v>
      </c>
      <c r="I23" s="6">
        <v>1</v>
      </c>
      <c r="J23" s="4">
        <v>1</v>
      </c>
      <c r="K23" s="4">
        <v>1</v>
      </c>
      <c r="L23" s="6">
        <v>0</v>
      </c>
      <c r="M23" s="6">
        <v>0</v>
      </c>
      <c r="N23" s="2">
        <v>22</v>
      </c>
      <c r="O23" s="2">
        <v>3</v>
      </c>
    </row>
    <row r="24" spans="1:17" x14ac:dyDescent="0.25">
      <c r="A24" s="27">
        <v>26</v>
      </c>
      <c r="B24" s="36" t="s">
        <v>30</v>
      </c>
      <c r="C24" s="30">
        <v>6</v>
      </c>
      <c r="D24" s="6">
        <v>9</v>
      </c>
      <c r="E24" s="6">
        <v>0</v>
      </c>
      <c r="F24" s="4">
        <v>6</v>
      </c>
      <c r="G24" s="4">
        <v>0</v>
      </c>
      <c r="H24" s="6">
        <v>6</v>
      </c>
      <c r="I24" s="6">
        <v>0</v>
      </c>
      <c r="J24" s="4">
        <v>2</v>
      </c>
      <c r="K24" s="4">
        <v>0</v>
      </c>
      <c r="L24" s="6">
        <v>0</v>
      </c>
      <c r="M24" s="6">
        <v>0</v>
      </c>
      <c r="N24" s="2">
        <v>23</v>
      </c>
      <c r="O24" s="2">
        <v>0</v>
      </c>
      <c r="Q24" s="55"/>
    </row>
    <row r="25" spans="1:17" x14ac:dyDescent="0.25">
      <c r="A25" s="27">
        <v>27</v>
      </c>
      <c r="B25" s="36" t="s">
        <v>167</v>
      </c>
      <c r="C25" s="30">
        <v>2</v>
      </c>
      <c r="D25" s="6">
        <v>0</v>
      </c>
      <c r="E25" s="6">
        <v>0</v>
      </c>
      <c r="F25" s="4">
        <v>1</v>
      </c>
      <c r="G25" s="4">
        <v>0</v>
      </c>
      <c r="H25" s="6">
        <v>0</v>
      </c>
      <c r="I25" s="6">
        <v>0</v>
      </c>
      <c r="J25" s="4">
        <v>0</v>
      </c>
      <c r="K25" s="4">
        <v>0</v>
      </c>
      <c r="L25" s="6">
        <v>0</v>
      </c>
      <c r="M25" s="6">
        <v>0</v>
      </c>
      <c r="N25" s="2">
        <v>1</v>
      </c>
      <c r="O25" s="2">
        <v>0</v>
      </c>
      <c r="Q25" s="55"/>
    </row>
    <row r="26" spans="1:17" x14ac:dyDescent="0.25">
      <c r="A26" s="28">
        <v>28</v>
      </c>
      <c r="B26" s="40" t="s">
        <v>117</v>
      </c>
      <c r="C26" s="31">
        <v>2</v>
      </c>
      <c r="D26" s="6">
        <v>29</v>
      </c>
      <c r="E26" s="6">
        <v>1</v>
      </c>
      <c r="F26" s="4">
        <v>8</v>
      </c>
      <c r="G26" s="4">
        <v>2</v>
      </c>
      <c r="H26" s="6">
        <v>4</v>
      </c>
      <c r="I26" s="6">
        <v>0</v>
      </c>
      <c r="J26" s="4">
        <v>2</v>
      </c>
      <c r="K26" s="4">
        <v>2</v>
      </c>
      <c r="L26" s="6">
        <v>0</v>
      </c>
      <c r="M26" s="6">
        <v>0</v>
      </c>
      <c r="N26" s="2">
        <v>43</v>
      </c>
      <c r="O26" s="2">
        <v>5</v>
      </c>
    </row>
    <row r="27" spans="1:17" x14ac:dyDescent="0.25">
      <c r="A27" s="27">
        <v>29</v>
      </c>
      <c r="B27" s="35" t="s">
        <v>172</v>
      </c>
      <c r="C27" s="30">
        <v>1</v>
      </c>
      <c r="D27" s="6">
        <v>24</v>
      </c>
      <c r="E27" s="6">
        <v>0</v>
      </c>
      <c r="F27" s="4">
        <v>6</v>
      </c>
      <c r="G27" s="4">
        <v>0</v>
      </c>
      <c r="H27" s="6">
        <v>3</v>
      </c>
      <c r="I27" s="6">
        <v>0</v>
      </c>
      <c r="J27" s="4">
        <v>1</v>
      </c>
      <c r="K27" s="4">
        <v>0</v>
      </c>
      <c r="L27" s="6">
        <v>0</v>
      </c>
      <c r="M27" s="6">
        <v>0</v>
      </c>
      <c r="N27" s="2">
        <v>34</v>
      </c>
      <c r="O27" s="2">
        <v>0</v>
      </c>
      <c r="Q27" s="55"/>
    </row>
    <row r="28" spans="1:17" x14ac:dyDescent="0.25">
      <c r="A28" s="28">
        <v>30</v>
      </c>
      <c r="B28" s="40" t="s">
        <v>123</v>
      </c>
      <c r="C28" s="31">
        <v>2</v>
      </c>
      <c r="D28" s="6">
        <v>13</v>
      </c>
      <c r="E28" s="6">
        <v>2</v>
      </c>
      <c r="F28" s="4">
        <v>0</v>
      </c>
      <c r="G28" s="4">
        <v>0</v>
      </c>
      <c r="H28" s="6">
        <v>5</v>
      </c>
      <c r="I28" s="6">
        <v>2</v>
      </c>
      <c r="J28" s="4">
        <v>0</v>
      </c>
      <c r="K28" s="4">
        <v>0</v>
      </c>
      <c r="L28" s="6">
        <v>0</v>
      </c>
      <c r="M28" s="6">
        <v>0</v>
      </c>
      <c r="N28" s="2">
        <v>18</v>
      </c>
      <c r="O28" s="2">
        <v>4</v>
      </c>
    </row>
    <row r="29" spans="1:17" x14ac:dyDescent="0.25">
      <c r="A29" s="27">
        <v>31</v>
      </c>
      <c r="B29" s="35" t="s">
        <v>114</v>
      </c>
      <c r="C29" s="30">
        <v>3</v>
      </c>
      <c r="D29" s="6">
        <v>26</v>
      </c>
      <c r="E29" s="6">
        <v>0</v>
      </c>
      <c r="F29" s="4">
        <v>1</v>
      </c>
      <c r="G29" s="4">
        <v>0</v>
      </c>
      <c r="H29" s="6">
        <v>4</v>
      </c>
      <c r="I29" s="6">
        <v>0</v>
      </c>
      <c r="J29" s="4">
        <v>1</v>
      </c>
      <c r="K29" s="4">
        <v>0</v>
      </c>
      <c r="L29" s="6">
        <v>0</v>
      </c>
      <c r="M29" s="6">
        <v>0</v>
      </c>
      <c r="N29" s="2">
        <v>32</v>
      </c>
      <c r="O29" s="2">
        <v>0</v>
      </c>
      <c r="Q29" s="55"/>
    </row>
    <row r="30" spans="1:17" x14ac:dyDescent="0.25">
      <c r="A30" s="28">
        <v>32</v>
      </c>
      <c r="B30" s="40" t="s">
        <v>174</v>
      </c>
      <c r="C30" s="31">
        <v>1</v>
      </c>
      <c r="D30" s="6">
        <v>2</v>
      </c>
      <c r="E30" s="6">
        <v>0</v>
      </c>
      <c r="F30" s="4">
        <v>3</v>
      </c>
      <c r="G30" s="4">
        <v>0</v>
      </c>
      <c r="H30" s="6">
        <v>0</v>
      </c>
      <c r="I30" s="6">
        <v>0</v>
      </c>
      <c r="J30" s="4">
        <v>1</v>
      </c>
      <c r="K30" s="4">
        <v>0</v>
      </c>
      <c r="L30" s="6">
        <v>0</v>
      </c>
      <c r="M30" s="6">
        <v>0</v>
      </c>
      <c r="N30" s="2">
        <v>6</v>
      </c>
      <c r="O30" s="2">
        <v>0</v>
      </c>
      <c r="Q30" s="55"/>
    </row>
    <row r="31" spans="1:17" x14ac:dyDescent="0.25">
      <c r="A31" s="28">
        <v>33</v>
      </c>
      <c r="B31" s="40" t="s">
        <v>124</v>
      </c>
      <c r="C31" s="31">
        <v>1</v>
      </c>
      <c r="D31" s="6">
        <v>0</v>
      </c>
      <c r="E31" s="6">
        <v>0</v>
      </c>
      <c r="F31" s="4">
        <v>0</v>
      </c>
      <c r="G31" s="4">
        <v>0</v>
      </c>
      <c r="H31" s="6">
        <v>0</v>
      </c>
      <c r="I31" s="6">
        <v>0</v>
      </c>
      <c r="J31" s="4">
        <v>0</v>
      </c>
      <c r="K31" s="4">
        <v>0</v>
      </c>
      <c r="L31" s="6">
        <v>0</v>
      </c>
      <c r="M31" s="6">
        <v>0</v>
      </c>
      <c r="N31" s="2">
        <v>0</v>
      </c>
      <c r="O31" s="2">
        <v>0</v>
      </c>
      <c r="Q31" s="55"/>
    </row>
    <row r="32" spans="1:17" x14ac:dyDescent="0.25">
      <c r="A32" s="27">
        <v>34</v>
      </c>
      <c r="B32" s="35" t="s">
        <v>104</v>
      </c>
      <c r="C32" s="30">
        <v>3</v>
      </c>
      <c r="D32" s="6">
        <v>31</v>
      </c>
      <c r="E32" s="6">
        <v>1</v>
      </c>
      <c r="F32" s="4">
        <v>4</v>
      </c>
      <c r="G32" s="4">
        <v>0</v>
      </c>
      <c r="H32" s="6">
        <v>6</v>
      </c>
      <c r="I32" s="6">
        <v>0</v>
      </c>
      <c r="J32" s="4">
        <v>0</v>
      </c>
      <c r="K32" s="4">
        <v>0</v>
      </c>
      <c r="L32" s="6">
        <v>0</v>
      </c>
      <c r="M32" s="6">
        <v>0</v>
      </c>
      <c r="N32" s="2">
        <v>41</v>
      </c>
      <c r="O32" s="2">
        <v>1</v>
      </c>
      <c r="Q32" s="55"/>
    </row>
    <row r="33" spans="1:17" x14ac:dyDescent="0.25">
      <c r="A33" s="27">
        <v>35</v>
      </c>
      <c r="B33" s="35" t="s">
        <v>188</v>
      </c>
      <c r="C33" s="30">
        <v>1</v>
      </c>
      <c r="D33" s="6">
        <v>14</v>
      </c>
      <c r="E33" s="6">
        <v>3</v>
      </c>
      <c r="F33" s="4">
        <v>7</v>
      </c>
      <c r="G33" s="4">
        <v>3</v>
      </c>
      <c r="H33" s="6">
        <v>3</v>
      </c>
      <c r="I33" s="6">
        <v>0</v>
      </c>
      <c r="J33" s="4">
        <v>2</v>
      </c>
      <c r="K33" s="4">
        <v>4</v>
      </c>
      <c r="L33" s="6">
        <v>0</v>
      </c>
      <c r="M33" s="6">
        <v>0</v>
      </c>
      <c r="N33" s="2">
        <v>26</v>
      </c>
      <c r="O33" s="2">
        <v>10</v>
      </c>
      <c r="Q33" s="55"/>
    </row>
    <row r="34" spans="1:17" x14ac:dyDescent="0.25">
      <c r="A34" s="28">
        <v>47</v>
      </c>
      <c r="B34" s="40" t="s">
        <v>178</v>
      </c>
      <c r="C34" s="31">
        <v>1</v>
      </c>
      <c r="D34" s="6">
        <v>0</v>
      </c>
      <c r="E34" s="6">
        <v>0</v>
      </c>
      <c r="F34" s="4">
        <v>0</v>
      </c>
      <c r="G34" s="4">
        <v>0</v>
      </c>
      <c r="H34" s="6">
        <v>0</v>
      </c>
      <c r="I34" s="6">
        <v>0</v>
      </c>
      <c r="J34" s="4">
        <v>0</v>
      </c>
      <c r="K34" s="4">
        <v>0</v>
      </c>
      <c r="L34" s="6">
        <v>0</v>
      </c>
      <c r="M34" s="6">
        <v>0</v>
      </c>
      <c r="N34" s="2">
        <v>0</v>
      </c>
      <c r="O34" s="2">
        <v>0</v>
      </c>
      <c r="Q34" s="55"/>
    </row>
    <row r="35" spans="1:17" x14ac:dyDescent="0.25">
      <c r="A35" s="28">
        <v>65</v>
      </c>
      <c r="B35" s="40" t="s">
        <v>121</v>
      </c>
      <c r="C35" s="31">
        <v>1</v>
      </c>
      <c r="D35" s="6">
        <v>0</v>
      </c>
      <c r="E35" s="6">
        <v>0</v>
      </c>
      <c r="F35" s="4">
        <v>0</v>
      </c>
      <c r="G35" s="4">
        <v>0</v>
      </c>
      <c r="H35" s="6">
        <v>0</v>
      </c>
      <c r="I35" s="6">
        <v>0</v>
      </c>
      <c r="J35" s="4">
        <v>0</v>
      </c>
      <c r="K35" s="4">
        <v>0</v>
      </c>
      <c r="L35" s="6">
        <v>0</v>
      </c>
      <c r="M35" s="6">
        <v>0</v>
      </c>
      <c r="N35" s="2">
        <v>0</v>
      </c>
      <c r="O35" s="2">
        <v>0</v>
      </c>
    </row>
    <row r="36" spans="1:17" x14ac:dyDescent="0.25">
      <c r="A36" s="28">
        <v>77</v>
      </c>
      <c r="B36" s="40" t="s">
        <v>180</v>
      </c>
      <c r="C36" s="31">
        <v>1</v>
      </c>
      <c r="D36" s="6">
        <v>26</v>
      </c>
      <c r="E36" s="6">
        <v>1</v>
      </c>
      <c r="F36" s="4">
        <v>6</v>
      </c>
      <c r="G36" s="4">
        <v>2</v>
      </c>
      <c r="H36" s="6">
        <v>4</v>
      </c>
      <c r="I36" s="6">
        <v>1</v>
      </c>
      <c r="J36" s="4">
        <v>2</v>
      </c>
      <c r="K36" s="4">
        <v>0</v>
      </c>
      <c r="L36" s="6">
        <v>0</v>
      </c>
      <c r="M36" s="6">
        <v>0</v>
      </c>
      <c r="N36" s="2">
        <v>38</v>
      </c>
      <c r="O36" s="2">
        <v>4</v>
      </c>
    </row>
  </sheetData>
  <autoFilter ref="A3:O33" xr:uid="{00000000-0009-0000-0000-000002000000}">
    <sortState xmlns:xlrd2="http://schemas.microsoft.com/office/spreadsheetml/2017/richdata2" ref="A4:O35">
      <sortCondition ref="A3:A33"/>
    </sortState>
  </autoFilter>
  <mergeCells count="6">
    <mergeCell ref="N2:O2"/>
    <mergeCell ref="D2:E2"/>
    <mergeCell ref="F2:G2"/>
    <mergeCell ref="H2:I2"/>
    <mergeCell ref="J2:K2"/>
    <mergeCell ref="L2:M2"/>
  </mergeCells>
  <conditionalFormatting sqref="N4:O36">
    <cfRule type="cellIs" dxfId="31" priority="3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4307-DE09-4532-83A2-D00E3511B4C4}">
  <dimension ref="A1:P40"/>
  <sheetViews>
    <sheetView zoomScale="85" zoomScaleNormal="85" zoomScalePageLayoutView="110" workbookViewId="0">
      <selection activeCell="E14" sqref="E14"/>
    </sheetView>
  </sheetViews>
  <sheetFormatPr defaultColWidth="8.85546875" defaultRowHeight="15" x14ac:dyDescent="0.25"/>
  <cols>
    <col min="1" max="1" width="3.7109375" customWidth="1"/>
    <col min="2" max="2" width="26.42578125" bestFit="1" customWidth="1"/>
    <col min="4" max="4" width="8.7109375" customWidth="1"/>
    <col min="11" max="12" width="8.85546875" customWidth="1"/>
  </cols>
  <sheetData>
    <row r="1" spans="1:16" x14ac:dyDescent="0.25">
      <c r="A1" s="1" t="s">
        <v>0</v>
      </c>
      <c r="B1" s="1"/>
      <c r="C1" s="1"/>
      <c r="D1" s="1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5">
      <c r="A2" s="3"/>
      <c r="B2" s="5"/>
      <c r="C2" s="206" t="s">
        <v>4</v>
      </c>
      <c r="D2" s="206"/>
      <c r="E2" s="207" t="s">
        <v>113</v>
      </c>
      <c r="F2" s="207"/>
      <c r="G2" s="206" t="s">
        <v>108</v>
      </c>
      <c r="H2" s="206"/>
      <c r="I2" s="207" t="s">
        <v>110</v>
      </c>
      <c r="J2" s="207"/>
      <c r="K2" s="206" t="s">
        <v>39</v>
      </c>
      <c r="L2" s="206"/>
      <c r="M2" s="211" t="s">
        <v>7</v>
      </c>
      <c r="N2" s="211"/>
    </row>
    <row r="3" spans="1:16" x14ac:dyDescent="0.25">
      <c r="A3" s="3" t="s">
        <v>48</v>
      </c>
      <c r="B3" s="5" t="s">
        <v>1</v>
      </c>
      <c r="C3" s="5" t="s">
        <v>2</v>
      </c>
      <c r="D3" s="5" t="s">
        <v>3</v>
      </c>
      <c r="E3" s="3" t="s">
        <v>2</v>
      </c>
      <c r="F3" s="3" t="s">
        <v>3</v>
      </c>
      <c r="G3" s="5" t="s">
        <v>5</v>
      </c>
      <c r="H3" s="5" t="s">
        <v>3</v>
      </c>
      <c r="I3" s="3" t="s">
        <v>2</v>
      </c>
      <c r="J3" s="3" t="s">
        <v>3</v>
      </c>
      <c r="K3" s="5" t="s">
        <v>2</v>
      </c>
      <c r="L3" s="5" t="s">
        <v>3</v>
      </c>
      <c r="M3" s="8" t="s">
        <v>2</v>
      </c>
      <c r="N3" s="8" t="s">
        <v>3</v>
      </c>
    </row>
    <row r="4" spans="1:16" x14ac:dyDescent="0.25">
      <c r="A4" s="27">
        <v>1</v>
      </c>
      <c r="B4" s="34" t="s">
        <v>171</v>
      </c>
      <c r="C4" s="6">
        <v>35</v>
      </c>
      <c r="D4" s="6">
        <v>0</v>
      </c>
      <c r="E4" s="4">
        <v>10</v>
      </c>
      <c r="F4" s="4">
        <v>0</v>
      </c>
      <c r="G4" s="6">
        <v>2</v>
      </c>
      <c r="H4" s="6">
        <v>0</v>
      </c>
      <c r="I4" s="4">
        <v>2</v>
      </c>
      <c r="J4" s="4">
        <v>0</v>
      </c>
      <c r="K4" s="6">
        <v>0</v>
      </c>
      <c r="L4" s="6">
        <v>0</v>
      </c>
      <c r="M4" s="2">
        <v>49</v>
      </c>
      <c r="N4" s="2">
        <v>0</v>
      </c>
      <c r="P4" s="55"/>
    </row>
    <row r="5" spans="1:16" x14ac:dyDescent="0.25">
      <c r="A5" s="28">
        <v>2</v>
      </c>
      <c r="B5" s="37" t="s">
        <v>36</v>
      </c>
      <c r="C5" s="6">
        <v>25</v>
      </c>
      <c r="D5" s="6">
        <v>1</v>
      </c>
      <c r="E5" s="4">
        <v>7</v>
      </c>
      <c r="F5" s="4">
        <v>0</v>
      </c>
      <c r="G5" s="6">
        <v>1</v>
      </c>
      <c r="H5" s="6">
        <v>0</v>
      </c>
      <c r="I5" s="4">
        <v>1</v>
      </c>
      <c r="J5" s="4">
        <v>0</v>
      </c>
      <c r="K5" s="6">
        <v>1</v>
      </c>
      <c r="L5" s="6">
        <v>0</v>
      </c>
      <c r="M5" s="2">
        <v>35</v>
      </c>
      <c r="N5" s="2">
        <v>1</v>
      </c>
      <c r="P5" s="55"/>
    </row>
    <row r="6" spans="1:16" x14ac:dyDescent="0.25">
      <c r="A6" s="28">
        <v>3</v>
      </c>
      <c r="B6" s="37" t="s">
        <v>191</v>
      </c>
      <c r="C6" s="6">
        <v>27</v>
      </c>
      <c r="D6" s="6">
        <v>1</v>
      </c>
      <c r="E6" s="4">
        <v>8</v>
      </c>
      <c r="F6" s="4">
        <v>1</v>
      </c>
      <c r="G6" s="6">
        <v>1</v>
      </c>
      <c r="H6" s="6">
        <v>0</v>
      </c>
      <c r="I6" s="4">
        <v>0</v>
      </c>
      <c r="J6" s="4">
        <v>0</v>
      </c>
      <c r="K6" s="6">
        <v>1</v>
      </c>
      <c r="L6" s="6">
        <v>0</v>
      </c>
      <c r="M6" s="2">
        <v>37</v>
      </c>
      <c r="N6" s="2">
        <v>2</v>
      </c>
      <c r="P6" s="55"/>
    </row>
    <row r="7" spans="1:16" x14ac:dyDescent="0.25">
      <c r="A7" s="27">
        <v>4</v>
      </c>
      <c r="B7" s="39" t="s">
        <v>196</v>
      </c>
      <c r="C7" s="6">
        <v>0</v>
      </c>
      <c r="D7" s="6">
        <v>0</v>
      </c>
      <c r="E7" s="4">
        <v>0</v>
      </c>
      <c r="F7" s="4">
        <v>0</v>
      </c>
      <c r="G7" s="6">
        <v>0</v>
      </c>
      <c r="H7" s="6">
        <v>0</v>
      </c>
      <c r="I7" s="4">
        <v>0</v>
      </c>
      <c r="J7" s="4">
        <v>0</v>
      </c>
      <c r="K7" s="6">
        <v>0</v>
      </c>
      <c r="L7" s="6">
        <v>0</v>
      </c>
      <c r="M7" s="2">
        <v>0</v>
      </c>
      <c r="N7" s="2">
        <v>0</v>
      </c>
      <c r="P7" s="55"/>
    </row>
    <row r="8" spans="1:16" x14ac:dyDescent="0.25">
      <c r="A8" s="27">
        <v>6</v>
      </c>
      <c r="B8" s="39" t="s">
        <v>198</v>
      </c>
      <c r="C8" s="6">
        <v>23</v>
      </c>
      <c r="D8" s="6">
        <v>2</v>
      </c>
      <c r="E8" s="4">
        <v>6</v>
      </c>
      <c r="F8" s="4">
        <v>1</v>
      </c>
      <c r="G8" s="6">
        <v>1</v>
      </c>
      <c r="H8" s="6">
        <v>0</v>
      </c>
      <c r="I8" s="4">
        <v>2</v>
      </c>
      <c r="J8" s="4">
        <v>0</v>
      </c>
      <c r="K8" s="6">
        <v>0</v>
      </c>
      <c r="L8" s="6">
        <v>0</v>
      </c>
      <c r="M8" s="2">
        <v>32</v>
      </c>
      <c r="N8" s="2">
        <v>3</v>
      </c>
      <c r="P8" s="55"/>
    </row>
    <row r="9" spans="1:16" x14ac:dyDescent="0.25">
      <c r="A9" s="27">
        <v>7</v>
      </c>
      <c r="B9" s="35" t="s">
        <v>180</v>
      </c>
      <c r="C9" s="6">
        <v>32</v>
      </c>
      <c r="D9" s="6">
        <v>5</v>
      </c>
      <c r="E9" s="4">
        <v>9</v>
      </c>
      <c r="F9" s="4">
        <v>2</v>
      </c>
      <c r="G9" s="6">
        <v>2</v>
      </c>
      <c r="H9" s="6">
        <v>0</v>
      </c>
      <c r="I9" s="4">
        <v>2</v>
      </c>
      <c r="J9" s="4">
        <v>0</v>
      </c>
      <c r="K9" s="6">
        <v>1</v>
      </c>
      <c r="L9" s="6">
        <v>0</v>
      </c>
      <c r="M9" s="2">
        <v>46</v>
      </c>
      <c r="N9" s="2">
        <v>7</v>
      </c>
      <c r="P9" s="55"/>
    </row>
    <row r="10" spans="1:16" x14ac:dyDescent="0.25">
      <c r="A10" s="27">
        <v>8</v>
      </c>
      <c r="B10" s="35" t="s">
        <v>187</v>
      </c>
      <c r="C10" s="6">
        <v>24</v>
      </c>
      <c r="D10" s="6">
        <v>0</v>
      </c>
      <c r="E10" s="4">
        <v>12</v>
      </c>
      <c r="F10" s="4">
        <v>0</v>
      </c>
      <c r="G10" s="6">
        <v>0</v>
      </c>
      <c r="H10" s="6">
        <v>0</v>
      </c>
      <c r="I10" s="4">
        <v>3</v>
      </c>
      <c r="J10" s="4">
        <v>0</v>
      </c>
      <c r="K10" s="6">
        <v>0</v>
      </c>
      <c r="L10" s="6">
        <v>0</v>
      </c>
      <c r="M10" s="2">
        <v>39</v>
      </c>
      <c r="N10" s="2">
        <v>0</v>
      </c>
      <c r="P10" s="55"/>
    </row>
    <row r="11" spans="1:16" x14ac:dyDescent="0.25">
      <c r="A11" s="27">
        <v>9</v>
      </c>
      <c r="B11" s="39" t="s">
        <v>112</v>
      </c>
      <c r="C11" s="6">
        <v>31</v>
      </c>
      <c r="D11" s="6">
        <v>13</v>
      </c>
      <c r="E11" s="4">
        <v>8</v>
      </c>
      <c r="F11" s="4">
        <v>3</v>
      </c>
      <c r="G11" s="6">
        <v>2</v>
      </c>
      <c r="H11" s="6">
        <v>0</v>
      </c>
      <c r="I11" s="4">
        <v>2</v>
      </c>
      <c r="J11" s="4">
        <v>1</v>
      </c>
      <c r="K11" s="6">
        <v>0</v>
      </c>
      <c r="L11" s="6">
        <v>0</v>
      </c>
      <c r="M11" s="2">
        <v>43</v>
      </c>
      <c r="N11" s="2">
        <v>17</v>
      </c>
      <c r="P11" s="55"/>
    </row>
    <row r="12" spans="1:16" x14ac:dyDescent="0.25">
      <c r="A12" s="27">
        <v>11</v>
      </c>
      <c r="B12" s="39" t="s">
        <v>169</v>
      </c>
      <c r="C12" s="6">
        <v>0</v>
      </c>
      <c r="D12" s="6">
        <v>0</v>
      </c>
      <c r="E12" s="4">
        <v>0</v>
      </c>
      <c r="F12" s="4">
        <v>0</v>
      </c>
      <c r="G12" s="6">
        <v>0</v>
      </c>
      <c r="H12" s="6">
        <v>0</v>
      </c>
      <c r="I12" s="4">
        <v>0</v>
      </c>
      <c r="J12" s="4">
        <v>0</v>
      </c>
      <c r="K12" s="6">
        <v>0</v>
      </c>
      <c r="L12" s="6">
        <v>0</v>
      </c>
      <c r="M12" s="2">
        <v>0</v>
      </c>
      <c r="N12" s="2">
        <v>0</v>
      </c>
      <c r="P12" s="55"/>
    </row>
    <row r="13" spans="1:16" x14ac:dyDescent="0.25">
      <c r="A13" s="27">
        <v>11</v>
      </c>
      <c r="B13" s="39" t="s">
        <v>218</v>
      </c>
      <c r="C13" s="6">
        <v>14</v>
      </c>
      <c r="D13" s="6">
        <v>1</v>
      </c>
      <c r="E13" s="4">
        <v>6</v>
      </c>
      <c r="F13" s="4">
        <v>1</v>
      </c>
      <c r="G13" s="6">
        <v>0</v>
      </c>
      <c r="H13" s="6">
        <v>0</v>
      </c>
      <c r="I13" s="4">
        <v>0</v>
      </c>
      <c r="J13" s="4">
        <v>0</v>
      </c>
      <c r="K13" s="6">
        <v>0</v>
      </c>
      <c r="L13" s="6">
        <v>0</v>
      </c>
      <c r="M13" s="2">
        <v>20</v>
      </c>
      <c r="N13" s="2">
        <v>2</v>
      </c>
      <c r="P13" s="55"/>
    </row>
    <row r="14" spans="1:16" x14ac:dyDescent="0.25">
      <c r="A14" s="27">
        <v>12</v>
      </c>
      <c r="B14" s="39" t="s">
        <v>197</v>
      </c>
      <c r="C14" s="6">
        <v>25</v>
      </c>
      <c r="D14" s="6">
        <v>1</v>
      </c>
      <c r="E14" s="4">
        <v>9</v>
      </c>
      <c r="F14" s="4">
        <v>0</v>
      </c>
      <c r="G14" s="6">
        <v>2</v>
      </c>
      <c r="H14" s="6">
        <v>0</v>
      </c>
      <c r="I14" s="4">
        <v>1</v>
      </c>
      <c r="J14" s="4">
        <v>0</v>
      </c>
      <c r="K14" s="6">
        <v>0</v>
      </c>
      <c r="L14" s="6">
        <v>0</v>
      </c>
      <c r="M14" s="2">
        <v>37</v>
      </c>
      <c r="N14" s="2">
        <v>1</v>
      </c>
      <c r="P14" s="55"/>
    </row>
    <row r="15" spans="1:16" x14ac:dyDescent="0.25">
      <c r="A15" s="27">
        <v>13</v>
      </c>
      <c r="B15" s="39" t="s">
        <v>205</v>
      </c>
      <c r="C15" s="6">
        <v>1</v>
      </c>
      <c r="D15" s="6">
        <v>0</v>
      </c>
      <c r="E15" s="4">
        <v>4</v>
      </c>
      <c r="F15" s="4">
        <v>0</v>
      </c>
      <c r="G15" s="6">
        <v>0</v>
      </c>
      <c r="H15" s="6">
        <v>0</v>
      </c>
      <c r="I15" s="4">
        <v>1</v>
      </c>
      <c r="J15" s="4">
        <v>0</v>
      </c>
      <c r="K15" s="6">
        <v>0</v>
      </c>
      <c r="L15" s="6">
        <v>0</v>
      </c>
      <c r="M15" s="2">
        <v>6</v>
      </c>
      <c r="N15" s="2">
        <v>0</v>
      </c>
      <c r="P15" s="55"/>
    </row>
    <row r="16" spans="1:16" x14ac:dyDescent="0.25">
      <c r="A16" s="27">
        <v>14</v>
      </c>
      <c r="B16" s="36" t="s">
        <v>131</v>
      </c>
      <c r="C16" s="6">
        <v>29</v>
      </c>
      <c r="D16" s="6">
        <v>10</v>
      </c>
      <c r="E16" s="4">
        <v>8</v>
      </c>
      <c r="F16" s="4">
        <v>3</v>
      </c>
      <c r="G16" s="6">
        <v>1</v>
      </c>
      <c r="H16" s="6">
        <v>1</v>
      </c>
      <c r="I16" s="4">
        <v>0</v>
      </c>
      <c r="J16" s="4">
        <v>0</v>
      </c>
      <c r="K16" s="6">
        <v>1</v>
      </c>
      <c r="L16" s="6">
        <v>1</v>
      </c>
      <c r="M16" s="2">
        <v>39</v>
      </c>
      <c r="N16" s="2">
        <v>15</v>
      </c>
      <c r="P16" s="55"/>
    </row>
    <row r="17" spans="1:16" x14ac:dyDescent="0.25">
      <c r="A17" s="27">
        <v>15</v>
      </c>
      <c r="B17" s="36" t="s">
        <v>43</v>
      </c>
      <c r="C17" s="6">
        <v>11</v>
      </c>
      <c r="D17" s="6">
        <v>0</v>
      </c>
      <c r="E17" s="4">
        <v>5</v>
      </c>
      <c r="F17" s="4">
        <v>0</v>
      </c>
      <c r="G17" s="6">
        <v>1</v>
      </c>
      <c r="H17" s="6">
        <v>0</v>
      </c>
      <c r="I17" s="4">
        <v>3</v>
      </c>
      <c r="J17" s="4">
        <v>0</v>
      </c>
      <c r="K17" s="6">
        <v>1</v>
      </c>
      <c r="L17" s="6">
        <v>0</v>
      </c>
      <c r="M17" s="2">
        <v>21</v>
      </c>
      <c r="N17" s="2">
        <v>0</v>
      </c>
      <c r="P17" s="55"/>
    </row>
    <row r="18" spans="1:16" x14ac:dyDescent="0.25">
      <c r="A18" s="27">
        <v>16</v>
      </c>
      <c r="B18" s="39" t="s">
        <v>103</v>
      </c>
      <c r="C18" s="6">
        <v>30</v>
      </c>
      <c r="D18" s="6">
        <v>0</v>
      </c>
      <c r="E18" s="4">
        <v>5</v>
      </c>
      <c r="F18" s="4">
        <v>0</v>
      </c>
      <c r="G18" s="6">
        <v>1</v>
      </c>
      <c r="H18" s="6">
        <v>0</v>
      </c>
      <c r="I18" s="4">
        <v>2</v>
      </c>
      <c r="J18" s="4">
        <v>0</v>
      </c>
      <c r="K18" s="6">
        <v>1</v>
      </c>
      <c r="L18" s="6">
        <v>0</v>
      </c>
      <c r="M18" s="2">
        <v>39</v>
      </c>
      <c r="N18" s="2">
        <v>0</v>
      </c>
      <c r="P18" s="55"/>
    </row>
    <row r="19" spans="1:16" x14ac:dyDescent="0.25">
      <c r="A19" s="27">
        <v>17</v>
      </c>
      <c r="B19" s="39" t="s">
        <v>192</v>
      </c>
      <c r="C19" s="6">
        <v>10</v>
      </c>
      <c r="D19" s="6">
        <v>0</v>
      </c>
      <c r="E19" s="4">
        <v>9</v>
      </c>
      <c r="F19" s="4">
        <v>0</v>
      </c>
      <c r="G19" s="6">
        <v>2</v>
      </c>
      <c r="H19" s="6">
        <v>0</v>
      </c>
      <c r="I19" s="4">
        <v>2</v>
      </c>
      <c r="J19" s="4">
        <v>0</v>
      </c>
      <c r="K19" s="6">
        <v>1</v>
      </c>
      <c r="L19" s="6">
        <v>0</v>
      </c>
      <c r="M19" s="2">
        <v>24</v>
      </c>
      <c r="N19" s="2">
        <v>0</v>
      </c>
      <c r="P19" s="55"/>
    </row>
    <row r="20" spans="1:16" x14ac:dyDescent="0.25">
      <c r="A20" s="27">
        <v>18</v>
      </c>
      <c r="B20" s="39" t="s">
        <v>204</v>
      </c>
      <c r="C20" s="6">
        <v>24</v>
      </c>
      <c r="D20" s="6">
        <v>0</v>
      </c>
      <c r="E20" s="4">
        <v>8</v>
      </c>
      <c r="F20" s="4">
        <v>0</v>
      </c>
      <c r="G20" s="6">
        <v>1</v>
      </c>
      <c r="H20" s="6">
        <v>0</v>
      </c>
      <c r="I20" s="4">
        <v>0</v>
      </c>
      <c r="J20" s="4">
        <v>0</v>
      </c>
      <c r="K20" s="6">
        <v>0</v>
      </c>
      <c r="L20" s="6">
        <v>0</v>
      </c>
      <c r="M20" s="2">
        <v>33</v>
      </c>
      <c r="N20" s="2">
        <v>0</v>
      </c>
      <c r="P20" s="55"/>
    </row>
    <row r="21" spans="1:16" x14ac:dyDescent="0.25">
      <c r="A21" s="27">
        <v>19</v>
      </c>
      <c r="B21" s="34" t="s">
        <v>189</v>
      </c>
      <c r="C21" s="6">
        <v>29</v>
      </c>
      <c r="D21" s="6">
        <v>10</v>
      </c>
      <c r="E21" s="4">
        <v>13</v>
      </c>
      <c r="F21" s="4">
        <v>6</v>
      </c>
      <c r="G21" s="6">
        <v>2</v>
      </c>
      <c r="H21" s="6">
        <v>0</v>
      </c>
      <c r="I21" s="4">
        <v>3</v>
      </c>
      <c r="J21" s="4">
        <v>0</v>
      </c>
      <c r="K21" s="6">
        <v>0</v>
      </c>
      <c r="L21" s="6">
        <v>0</v>
      </c>
      <c r="M21" s="2">
        <v>47</v>
      </c>
      <c r="N21" s="2">
        <v>16</v>
      </c>
      <c r="P21" s="55"/>
    </row>
    <row r="22" spans="1:16" x14ac:dyDescent="0.25">
      <c r="A22" s="27">
        <v>21</v>
      </c>
      <c r="B22" s="34" t="s">
        <v>26</v>
      </c>
      <c r="C22" s="6">
        <v>10</v>
      </c>
      <c r="D22" s="6">
        <v>0</v>
      </c>
      <c r="E22" s="4">
        <v>6</v>
      </c>
      <c r="F22" s="4">
        <v>0</v>
      </c>
      <c r="G22" s="6">
        <v>0</v>
      </c>
      <c r="H22" s="6">
        <v>0</v>
      </c>
      <c r="I22" s="4">
        <v>0</v>
      </c>
      <c r="J22" s="4">
        <v>0</v>
      </c>
      <c r="K22" s="6">
        <v>0</v>
      </c>
      <c r="L22" s="6">
        <v>0</v>
      </c>
      <c r="M22" s="2">
        <v>16</v>
      </c>
      <c r="N22" s="2">
        <v>0</v>
      </c>
      <c r="P22" s="55"/>
    </row>
    <row r="23" spans="1:16" x14ac:dyDescent="0.25">
      <c r="A23" s="27">
        <v>22</v>
      </c>
      <c r="B23" s="34" t="s">
        <v>193</v>
      </c>
      <c r="C23" s="6">
        <v>10</v>
      </c>
      <c r="D23" s="6">
        <v>0</v>
      </c>
      <c r="E23" s="4">
        <v>5</v>
      </c>
      <c r="F23" s="4">
        <v>1</v>
      </c>
      <c r="G23" s="6">
        <v>1</v>
      </c>
      <c r="H23" s="6">
        <v>0</v>
      </c>
      <c r="I23" s="4">
        <v>0</v>
      </c>
      <c r="J23" s="4">
        <v>0</v>
      </c>
      <c r="K23" s="6">
        <v>0</v>
      </c>
      <c r="L23" s="6">
        <v>0</v>
      </c>
      <c r="M23" s="2">
        <v>16</v>
      </c>
      <c r="N23" s="2">
        <v>1</v>
      </c>
      <c r="P23" s="55"/>
    </row>
    <row r="24" spans="1:16" x14ac:dyDescent="0.25">
      <c r="A24" s="27">
        <v>23</v>
      </c>
      <c r="B24" s="34" t="s">
        <v>190</v>
      </c>
      <c r="C24" s="6">
        <v>20</v>
      </c>
      <c r="D24" s="6">
        <v>1</v>
      </c>
      <c r="E24" s="4">
        <v>7</v>
      </c>
      <c r="F24" s="4">
        <v>1</v>
      </c>
      <c r="G24" s="6">
        <v>1</v>
      </c>
      <c r="H24" s="6">
        <v>0</v>
      </c>
      <c r="I24" s="4">
        <v>1</v>
      </c>
      <c r="J24" s="4">
        <v>0</v>
      </c>
      <c r="K24" s="6">
        <v>1</v>
      </c>
      <c r="L24" s="6">
        <v>0</v>
      </c>
      <c r="M24" s="2">
        <v>30</v>
      </c>
      <c r="N24" s="2">
        <v>2</v>
      </c>
      <c r="P24" s="55"/>
    </row>
    <row r="25" spans="1:16" x14ac:dyDescent="0.25">
      <c r="A25" s="28">
        <v>24</v>
      </c>
      <c r="B25" s="40" t="s">
        <v>115</v>
      </c>
      <c r="C25" s="6">
        <v>2</v>
      </c>
      <c r="D25" s="6">
        <v>0</v>
      </c>
      <c r="E25" s="4">
        <v>3</v>
      </c>
      <c r="F25" s="4">
        <v>1</v>
      </c>
      <c r="G25" s="6">
        <v>1</v>
      </c>
      <c r="H25" s="6">
        <v>0</v>
      </c>
      <c r="I25" s="4">
        <v>1</v>
      </c>
      <c r="J25" s="4">
        <v>0</v>
      </c>
      <c r="K25" s="6">
        <v>1</v>
      </c>
      <c r="L25" s="6">
        <v>0</v>
      </c>
      <c r="M25" s="2">
        <v>8</v>
      </c>
      <c r="N25" s="2">
        <v>1</v>
      </c>
    </row>
    <row r="26" spans="1:16" x14ac:dyDescent="0.25">
      <c r="A26" s="28">
        <v>25</v>
      </c>
      <c r="B26" s="40" t="s">
        <v>100</v>
      </c>
      <c r="C26" s="6">
        <v>23</v>
      </c>
      <c r="D26" s="6">
        <v>1</v>
      </c>
      <c r="E26" s="4">
        <v>12</v>
      </c>
      <c r="F26" s="4">
        <v>2</v>
      </c>
      <c r="G26" s="6">
        <v>2</v>
      </c>
      <c r="H26" s="6">
        <v>0</v>
      </c>
      <c r="I26" s="4">
        <v>3</v>
      </c>
      <c r="J26" s="4">
        <v>0</v>
      </c>
      <c r="K26" s="6">
        <v>1</v>
      </c>
      <c r="L26" s="6">
        <v>0</v>
      </c>
      <c r="M26" s="2">
        <v>41</v>
      </c>
      <c r="N26" s="2">
        <v>3</v>
      </c>
    </row>
    <row r="27" spans="1:16" x14ac:dyDescent="0.25">
      <c r="A27" s="27">
        <v>27</v>
      </c>
      <c r="B27" s="36" t="s">
        <v>167</v>
      </c>
      <c r="C27" s="6">
        <v>0</v>
      </c>
      <c r="D27" s="6">
        <v>0</v>
      </c>
      <c r="E27" s="4">
        <v>0</v>
      </c>
      <c r="F27" s="4">
        <v>0</v>
      </c>
      <c r="G27" s="6">
        <v>0</v>
      </c>
      <c r="H27" s="6">
        <v>0</v>
      </c>
      <c r="I27" s="4">
        <v>0</v>
      </c>
      <c r="J27" s="4">
        <v>0</v>
      </c>
      <c r="K27" s="6">
        <v>0</v>
      </c>
      <c r="L27" s="6">
        <v>0</v>
      </c>
      <c r="M27" s="2">
        <v>0</v>
      </c>
      <c r="N27" s="2">
        <v>0</v>
      </c>
      <c r="P27" s="55"/>
    </row>
    <row r="28" spans="1:16" x14ac:dyDescent="0.25">
      <c r="A28" s="28">
        <v>28</v>
      </c>
      <c r="B28" s="40" t="s">
        <v>117</v>
      </c>
      <c r="C28" s="6">
        <v>7</v>
      </c>
      <c r="D28" s="6">
        <v>0</v>
      </c>
      <c r="E28" s="4">
        <v>4</v>
      </c>
      <c r="F28" s="4">
        <v>3</v>
      </c>
      <c r="G28" s="6">
        <v>1</v>
      </c>
      <c r="H28" s="6">
        <v>0</v>
      </c>
      <c r="I28" s="4">
        <v>3</v>
      </c>
      <c r="J28" s="4">
        <v>0</v>
      </c>
      <c r="K28" s="6">
        <v>1</v>
      </c>
      <c r="L28" s="6">
        <v>0</v>
      </c>
      <c r="M28" s="2">
        <v>16</v>
      </c>
      <c r="N28" s="2">
        <v>3</v>
      </c>
    </row>
    <row r="29" spans="1:16" x14ac:dyDescent="0.25">
      <c r="A29" s="27">
        <v>29</v>
      </c>
      <c r="B29" s="35" t="s">
        <v>172</v>
      </c>
      <c r="C29" s="6">
        <v>0</v>
      </c>
      <c r="D29" s="6">
        <v>0</v>
      </c>
      <c r="E29" s="4">
        <v>0</v>
      </c>
      <c r="F29" s="4">
        <v>0</v>
      </c>
      <c r="G29" s="6">
        <v>0</v>
      </c>
      <c r="H29" s="6">
        <v>0</v>
      </c>
      <c r="I29" s="4">
        <v>0</v>
      </c>
      <c r="J29" s="4">
        <v>0</v>
      </c>
      <c r="K29" s="6">
        <v>0</v>
      </c>
      <c r="L29" s="6">
        <v>0</v>
      </c>
      <c r="M29" s="2">
        <v>0</v>
      </c>
      <c r="N29" s="2">
        <v>0</v>
      </c>
      <c r="P29" s="55"/>
    </row>
    <row r="30" spans="1:16" x14ac:dyDescent="0.25">
      <c r="A30" s="28">
        <v>30</v>
      </c>
      <c r="B30" s="40" t="s">
        <v>123</v>
      </c>
      <c r="C30" s="6">
        <v>17</v>
      </c>
      <c r="D30" s="6">
        <v>2</v>
      </c>
      <c r="E30" s="4">
        <v>8</v>
      </c>
      <c r="F30" s="4">
        <v>3</v>
      </c>
      <c r="G30" s="6">
        <v>1</v>
      </c>
      <c r="H30" s="6">
        <v>0</v>
      </c>
      <c r="I30" s="4">
        <v>2</v>
      </c>
      <c r="J30" s="4">
        <v>1</v>
      </c>
      <c r="K30" s="6">
        <v>1</v>
      </c>
      <c r="L30" s="6">
        <v>0</v>
      </c>
      <c r="M30" s="2">
        <v>29</v>
      </c>
      <c r="N30" s="2">
        <v>6</v>
      </c>
    </row>
    <row r="31" spans="1:16" x14ac:dyDescent="0.25">
      <c r="A31" s="27">
        <v>31</v>
      </c>
      <c r="B31" s="35" t="s">
        <v>114</v>
      </c>
      <c r="C31" s="6">
        <v>1</v>
      </c>
      <c r="D31" s="6">
        <v>0</v>
      </c>
      <c r="E31" s="4">
        <v>4</v>
      </c>
      <c r="F31" s="4">
        <v>0</v>
      </c>
      <c r="G31" s="6">
        <v>0</v>
      </c>
      <c r="H31" s="6">
        <v>0</v>
      </c>
      <c r="I31" s="4">
        <v>3</v>
      </c>
      <c r="J31" s="4">
        <v>0</v>
      </c>
      <c r="K31" s="6">
        <v>1</v>
      </c>
      <c r="L31" s="6">
        <v>0</v>
      </c>
      <c r="M31" s="2">
        <v>9</v>
      </c>
      <c r="N31" s="2">
        <v>0</v>
      </c>
      <c r="P31" s="55"/>
    </row>
    <row r="32" spans="1:16" x14ac:dyDescent="0.25">
      <c r="A32" s="28">
        <v>32</v>
      </c>
      <c r="B32" s="40" t="s">
        <v>174</v>
      </c>
      <c r="C32" s="6">
        <v>20</v>
      </c>
      <c r="D32" s="6">
        <v>2</v>
      </c>
      <c r="E32" s="4">
        <v>11</v>
      </c>
      <c r="F32" s="4">
        <v>1</v>
      </c>
      <c r="G32" s="6">
        <v>1</v>
      </c>
      <c r="H32" s="6">
        <v>1</v>
      </c>
      <c r="I32" s="4">
        <v>1</v>
      </c>
      <c r="J32" s="4">
        <v>0</v>
      </c>
      <c r="K32" s="6">
        <v>0</v>
      </c>
      <c r="L32" s="6">
        <v>0</v>
      </c>
      <c r="M32" s="2">
        <v>33</v>
      </c>
      <c r="N32" s="2">
        <v>4</v>
      </c>
      <c r="P32" s="55"/>
    </row>
    <row r="33" spans="1:16" x14ac:dyDescent="0.25">
      <c r="A33" s="28">
        <v>33</v>
      </c>
      <c r="B33" s="40" t="s">
        <v>217</v>
      </c>
      <c r="C33" s="6">
        <v>3</v>
      </c>
      <c r="D33" s="6">
        <v>0</v>
      </c>
      <c r="E33" s="4">
        <v>0</v>
      </c>
      <c r="F33" s="4">
        <v>0</v>
      </c>
      <c r="G33" s="6">
        <v>0</v>
      </c>
      <c r="H33" s="6">
        <v>0</v>
      </c>
      <c r="I33" s="4">
        <v>0</v>
      </c>
      <c r="J33" s="4">
        <v>0</v>
      </c>
      <c r="K33" s="6">
        <v>0</v>
      </c>
      <c r="L33" s="6">
        <v>0</v>
      </c>
      <c r="M33" s="2">
        <v>3</v>
      </c>
      <c r="N33" s="2">
        <v>0</v>
      </c>
      <c r="P33" s="55"/>
    </row>
    <row r="34" spans="1:16" x14ac:dyDescent="0.25">
      <c r="A34" s="27">
        <v>34</v>
      </c>
      <c r="B34" s="35" t="s">
        <v>104</v>
      </c>
      <c r="C34" s="6">
        <v>31</v>
      </c>
      <c r="D34" s="6">
        <v>1</v>
      </c>
      <c r="E34" s="4">
        <v>10</v>
      </c>
      <c r="F34" s="4">
        <v>0</v>
      </c>
      <c r="G34" s="6">
        <v>2</v>
      </c>
      <c r="H34" s="6">
        <v>0</v>
      </c>
      <c r="I34" s="4">
        <v>1</v>
      </c>
      <c r="J34" s="4">
        <v>0</v>
      </c>
      <c r="K34" s="6">
        <v>1</v>
      </c>
      <c r="L34" s="6">
        <v>0</v>
      </c>
      <c r="M34" s="2">
        <v>45</v>
      </c>
      <c r="N34" s="2">
        <v>1</v>
      </c>
      <c r="P34" s="55"/>
    </row>
    <row r="35" spans="1:16" x14ac:dyDescent="0.25">
      <c r="A35" s="27">
        <v>35</v>
      </c>
      <c r="B35" s="35" t="s">
        <v>188</v>
      </c>
      <c r="C35" s="6">
        <v>14</v>
      </c>
      <c r="D35" s="6">
        <v>2</v>
      </c>
      <c r="E35" s="4">
        <v>6</v>
      </c>
      <c r="F35" s="4">
        <v>0</v>
      </c>
      <c r="G35" s="6">
        <v>1</v>
      </c>
      <c r="H35" s="6">
        <v>0</v>
      </c>
      <c r="I35" s="4">
        <v>1</v>
      </c>
      <c r="J35" s="4">
        <v>0</v>
      </c>
      <c r="K35" s="6">
        <v>0</v>
      </c>
      <c r="L35" s="6">
        <v>0</v>
      </c>
      <c r="M35" s="2">
        <v>22</v>
      </c>
      <c r="N35" s="2">
        <v>2</v>
      </c>
      <c r="P35" s="55"/>
    </row>
    <row r="36" spans="1:16" x14ac:dyDescent="0.25">
      <c r="A36" s="27">
        <v>38</v>
      </c>
      <c r="B36" s="35" t="s">
        <v>206</v>
      </c>
      <c r="C36" s="6">
        <v>0</v>
      </c>
      <c r="D36" s="6">
        <v>0</v>
      </c>
      <c r="E36" s="4">
        <v>5</v>
      </c>
      <c r="F36" s="4">
        <v>2</v>
      </c>
      <c r="G36" s="6">
        <v>0</v>
      </c>
      <c r="H36" s="6">
        <v>0</v>
      </c>
      <c r="I36" s="4">
        <v>1</v>
      </c>
      <c r="J36" s="4">
        <v>0</v>
      </c>
      <c r="K36" s="6">
        <v>0</v>
      </c>
      <c r="L36" s="6">
        <v>0</v>
      </c>
      <c r="M36" s="2">
        <v>6</v>
      </c>
      <c r="N36" s="2">
        <v>2</v>
      </c>
      <c r="P36" s="55"/>
    </row>
    <row r="37" spans="1:16" x14ac:dyDescent="0.25">
      <c r="A37" s="27">
        <v>41</v>
      </c>
      <c r="B37" s="35" t="s">
        <v>207</v>
      </c>
      <c r="C37" s="6">
        <v>0</v>
      </c>
      <c r="D37" s="6">
        <v>0</v>
      </c>
      <c r="E37" s="4">
        <v>1</v>
      </c>
      <c r="F37" s="4">
        <v>0</v>
      </c>
      <c r="G37" s="6">
        <v>0</v>
      </c>
      <c r="H37" s="6">
        <v>0</v>
      </c>
      <c r="I37" s="4">
        <v>0</v>
      </c>
      <c r="J37" s="4">
        <v>0</v>
      </c>
      <c r="K37" s="6">
        <v>0</v>
      </c>
      <c r="L37" s="6">
        <v>0</v>
      </c>
      <c r="M37" s="2">
        <v>1</v>
      </c>
      <c r="N37" s="2">
        <v>0</v>
      </c>
      <c r="P37" s="55"/>
    </row>
    <row r="38" spans="1:16" x14ac:dyDescent="0.25">
      <c r="A38" s="28">
        <v>47</v>
      </c>
      <c r="B38" s="40" t="s">
        <v>178</v>
      </c>
      <c r="C38" s="6">
        <v>0</v>
      </c>
      <c r="D38" s="6">
        <v>0</v>
      </c>
      <c r="E38" s="4">
        <v>0</v>
      </c>
      <c r="F38" s="4">
        <v>0</v>
      </c>
      <c r="G38" s="6">
        <v>0</v>
      </c>
      <c r="H38" s="6">
        <v>0</v>
      </c>
      <c r="I38" s="4">
        <v>0</v>
      </c>
      <c r="J38" s="4">
        <v>0</v>
      </c>
      <c r="K38" s="6">
        <v>0</v>
      </c>
      <c r="L38" s="6">
        <v>0</v>
      </c>
      <c r="M38" s="2">
        <v>0</v>
      </c>
      <c r="N38" s="2">
        <v>0</v>
      </c>
      <c r="P38" s="55"/>
    </row>
    <row r="39" spans="1:16" x14ac:dyDescent="0.25">
      <c r="A39" s="28">
        <v>65</v>
      </c>
      <c r="B39" s="40" t="s">
        <v>121</v>
      </c>
      <c r="C39" s="6">
        <v>0</v>
      </c>
      <c r="D39" s="6">
        <v>0</v>
      </c>
      <c r="E39" s="4">
        <v>0</v>
      </c>
      <c r="F39" s="4">
        <v>0</v>
      </c>
      <c r="G39" s="6">
        <v>0</v>
      </c>
      <c r="H39" s="6">
        <v>0</v>
      </c>
      <c r="I39" s="4">
        <v>0</v>
      </c>
      <c r="J39" s="4">
        <v>0</v>
      </c>
      <c r="K39" s="6">
        <v>0</v>
      </c>
      <c r="L39" s="6">
        <v>0</v>
      </c>
      <c r="M39" s="2">
        <v>0</v>
      </c>
      <c r="N39" s="2">
        <v>0</v>
      </c>
    </row>
    <row r="40" spans="1:16" x14ac:dyDescent="0.25">
      <c r="A40" s="28">
        <v>66</v>
      </c>
      <c r="B40" s="40" t="s">
        <v>208</v>
      </c>
      <c r="C40" s="6">
        <v>0</v>
      </c>
      <c r="D40" s="6">
        <v>0</v>
      </c>
      <c r="E40" s="4">
        <v>1</v>
      </c>
      <c r="F40" s="4">
        <v>0</v>
      </c>
      <c r="G40" s="6">
        <v>0</v>
      </c>
      <c r="H40" s="6">
        <v>0</v>
      </c>
      <c r="I40" s="4">
        <v>0</v>
      </c>
      <c r="J40" s="4">
        <v>0</v>
      </c>
      <c r="K40" s="6">
        <v>0</v>
      </c>
      <c r="L40" s="6">
        <v>0</v>
      </c>
      <c r="M40" s="2">
        <v>1</v>
      </c>
      <c r="N40" s="2">
        <v>0</v>
      </c>
    </row>
  </sheetData>
  <autoFilter ref="A3:N35" xr:uid="{00000000-0009-0000-0000-000002000000}">
    <sortState xmlns:xlrd2="http://schemas.microsoft.com/office/spreadsheetml/2017/richdata2" ref="A4:N37">
      <sortCondition ref="A3:A35"/>
    </sortState>
  </autoFilter>
  <mergeCells count="6">
    <mergeCell ref="M2:N2"/>
    <mergeCell ref="C2:D2"/>
    <mergeCell ref="E2:F2"/>
    <mergeCell ref="G2:H2"/>
    <mergeCell ref="I2:J2"/>
    <mergeCell ref="K2:L2"/>
  </mergeCells>
  <conditionalFormatting sqref="M4:N40">
    <cfRule type="cellIs" dxfId="30" priority="3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159A-A666-429D-90F0-C1560A18FA3C}">
  <dimension ref="A1:P36"/>
  <sheetViews>
    <sheetView zoomScale="85" zoomScaleNormal="85" zoomScalePageLayoutView="110" workbookViewId="0">
      <selection activeCell="B31" sqref="B31:N31"/>
    </sheetView>
  </sheetViews>
  <sheetFormatPr defaultColWidth="8.85546875" defaultRowHeight="15" x14ac:dyDescent="0.25"/>
  <cols>
    <col min="1" max="1" width="3.7109375" customWidth="1"/>
    <col min="2" max="2" width="26.42578125" bestFit="1" customWidth="1"/>
    <col min="4" max="4" width="8.7109375" customWidth="1"/>
    <col min="11" max="12" width="8.85546875" customWidth="1"/>
  </cols>
  <sheetData>
    <row r="1" spans="1:16" x14ac:dyDescent="0.25">
      <c r="A1" s="1" t="s">
        <v>0</v>
      </c>
      <c r="B1" s="1"/>
      <c r="C1" s="1"/>
      <c r="D1" s="1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5">
      <c r="A2" s="3"/>
      <c r="B2" s="5"/>
      <c r="C2" s="206" t="s">
        <v>4</v>
      </c>
      <c r="D2" s="206"/>
      <c r="E2" s="207" t="s">
        <v>113</v>
      </c>
      <c r="F2" s="207"/>
      <c r="G2" s="206" t="s">
        <v>108</v>
      </c>
      <c r="H2" s="206"/>
      <c r="I2" s="207" t="s">
        <v>110</v>
      </c>
      <c r="J2" s="207"/>
      <c r="K2" s="206" t="s">
        <v>39</v>
      </c>
      <c r="L2" s="206"/>
      <c r="M2" s="211" t="s">
        <v>7</v>
      </c>
      <c r="N2" s="211"/>
    </row>
    <row r="3" spans="1:16" x14ac:dyDescent="0.25">
      <c r="A3" s="3" t="s">
        <v>48</v>
      </c>
      <c r="B3" s="5" t="s">
        <v>1</v>
      </c>
      <c r="C3" s="5" t="s">
        <v>2</v>
      </c>
      <c r="D3" s="5" t="s">
        <v>3</v>
      </c>
      <c r="E3" s="3" t="s">
        <v>2</v>
      </c>
      <c r="F3" s="3" t="s">
        <v>3</v>
      </c>
      <c r="G3" s="5" t="s">
        <v>5</v>
      </c>
      <c r="H3" s="5" t="s">
        <v>3</v>
      </c>
      <c r="I3" s="3" t="s">
        <v>2</v>
      </c>
      <c r="J3" s="3" t="s">
        <v>3</v>
      </c>
      <c r="K3" s="5" t="s">
        <v>2</v>
      </c>
      <c r="L3" s="5" t="s">
        <v>3</v>
      </c>
      <c r="M3" s="8" t="s">
        <v>2</v>
      </c>
      <c r="N3" s="8" t="s">
        <v>3</v>
      </c>
    </row>
    <row r="4" spans="1:16" x14ac:dyDescent="0.25">
      <c r="A4" s="27">
        <v>1</v>
      </c>
      <c r="B4" s="34" t="s">
        <v>171</v>
      </c>
      <c r="C4" s="6">
        <v>4</v>
      </c>
      <c r="D4" s="6">
        <v>0</v>
      </c>
      <c r="E4" s="4">
        <v>0</v>
      </c>
      <c r="F4" s="4">
        <v>0</v>
      </c>
      <c r="G4" s="6">
        <v>1</v>
      </c>
      <c r="H4" s="6">
        <v>0</v>
      </c>
      <c r="I4" s="4">
        <v>3</v>
      </c>
      <c r="J4" s="4">
        <v>0</v>
      </c>
      <c r="K4" s="6">
        <v>0</v>
      </c>
      <c r="L4" s="6">
        <v>0</v>
      </c>
      <c r="M4" s="2">
        <v>8</v>
      </c>
      <c r="N4" s="2">
        <v>0</v>
      </c>
      <c r="P4" s="55"/>
    </row>
    <row r="5" spans="1:16" x14ac:dyDescent="0.25">
      <c r="A5" s="28">
        <v>2</v>
      </c>
      <c r="B5" s="37" t="s">
        <v>36</v>
      </c>
      <c r="C5" s="6">
        <v>0</v>
      </c>
      <c r="D5" s="6">
        <v>0</v>
      </c>
      <c r="E5" s="4">
        <v>0</v>
      </c>
      <c r="F5" s="4">
        <v>0</v>
      </c>
      <c r="G5" s="6">
        <v>0</v>
      </c>
      <c r="H5" s="6">
        <v>0</v>
      </c>
      <c r="I5" s="4">
        <v>0</v>
      </c>
      <c r="J5" s="4">
        <v>0</v>
      </c>
      <c r="K5" s="6">
        <v>0</v>
      </c>
      <c r="L5" s="6">
        <v>0</v>
      </c>
      <c r="M5" s="2">
        <v>0</v>
      </c>
      <c r="N5" s="2">
        <v>0</v>
      </c>
      <c r="P5" s="55"/>
    </row>
    <row r="6" spans="1:16" x14ac:dyDescent="0.25">
      <c r="A6" s="28">
        <v>3</v>
      </c>
      <c r="B6" s="37" t="s">
        <v>191</v>
      </c>
      <c r="C6" s="6">
        <v>22</v>
      </c>
      <c r="D6" s="6">
        <v>1</v>
      </c>
      <c r="E6" s="4">
        <v>0</v>
      </c>
      <c r="F6" s="4">
        <v>0</v>
      </c>
      <c r="G6" s="6">
        <v>1</v>
      </c>
      <c r="H6" s="6">
        <v>0</v>
      </c>
      <c r="I6" s="4">
        <v>2</v>
      </c>
      <c r="J6" s="4">
        <v>0</v>
      </c>
      <c r="K6" s="6">
        <v>0</v>
      </c>
      <c r="L6" s="6">
        <v>0</v>
      </c>
      <c r="M6" s="2">
        <v>25</v>
      </c>
      <c r="N6" s="2">
        <v>1</v>
      </c>
      <c r="P6" s="55"/>
    </row>
    <row r="7" spans="1:16" x14ac:dyDescent="0.25">
      <c r="A7" s="27">
        <v>4</v>
      </c>
      <c r="B7" s="39" t="s">
        <v>220</v>
      </c>
      <c r="C7" s="6">
        <v>32</v>
      </c>
      <c r="D7" s="6">
        <v>0</v>
      </c>
      <c r="E7" s="4">
        <v>0</v>
      </c>
      <c r="F7" s="4">
        <v>0</v>
      </c>
      <c r="G7" s="6">
        <v>0</v>
      </c>
      <c r="H7" s="6">
        <v>0</v>
      </c>
      <c r="I7" s="4">
        <v>4</v>
      </c>
      <c r="J7" s="4">
        <v>0</v>
      </c>
      <c r="K7" s="6">
        <v>0</v>
      </c>
      <c r="L7" s="6">
        <v>0</v>
      </c>
      <c r="M7" s="2">
        <v>36</v>
      </c>
      <c r="N7" s="2">
        <v>0</v>
      </c>
      <c r="P7" s="55"/>
    </row>
    <row r="8" spans="1:16" x14ac:dyDescent="0.25">
      <c r="A8" s="27">
        <v>5</v>
      </c>
      <c r="B8" s="39" t="s">
        <v>204</v>
      </c>
      <c r="C8" s="6">
        <v>24</v>
      </c>
      <c r="D8" s="6">
        <v>2</v>
      </c>
      <c r="E8" s="4">
        <v>0</v>
      </c>
      <c r="F8" s="4">
        <v>0</v>
      </c>
      <c r="G8" s="6">
        <v>0</v>
      </c>
      <c r="H8" s="6">
        <v>0</v>
      </c>
      <c r="I8" s="4">
        <v>2</v>
      </c>
      <c r="J8" s="4">
        <v>0</v>
      </c>
      <c r="K8" s="6">
        <v>0</v>
      </c>
      <c r="L8" s="6">
        <v>0</v>
      </c>
      <c r="M8" s="2">
        <v>26</v>
      </c>
      <c r="N8" s="2">
        <v>2</v>
      </c>
      <c r="P8" s="55"/>
    </row>
    <row r="9" spans="1:16" x14ac:dyDescent="0.25">
      <c r="A9" s="27">
        <v>6</v>
      </c>
      <c r="B9" s="35" t="s">
        <v>198</v>
      </c>
      <c r="C9" s="6">
        <v>35</v>
      </c>
      <c r="D9" s="6">
        <v>5</v>
      </c>
      <c r="E9" s="4">
        <v>0</v>
      </c>
      <c r="F9" s="4">
        <v>0</v>
      </c>
      <c r="G9" s="6">
        <v>0</v>
      </c>
      <c r="H9" s="6">
        <v>0</v>
      </c>
      <c r="I9" s="4">
        <v>3</v>
      </c>
      <c r="J9" s="4">
        <v>0</v>
      </c>
      <c r="K9" s="6">
        <v>0</v>
      </c>
      <c r="L9" s="6">
        <v>0</v>
      </c>
      <c r="M9" s="2">
        <v>38</v>
      </c>
      <c r="N9" s="2">
        <v>5</v>
      </c>
      <c r="P9" s="55"/>
    </row>
    <row r="10" spans="1:16" x14ac:dyDescent="0.25">
      <c r="A10" s="27">
        <v>7</v>
      </c>
      <c r="B10" s="35" t="s">
        <v>180</v>
      </c>
      <c r="C10" s="6">
        <v>38</v>
      </c>
      <c r="D10" s="6">
        <v>11</v>
      </c>
      <c r="E10" s="4">
        <v>0</v>
      </c>
      <c r="F10" s="4">
        <v>0</v>
      </c>
      <c r="G10" s="6">
        <v>0</v>
      </c>
      <c r="H10" s="6">
        <v>0</v>
      </c>
      <c r="I10" s="4">
        <v>4</v>
      </c>
      <c r="J10" s="4">
        <v>1</v>
      </c>
      <c r="K10" s="6">
        <v>0</v>
      </c>
      <c r="L10" s="6">
        <v>0</v>
      </c>
      <c r="M10" s="2">
        <v>42</v>
      </c>
      <c r="N10" s="2">
        <v>12</v>
      </c>
      <c r="P10" s="55"/>
    </row>
    <row r="11" spans="1:16" x14ac:dyDescent="0.25">
      <c r="A11" s="27">
        <v>8</v>
      </c>
      <c r="B11" s="39" t="s">
        <v>218</v>
      </c>
      <c r="C11" s="6">
        <v>36</v>
      </c>
      <c r="D11" s="6">
        <v>7</v>
      </c>
      <c r="E11" s="4">
        <v>0</v>
      </c>
      <c r="F11" s="4">
        <v>0</v>
      </c>
      <c r="G11" s="6">
        <v>0</v>
      </c>
      <c r="H11" s="6">
        <v>0</v>
      </c>
      <c r="I11" s="4">
        <v>3</v>
      </c>
      <c r="J11" s="4">
        <v>0</v>
      </c>
      <c r="K11" s="6">
        <v>0</v>
      </c>
      <c r="L11" s="6">
        <v>0</v>
      </c>
      <c r="M11" s="2">
        <v>39</v>
      </c>
      <c r="N11" s="2">
        <v>7</v>
      </c>
      <c r="P11" s="55"/>
    </row>
    <row r="12" spans="1:16" x14ac:dyDescent="0.25">
      <c r="A12" s="27">
        <v>9</v>
      </c>
      <c r="B12" s="39" t="s">
        <v>112</v>
      </c>
      <c r="C12" s="6">
        <v>30</v>
      </c>
      <c r="D12" s="6">
        <v>4</v>
      </c>
      <c r="E12" s="4">
        <v>0</v>
      </c>
      <c r="F12" s="4">
        <v>0</v>
      </c>
      <c r="G12" s="6">
        <v>1</v>
      </c>
      <c r="H12" s="6">
        <v>0</v>
      </c>
      <c r="I12" s="4">
        <v>5</v>
      </c>
      <c r="J12" s="4">
        <v>2</v>
      </c>
      <c r="K12" s="6">
        <v>0</v>
      </c>
      <c r="L12" s="6">
        <v>0</v>
      </c>
      <c r="M12" s="2">
        <v>36</v>
      </c>
      <c r="N12" s="2">
        <v>6</v>
      </c>
      <c r="P12" s="55"/>
    </row>
    <row r="13" spans="1:16" x14ac:dyDescent="0.25">
      <c r="A13" s="27">
        <v>10</v>
      </c>
      <c r="B13" s="39" t="s">
        <v>174</v>
      </c>
      <c r="C13" s="6">
        <v>34</v>
      </c>
      <c r="D13" s="6">
        <v>10</v>
      </c>
      <c r="E13" s="4">
        <v>0</v>
      </c>
      <c r="F13" s="4">
        <v>0</v>
      </c>
      <c r="G13" s="6">
        <v>1</v>
      </c>
      <c r="H13" s="6">
        <v>0</v>
      </c>
      <c r="I13" s="4">
        <v>4</v>
      </c>
      <c r="J13" s="4">
        <v>1</v>
      </c>
      <c r="K13" s="6">
        <v>0</v>
      </c>
      <c r="L13" s="6">
        <v>0</v>
      </c>
      <c r="M13" s="2">
        <v>39</v>
      </c>
      <c r="N13" s="2">
        <v>11</v>
      </c>
      <c r="P13" s="55"/>
    </row>
    <row r="14" spans="1:16" x14ac:dyDescent="0.25">
      <c r="A14" s="27">
        <v>11</v>
      </c>
      <c r="B14" s="39" t="s">
        <v>169</v>
      </c>
      <c r="C14" s="6">
        <v>0</v>
      </c>
      <c r="D14" s="6">
        <v>0</v>
      </c>
      <c r="E14" s="4">
        <v>0</v>
      </c>
      <c r="F14" s="4">
        <v>0</v>
      </c>
      <c r="G14" s="6">
        <v>0</v>
      </c>
      <c r="H14" s="6">
        <v>0</v>
      </c>
      <c r="I14" s="4">
        <v>0</v>
      </c>
      <c r="J14" s="4">
        <v>0</v>
      </c>
      <c r="K14" s="6">
        <v>0</v>
      </c>
      <c r="L14" s="6">
        <v>0</v>
      </c>
      <c r="M14" s="2">
        <v>0</v>
      </c>
      <c r="N14" s="2">
        <v>0</v>
      </c>
      <c r="P14" s="55"/>
    </row>
    <row r="15" spans="1:16" x14ac:dyDescent="0.25">
      <c r="A15" s="27">
        <v>13</v>
      </c>
      <c r="B15" s="36" t="s">
        <v>205</v>
      </c>
      <c r="C15" s="6">
        <v>0</v>
      </c>
      <c r="D15" s="6">
        <v>0</v>
      </c>
      <c r="E15" s="4">
        <v>0</v>
      </c>
      <c r="F15" s="4">
        <v>0</v>
      </c>
      <c r="G15" s="6">
        <v>0</v>
      </c>
      <c r="H15" s="6">
        <v>0</v>
      </c>
      <c r="I15" s="4">
        <v>0</v>
      </c>
      <c r="J15" s="4">
        <v>0</v>
      </c>
      <c r="K15" s="6">
        <v>0</v>
      </c>
      <c r="L15" s="6">
        <v>0</v>
      </c>
      <c r="M15" s="2">
        <v>0</v>
      </c>
      <c r="N15" s="2">
        <v>0</v>
      </c>
      <c r="P15" s="55"/>
    </row>
    <row r="16" spans="1:16" x14ac:dyDescent="0.25">
      <c r="A16" s="27">
        <v>15</v>
      </c>
      <c r="B16" s="39" t="s">
        <v>43</v>
      </c>
      <c r="C16" s="6">
        <v>8</v>
      </c>
      <c r="D16" s="6">
        <v>0</v>
      </c>
      <c r="E16" s="4">
        <v>0</v>
      </c>
      <c r="F16" s="4">
        <v>0</v>
      </c>
      <c r="G16" s="6">
        <v>0</v>
      </c>
      <c r="H16" s="6">
        <v>0</v>
      </c>
      <c r="I16" s="4">
        <v>3</v>
      </c>
      <c r="J16" s="4">
        <v>0</v>
      </c>
      <c r="K16" s="6">
        <v>0</v>
      </c>
      <c r="L16" s="6">
        <v>0</v>
      </c>
      <c r="M16" s="2">
        <v>11</v>
      </c>
      <c r="N16" s="2">
        <v>0</v>
      </c>
      <c r="P16" s="55"/>
    </row>
    <row r="17" spans="1:16" x14ac:dyDescent="0.25">
      <c r="A17" s="27">
        <v>16</v>
      </c>
      <c r="B17" s="39" t="s">
        <v>103</v>
      </c>
      <c r="C17" s="6">
        <v>15</v>
      </c>
      <c r="D17" s="6">
        <v>1</v>
      </c>
      <c r="E17" s="4">
        <v>0</v>
      </c>
      <c r="F17" s="4">
        <v>0</v>
      </c>
      <c r="G17" s="6">
        <v>1</v>
      </c>
      <c r="H17" s="6">
        <v>0</v>
      </c>
      <c r="I17" s="4">
        <v>5</v>
      </c>
      <c r="J17" s="4">
        <v>0</v>
      </c>
      <c r="K17" s="6">
        <v>0</v>
      </c>
      <c r="L17" s="6">
        <v>0</v>
      </c>
      <c r="M17" s="2">
        <v>21</v>
      </c>
      <c r="N17" s="2">
        <v>1</v>
      </c>
      <c r="P17" s="55"/>
    </row>
    <row r="18" spans="1:16" x14ac:dyDescent="0.25">
      <c r="A18" s="27">
        <v>17</v>
      </c>
      <c r="B18" s="39" t="s">
        <v>192</v>
      </c>
      <c r="C18" s="6">
        <v>21</v>
      </c>
      <c r="D18" s="6">
        <v>1</v>
      </c>
      <c r="E18" s="4">
        <v>0</v>
      </c>
      <c r="F18" s="4">
        <v>0</v>
      </c>
      <c r="G18" s="6">
        <v>1</v>
      </c>
      <c r="H18" s="6">
        <v>0</v>
      </c>
      <c r="I18" s="4">
        <v>4</v>
      </c>
      <c r="J18" s="4">
        <v>0</v>
      </c>
      <c r="K18" s="6">
        <v>0</v>
      </c>
      <c r="L18" s="6">
        <v>0</v>
      </c>
      <c r="M18" s="2">
        <v>26</v>
      </c>
      <c r="N18" s="2">
        <v>1</v>
      </c>
      <c r="P18" s="55"/>
    </row>
    <row r="19" spans="1:16" x14ac:dyDescent="0.25">
      <c r="A19" s="27">
        <v>18</v>
      </c>
      <c r="B19" s="39" t="s">
        <v>225</v>
      </c>
      <c r="C19" s="6">
        <v>21</v>
      </c>
      <c r="D19" s="6">
        <v>0</v>
      </c>
      <c r="E19" s="4">
        <v>0</v>
      </c>
      <c r="F19" s="4">
        <v>0</v>
      </c>
      <c r="G19" s="6">
        <v>0</v>
      </c>
      <c r="H19" s="6">
        <v>0</v>
      </c>
      <c r="I19" s="4">
        <v>1</v>
      </c>
      <c r="J19" s="4">
        <v>0</v>
      </c>
      <c r="K19" s="6">
        <v>0</v>
      </c>
      <c r="L19" s="6">
        <v>0</v>
      </c>
      <c r="M19" s="2">
        <v>22</v>
      </c>
      <c r="N19" s="2">
        <v>0</v>
      </c>
      <c r="P19" s="55"/>
    </row>
    <row r="20" spans="1:16" x14ac:dyDescent="0.25">
      <c r="A20" s="27">
        <v>19</v>
      </c>
      <c r="B20" s="34" t="s">
        <v>189</v>
      </c>
      <c r="C20" s="6">
        <v>20</v>
      </c>
      <c r="D20" s="6">
        <v>1</v>
      </c>
      <c r="E20" s="4">
        <v>0</v>
      </c>
      <c r="F20" s="4">
        <v>0</v>
      </c>
      <c r="G20" s="6">
        <v>0</v>
      </c>
      <c r="H20" s="6">
        <v>0</v>
      </c>
      <c r="I20" s="4">
        <v>3</v>
      </c>
      <c r="J20" s="4">
        <v>2</v>
      </c>
      <c r="K20" s="6">
        <v>0</v>
      </c>
      <c r="L20" s="6">
        <v>0</v>
      </c>
      <c r="M20" s="2">
        <v>23</v>
      </c>
      <c r="N20" s="2">
        <v>3</v>
      </c>
      <c r="P20" s="55"/>
    </row>
    <row r="21" spans="1:16" x14ac:dyDescent="0.25">
      <c r="A21" s="27">
        <v>20</v>
      </c>
      <c r="B21" s="34" t="s">
        <v>222</v>
      </c>
      <c r="C21" s="6">
        <v>22</v>
      </c>
      <c r="D21" s="6">
        <v>1</v>
      </c>
      <c r="E21" s="4">
        <v>0</v>
      </c>
      <c r="F21" s="4">
        <v>0</v>
      </c>
      <c r="G21" s="6">
        <v>1</v>
      </c>
      <c r="H21" s="6">
        <v>0</v>
      </c>
      <c r="I21" s="4">
        <v>5</v>
      </c>
      <c r="J21" s="4">
        <v>0</v>
      </c>
      <c r="K21" s="6">
        <v>0</v>
      </c>
      <c r="L21" s="6">
        <v>0</v>
      </c>
      <c r="M21" s="2">
        <v>28</v>
      </c>
      <c r="N21" s="2">
        <v>1</v>
      </c>
      <c r="P21" s="55"/>
    </row>
    <row r="22" spans="1:16" x14ac:dyDescent="0.25">
      <c r="A22" s="27">
        <v>22</v>
      </c>
      <c r="B22" s="34" t="s">
        <v>193</v>
      </c>
      <c r="C22" s="6">
        <v>2</v>
      </c>
      <c r="D22" s="6">
        <v>0</v>
      </c>
      <c r="E22" s="4">
        <v>0</v>
      </c>
      <c r="F22" s="4">
        <v>0</v>
      </c>
      <c r="G22" s="6">
        <v>1</v>
      </c>
      <c r="H22" s="6">
        <v>0</v>
      </c>
      <c r="I22" s="4">
        <v>1</v>
      </c>
      <c r="J22" s="4">
        <v>0</v>
      </c>
      <c r="K22" s="6">
        <v>0</v>
      </c>
      <c r="L22" s="6">
        <v>0</v>
      </c>
      <c r="M22" s="2">
        <v>4</v>
      </c>
      <c r="N22" s="2">
        <v>0</v>
      </c>
    </row>
    <row r="23" spans="1:16" x14ac:dyDescent="0.25">
      <c r="A23" s="28">
        <v>23</v>
      </c>
      <c r="B23" s="40" t="s">
        <v>223</v>
      </c>
      <c r="C23" s="6">
        <v>19</v>
      </c>
      <c r="D23" s="6">
        <v>0</v>
      </c>
      <c r="E23" s="4">
        <v>0</v>
      </c>
      <c r="F23" s="4">
        <v>0</v>
      </c>
      <c r="G23" s="6">
        <v>1</v>
      </c>
      <c r="H23" s="6">
        <v>0</v>
      </c>
      <c r="I23" s="4">
        <v>4</v>
      </c>
      <c r="J23" s="4">
        <v>0</v>
      </c>
      <c r="K23" s="6">
        <v>0</v>
      </c>
      <c r="L23" s="6">
        <v>0</v>
      </c>
      <c r="M23" s="2">
        <v>24</v>
      </c>
      <c r="N23" s="2">
        <v>0</v>
      </c>
      <c r="P23" s="55"/>
    </row>
    <row r="24" spans="1:16" x14ac:dyDescent="0.25">
      <c r="A24" s="28">
        <v>24</v>
      </c>
      <c r="B24" s="40" t="s">
        <v>115</v>
      </c>
      <c r="C24" s="6">
        <v>1</v>
      </c>
      <c r="D24" s="6">
        <v>0</v>
      </c>
      <c r="E24" s="4">
        <v>0</v>
      </c>
      <c r="F24" s="4">
        <v>0</v>
      </c>
      <c r="G24" s="6">
        <v>0</v>
      </c>
      <c r="H24" s="6">
        <v>0</v>
      </c>
      <c r="I24" s="4">
        <v>0</v>
      </c>
      <c r="J24" s="4">
        <v>0</v>
      </c>
      <c r="K24" s="6">
        <v>0</v>
      </c>
      <c r="L24" s="6">
        <v>0</v>
      </c>
      <c r="M24" s="2">
        <v>1</v>
      </c>
      <c r="N24" s="2">
        <v>0</v>
      </c>
    </row>
    <row r="25" spans="1:16" x14ac:dyDescent="0.25">
      <c r="A25" s="27">
        <v>25</v>
      </c>
      <c r="B25" s="36" t="s">
        <v>100</v>
      </c>
      <c r="C25" s="6">
        <v>14</v>
      </c>
      <c r="D25" s="6">
        <v>0</v>
      </c>
      <c r="E25" s="4">
        <v>0</v>
      </c>
      <c r="F25" s="4">
        <v>0</v>
      </c>
      <c r="G25" s="6">
        <v>0</v>
      </c>
      <c r="H25" s="6">
        <v>0</v>
      </c>
      <c r="I25" s="4">
        <v>3</v>
      </c>
      <c r="J25" s="4">
        <v>0</v>
      </c>
      <c r="K25" s="6">
        <v>0</v>
      </c>
      <c r="L25" s="6">
        <v>0</v>
      </c>
      <c r="M25" s="2">
        <v>17</v>
      </c>
      <c r="N25" s="2">
        <v>0</v>
      </c>
      <c r="P25" s="55"/>
    </row>
    <row r="26" spans="1:16" x14ac:dyDescent="0.25">
      <c r="A26" s="28">
        <v>26</v>
      </c>
      <c r="B26" s="40" t="s">
        <v>206</v>
      </c>
      <c r="C26" s="6">
        <v>2</v>
      </c>
      <c r="D26" s="6">
        <v>0</v>
      </c>
      <c r="E26" s="4">
        <v>0</v>
      </c>
      <c r="F26" s="4">
        <v>0</v>
      </c>
      <c r="G26" s="6">
        <v>1</v>
      </c>
      <c r="H26" s="6">
        <v>0</v>
      </c>
      <c r="I26" s="4">
        <v>2</v>
      </c>
      <c r="J26" s="4">
        <v>0</v>
      </c>
      <c r="K26" s="6">
        <v>0</v>
      </c>
      <c r="L26" s="6">
        <v>0</v>
      </c>
      <c r="M26" s="2">
        <v>5</v>
      </c>
      <c r="N26" s="2">
        <v>0</v>
      </c>
    </row>
    <row r="27" spans="1:16" x14ac:dyDescent="0.25">
      <c r="A27" s="27">
        <v>27</v>
      </c>
      <c r="B27" s="35" t="s">
        <v>167</v>
      </c>
      <c r="C27" s="6">
        <v>0</v>
      </c>
      <c r="D27" s="6">
        <v>0</v>
      </c>
      <c r="E27" s="4">
        <v>0</v>
      </c>
      <c r="F27" s="4">
        <v>0</v>
      </c>
      <c r="G27" s="6">
        <v>0</v>
      </c>
      <c r="H27" s="6">
        <v>0</v>
      </c>
      <c r="I27" s="4">
        <v>0</v>
      </c>
      <c r="J27" s="4">
        <v>0</v>
      </c>
      <c r="K27" s="6">
        <v>0</v>
      </c>
      <c r="L27" s="6">
        <v>0</v>
      </c>
      <c r="M27" s="2">
        <v>0</v>
      </c>
      <c r="N27" s="2">
        <v>0</v>
      </c>
      <c r="P27" s="55"/>
    </row>
    <row r="28" spans="1:16" x14ac:dyDescent="0.25">
      <c r="A28" s="27">
        <v>29</v>
      </c>
      <c r="B28" s="35" t="s">
        <v>172</v>
      </c>
      <c r="C28" s="6">
        <v>0</v>
      </c>
      <c r="D28" s="6">
        <v>0</v>
      </c>
      <c r="E28" s="4">
        <v>0</v>
      </c>
      <c r="F28" s="4">
        <v>0</v>
      </c>
      <c r="G28" s="6">
        <v>0</v>
      </c>
      <c r="H28" s="6">
        <v>0</v>
      </c>
      <c r="I28" s="4">
        <v>0</v>
      </c>
      <c r="J28" s="4">
        <v>0</v>
      </c>
      <c r="K28" s="6">
        <v>0</v>
      </c>
      <c r="L28" s="6">
        <v>0</v>
      </c>
      <c r="M28" s="2">
        <v>0</v>
      </c>
      <c r="N28" s="2">
        <v>0</v>
      </c>
      <c r="P28" s="55"/>
    </row>
    <row r="29" spans="1:16" x14ac:dyDescent="0.25">
      <c r="A29" s="28">
        <v>30</v>
      </c>
      <c r="B29" s="40" t="s">
        <v>123</v>
      </c>
      <c r="C29" s="6">
        <v>21</v>
      </c>
      <c r="D29" s="6">
        <v>5</v>
      </c>
      <c r="E29" s="4">
        <v>0</v>
      </c>
      <c r="F29" s="4">
        <v>0</v>
      </c>
      <c r="G29" s="6">
        <v>1</v>
      </c>
      <c r="H29" s="6">
        <v>0</v>
      </c>
      <c r="I29" s="4">
        <v>5</v>
      </c>
      <c r="J29" s="4">
        <v>5</v>
      </c>
      <c r="K29" s="6">
        <v>0</v>
      </c>
      <c r="L29" s="6">
        <v>0</v>
      </c>
      <c r="M29" s="2">
        <v>27</v>
      </c>
      <c r="N29" s="2">
        <v>10</v>
      </c>
      <c r="P29" s="55"/>
    </row>
    <row r="30" spans="1:16" x14ac:dyDescent="0.25">
      <c r="A30" s="28">
        <v>32</v>
      </c>
      <c r="B30" s="40" t="s">
        <v>224</v>
      </c>
      <c r="C30" s="6">
        <v>34</v>
      </c>
      <c r="D30" s="6">
        <v>0</v>
      </c>
      <c r="E30" s="4">
        <v>0</v>
      </c>
      <c r="F30" s="4">
        <v>0</v>
      </c>
      <c r="G30" s="6">
        <v>0</v>
      </c>
      <c r="H30" s="6">
        <v>0</v>
      </c>
      <c r="I30" s="4">
        <v>3</v>
      </c>
      <c r="J30" s="4">
        <v>0</v>
      </c>
      <c r="K30" s="6">
        <v>0</v>
      </c>
      <c r="L30" s="6">
        <v>0</v>
      </c>
      <c r="M30" s="2">
        <v>37</v>
      </c>
      <c r="N30" s="2">
        <v>0</v>
      </c>
      <c r="P30" s="55"/>
    </row>
    <row r="31" spans="1:16" x14ac:dyDescent="0.25">
      <c r="A31" s="27">
        <v>33</v>
      </c>
      <c r="B31" s="35" t="s">
        <v>221</v>
      </c>
      <c r="C31" s="6">
        <v>0</v>
      </c>
      <c r="D31" s="6">
        <v>0</v>
      </c>
      <c r="E31" s="4">
        <v>0</v>
      </c>
      <c r="F31" s="4">
        <v>0</v>
      </c>
      <c r="G31" s="6">
        <v>0</v>
      </c>
      <c r="H31" s="6">
        <v>0</v>
      </c>
      <c r="I31" s="4">
        <v>0</v>
      </c>
      <c r="J31" s="4">
        <v>0</v>
      </c>
      <c r="K31" s="6">
        <v>0</v>
      </c>
      <c r="L31" s="6">
        <v>0</v>
      </c>
      <c r="M31" s="2">
        <v>0</v>
      </c>
      <c r="N31" s="2">
        <v>0</v>
      </c>
      <c r="P31" s="55"/>
    </row>
    <row r="32" spans="1:16" x14ac:dyDescent="0.25">
      <c r="A32" s="27">
        <v>34</v>
      </c>
      <c r="B32" s="35" t="s">
        <v>104</v>
      </c>
      <c r="C32" s="6">
        <v>27</v>
      </c>
      <c r="D32" s="6">
        <v>1</v>
      </c>
      <c r="E32" s="4">
        <v>0</v>
      </c>
      <c r="F32" s="4">
        <v>0</v>
      </c>
      <c r="G32" s="6">
        <v>0</v>
      </c>
      <c r="H32" s="6">
        <v>0</v>
      </c>
      <c r="I32" s="4">
        <v>3</v>
      </c>
      <c r="J32" s="4">
        <v>0</v>
      </c>
      <c r="K32" s="6">
        <v>0</v>
      </c>
      <c r="L32" s="6">
        <v>0</v>
      </c>
      <c r="M32" s="2">
        <v>30</v>
      </c>
      <c r="N32" s="2">
        <v>1</v>
      </c>
      <c r="P32" s="55"/>
    </row>
    <row r="33" spans="1:16" x14ac:dyDescent="0.25">
      <c r="A33" s="27">
        <v>35</v>
      </c>
      <c r="B33" s="35" t="s">
        <v>188</v>
      </c>
      <c r="C33" s="6">
        <v>28</v>
      </c>
      <c r="D33" s="6">
        <v>6</v>
      </c>
      <c r="E33" s="4">
        <v>0</v>
      </c>
      <c r="F33" s="4">
        <v>0</v>
      </c>
      <c r="G33" s="6">
        <v>0</v>
      </c>
      <c r="H33" s="6">
        <v>0</v>
      </c>
      <c r="I33" s="4">
        <v>6</v>
      </c>
      <c r="J33" s="4">
        <v>0</v>
      </c>
      <c r="K33" s="6">
        <v>0</v>
      </c>
      <c r="L33" s="6">
        <v>0</v>
      </c>
      <c r="M33" s="2">
        <v>34</v>
      </c>
      <c r="N33" s="2">
        <v>6</v>
      </c>
      <c r="P33" s="55"/>
    </row>
    <row r="34" spans="1:16" x14ac:dyDescent="0.25">
      <c r="A34" s="27">
        <v>41</v>
      </c>
      <c r="B34" s="35" t="s">
        <v>207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6">
        <v>0</v>
      </c>
      <c r="I34" s="4">
        <v>0</v>
      </c>
      <c r="J34" s="4">
        <v>0</v>
      </c>
      <c r="K34" s="6">
        <v>0</v>
      </c>
      <c r="L34" s="6">
        <v>0</v>
      </c>
      <c r="M34" s="2">
        <v>0</v>
      </c>
      <c r="N34" s="2">
        <v>0</v>
      </c>
    </row>
    <row r="35" spans="1:16" x14ac:dyDescent="0.25">
      <c r="A35" s="28">
        <v>66</v>
      </c>
      <c r="B35" s="40" t="s">
        <v>208</v>
      </c>
      <c r="C35" s="6">
        <v>0</v>
      </c>
      <c r="D35" s="6">
        <v>0</v>
      </c>
      <c r="E35" s="4">
        <v>0</v>
      </c>
      <c r="F35" s="4">
        <v>0</v>
      </c>
      <c r="G35" s="6">
        <v>0</v>
      </c>
      <c r="H35" s="6">
        <v>0</v>
      </c>
      <c r="I35" s="4">
        <v>0</v>
      </c>
      <c r="J35" s="4">
        <v>0</v>
      </c>
      <c r="K35" s="6">
        <v>0</v>
      </c>
      <c r="L35" s="6">
        <v>0</v>
      </c>
      <c r="M35" s="2">
        <v>0</v>
      </c>
      <c r="N35" s="2">
        <v>0</v>
      </c>
    </row>
    <row r="36" spans="1:16" x14ac:dyDescent="0.25">
      <c r="A36" s="28">
        <v>87</v>
      </c>
      <c r="B36" s="40" t="s">
        <v>226</v>
      </c>
      <c r="C36" s="6">
        <v>0</v>
      </c>
      <c r="D36" s="6">
        <v>0</v>
      </c>
      <c r="E36" s="4">
        <v>0</v>
      </c>
      <c r="F36" s="4">
        <v>0</v>
      </c>
      <c r="G36" s="6">
        <v>1</v>
      </c>
      <c r="H36" s="6">
        <v>0</v>
      </c>
      <c r="I36" s="4">
        <v>1</v>
      </c>
      <c r="J36" s="4">
        <v>1</v>
      </c>
      <c r="K36" s="6">
        <v>0</v>
      </c>
      <c r="L36" s="6">
        <v>0</v>
      </c>
      <c r="M36" s="2">
        <v>2</v>
      </c>
      <c r="N36" s="2">
        <v>1</v>
      </c>
    </row>
  </sheetData>
  <autoFilter ref="A3:N29" xr:uid="{00000000-0009-0000-0000-000002000000}">
    <sortState xmlns:xlrd2="http://schemas.microsoft.com/office/spreadsheetml/2017/richdata2" ref="A4:N31">
      <sortCondition ref="A3:A29"/>
    </sortState>
  </autoFilter>
  <mergeCells count="6">
    <mergeCell ref="M2:N2"/>
    <mergeCell ref="C2:D2"/>
    <mergeCell ref="E2:F2"/>
    <mergeCell ref="G2:H2"/>
    <mergeCell ref="I2:J2"/>
    <mergeCell ref="K2:L2"/>
  </mergeCells>
  <conditionalFormatting sqref="M4:N36">
    <cfRule type="cellIs" dxfId="29" priority="1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9A43-FACA-4A7F-A022-8B5EAB48E3A5}">
  <dimension ref="A1:P41"/>
  <sheetViews>
    <sheetView zoomScale="85" zoomScaleNormal="85" zoomScalePageLayoutView="110" workbookViewId="0">
      <selection activeCell="A11" sqref="A11:XFD11"/>
    </sheetView>
  </sheetViews>
  <sheetFormatPr defaultColWidth="8.85546875" defaultRowHeight="15" x14ac:dyDescent="0.25"/>
  <cols>
    <col min="1" max="1" width="3.42578125" customWidth="1"/>
    <col min="2" max="2" width="25.7109375" customWidth="1"/>
    <col min="4" max="4" width="8.7109375" customWidth="1"/>
    <col min="11" max="12" width="8.85546875" customWidth="1"/>
  </cols>
  <sheetData>
    <row r="1" spans="1:16" x14ac:dyDescent="0.25">
      <c r="A1" s="1" t="s">
        <v>0</v>
      </c>
      <c r="B1" s="1"/>
      <c r="C1" s="1"/>
      <c r="D1" s="1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5">
      <c r="A2" s="3"/>
      <c r="B2" s="5"/>
      <c r="C2" s="206" t="s">
        <v>4</v>
      </c>
      <c r="D2" s="206"/>
      <c r="E2" s="207" t="s">
        <v>113</v>
      </c>
      <c r="F2" s="207"/>
      <c r="G2" s="206" t="s">
        <v>108</v>
      </c>
      <c r="H2" s="206"/>
      <c r="I2" s="207" t="s">
        <v>110</v>
      </c>
      <c r="J2" s="207"/>
      <c r="K2" s="206" t="s">
        <v>39</v>
      </c>
      <c r="L2" s="206"/>
      <c r="M2" s="211" t="s">
        <v>7</v>
      </c>
      <c r="N2" s="211"/>
    </row>
    <row r="3" spans="1:16" x14ac:dyDescent="0.25">
      <c r="A3" s="3" t="s">
        <v>48</v>
      </c>
      <c r="B3" s="5" t="s">
        <v>1</v>
      </c>
      <c r="C3" s="5" t="s">
        <v>2</v>
      </c>
      <c r="D3" s="5" t="s">
        <v>3</v>
      </c>
      <c r="E3" s="3" t="s">
        <v>2</v>
      </c>
      <c r="F3" s="3" t="s">
        <v>3</v>
      </c>
      <c r="G3" s="5" t="s">
        <v>5</v>
      </c>
      <c r="H3" s="5" t="s">
        <v>3</v>
      </c>
      <c r="I3" s="3" t="s">
        <v>2</v>
      </c>
      <c r="J3" s="3" t="s">
        <v>3</v>
      </c>
      <c r="K3" s="5" t="s">
        <v>2</v>
      </c>
      <c r="L3" s="5" t="s">
        <v>3</v>
      </c>
      <c r="M3" s="8" t="s">
        <v>2</v>
      </c>
      <c r="N3" s="8" t="s">
        <v>3</v>
      </c>
    </row>
    <row r="4" spans="1:16" x14ac:dyDescent="0.25">
      <c r="A4" s="28">
        <v>1</v>
      </c>
      <c r="B4" s="37" t="s">
        <v>224</v>
      </c>
      <c r="C4" s="6">
        <v>38</v>
      </c>
      <c r="D4" s="6">
        <v>0</v>
      </c>
      <c r="E4" s="4">
        <v>3</v>
      </c>
      <c r="F4" s="4">
        <v>0</v>
      </c>
      <c r="G4" s="6">
        <v>0</v>
      </c>
      <c r="H4" s="6">
        <v>0</v>
      </c>
      <c r="I4" s="4">
        <v>0</v>
      </c>
      <c r="J4" s="4">
        <v>0</v>
      </c>
      <c r="K4" s="6">
        <v>0</v>
      </c>
      <c r="L4" s="6">
        <v>0</v>
      </c>
      <c r="M4" s="2">
        <v>41</v>
      </c>
      <c r="N4" s="2">
        <v>0</v>
      </c>
      <c r="P4" s="55"/>
    </row>
    <row r="5" spans="1:16" x14ac:dyDescent="0.25">
      <c r="A5" s="28">
        <v>3</v>
      </c>
      <c r="B5" s="37" t="s">
        <v>191</v>
      </c>
      <c r="C5" s="6">
        <v>27</v>
      </c>
      <c r="D5" s="6">
        <v>0</v>
      </c>
      <c r="E5" s="4">
        <v>6</v>
      </c>
      <c r="F5" s="4">
        <v>1</v>
      </c>
      <c r="G5" s="6">
        <v>2</v>
      </c>
      <c r="H5" s="6">
        <v>0</v>
      </c>
      <c r="I5" s="4">
        <v>1</v>
      </c>
      <c r="J5" s="4">
        <v>0</v>
      </c>
      <c r="K5" s="6">
        <v>0</v>
      </c>
      <c r="L5" s="6">
        <v>0</v>
      </c>
      <c r="M5" s="2">
        <v>36</v>
      </c>
      <c r="N5" s="2">
        <v>1</v>
      </c>
      <c r="P5" s="55"/>
    </row>
    <row r="6" spans="1:16" x14ac:dyDescent="0.25">
      <c r="A6" s="27">
        <v>4</v>
      </c>
      <c r="B6" s="37" t="s">
        <v>220</v>
      </c>
      <c r="C6" s="6">
        <v>38</v>
      </c>
      <c r="D6" s="6">
        <v>2</v>
      </c>
      <c r="E6" s="4">
        <v>7</v>
      </c>
      <c r="F6" s="4">
        <v>0</v>
      </c>
      <c r="G6" s="6">
        <v>1</v>
      </c>
      <c r="H6" s="6">
        <v>0</v>
      </c>
      <c r="I6" s="4">
        <v>0</v>
      </c>
      <c r="J6" s="4">
        <v>0</v>
      </c>
      <c r="K6" s="6">
        <v>0</v>
      </c>
      <c r="L6" s="6">
        <v>0</v>
      </c>
      <c r="M6" s="2">
        <v>46</v>
      </c>
      <c r="N6" s="2">
        <v>2</v>
      </c>
      <c r="P6" s="55"/>
    </row>
    <row r="7" spans="1:16" x14ac:dyDescent="0.25">
      <c r="A7" s="27">
        <v>5</v>
      </c>
      <c r="B7" s="37" t="s">
        <v>204</v>
      </c>
      <c r="C7" s="6">
        <v>33</v>
      </c>
      <c r="D7" s="6">
        <v>3</v>
      </c>
      <c r="E7" s="4">
        <v>6</v>
      </c>
      <c r="F7" s="4">
        <v>0</v>
      </c>
      <c r="G7" s="6">
        <v>1</v>
      </c>
      <c r="H7" s="6">
        <v>0</v>
      </c>
      <c r="I7" s="4">
        <v>0</v>
      </c>
      <c r="J7" s="4">
        <v>0</v>
      </c>
      <c r="K7" s="6">
        <v>0</v>
      </c>
      <c r="L7" s="6">
        <v>0</v>
      </c>
      <c r="M7" s="2">
        <v>40</v>
      </c>
      <c r="N7" s="2">
        <v>3</v>
      </c>
      <c r="P7" s="55"/>
    </row>
    <row r="8" spans="1:16" x14ac:dyDescent="0.25">
      <c r="A8" s="27">
        <v>6</v>
      </c>
      <c r="B8" s="37" t="s">
        <v>198</v>
      </c>
      <c r="C8" s="6">
        <v>38</v>
      </c>
      <c r="D8" s="6">
        <v>3</v>
      </c>
      <c r="E8" s="4">
        <v>7</v>
      </c>
      <c r="F8" s="4">
        <v>0</v>
      </c>
      <c r="G8" s="6">
        <v>2</v>
      </c>
      <c r="H8" s="6">
        <v>0</v>
      </c>
      <c r="I8" s="4">
        <v>1</v>
      </c>
      <c r="J8" s="4">
        <v>0</v>
      </c>
      <c r="K8" s="6">
        <v>0</v>
      </c>
      <c r="L8" s="6">
        <v>0</v>
      </c>
      <c r="M8" s="2">
        <v>48</v>
      </c>
      <c r="N8" s="2">
        <v>3</v>
      </c>
      <c r="P8" s="55"/>
    </row>
    <row r="9" spans="1:16" x14ac:dyDescent="0.25">
      <c r="A9" s="27">
        <v>7</v>
      </c>
      <c r="B9" s="37" t="s">
        <v>180</v>
      </c>
      <c r="C9" s="6">
        <v>38</v>
      </c>
      <c r="D9" s="6">
        <v>14</v>
      </c>
      <c r="E9" s="4">
        <v>8</v>
      </c>
      <c r="F9" s="4">
        <v>1</v>
      </c>
      <c r="G9" s="6">
        <v>2</v>
      </c>
      <c r="H9" s="6">
        <v>0</v>
      </c>
      <c r="I9" s="4">
        <v>0</v>
      </c>
      <c r="J9" s="4">
        <v>0</v>
      </c>
      <c r="K9" s="6">
        <v>0</v>
      </c>
      <c r="L9" s="6">
        <v>0</v>
      </c>
      <c r="M9" s="2">
        <v>48</v>
      </c>
      <c r="N9" s="2">
        <v>15</v>
      </c>
      <c r="P9" s="55"/>
    </row>
    <row r="10" spans="1:16" x14ac:dyDescent="0.25">
      <c r="A10" s="27">
        <v>8</v>
      </c>
      <c r="B10" s="37" t="s">
        <v>218</v>
      </c>
      <c r="C10" s="6">
        <v>37</v>
      </c>
      <c r="D10" s="6">
        <v>15</v>
      </c>
      <c r="E10" s="4">
        <v>7</v>
      </c>
      <c r="F10" s="4">
        <v>0</v>
      </c>
      <c r="G10" s="6">
        <v>1</v>
      </c>
      <c r="H10" s="6">
        <v>0</v>
      </c>
      <c r="I10" s="4">
        <v>0</v>
      </c>
      <c r="J10" s="4">
        <v>0</v>
      </c>
      <c r="K10" s="6">
        <v>0</v>
      </c>
      <c r="L10" s="6">
        <v>0</v>
      </c>
      <c r="M10" s="2">
        <v>45</v>
      </c>
      <c r="N10" s="2">
        <v>15</v>
      </c>
      <c r="P10" s="55"/>
    </row>
    <row r="11" spans="1:16" x14ac:dyDescent="0.25">
      <c r="A11" s="27">
        <v>9</v>
      </c>
      <c r="B11" s="37" t="s">
        <v>259</v>
      </c>
      <c r="C11" s="6">
        <v>26</v>
      </c>
      <c r="D11" s="6">
        <v>11</v>
      </c>
      <c r="E11" s="4">
        <v>6</v>
      </c>
      <c r="F11" s="4">
        <v>0</v>
      </c>
      <c r="G11" s="6">
        <v>0</v>
      </c>
      <c r="H11" s="6">
        <v>0</v>
      </c>
      <c r="I11" s="4">
        <v>1</v>
      </c>
      <c r="J11" s="4">
        <v>0</v>
      </c>
      <c r="K11" s="6">
        <v>0</v>
      </c>
      <c r="L11" s="6">
        <v>0</v>
      </c>
      <c r="M11" s="2">
        <v>33</v>
      </c>
      <c r="N11" s="2">
        <v>11</v>
      </c>
      <c r="P11" s="55"/>
    </row>
    <row r="12" spans="1:16" x14ac:dyDescent="0.25">
      <c r="A12" s="27">
        <v>10</v>
      </c>
      <c r="B12" s="37" t="s">
        <v>174</v>
      </c>
      <c r="C12" s="6">
        <v>12</v>
      </c>
      <c r="D12" s="6">
        <v>0</v>
      </c>
      <c r="E12" s="4">
        <v>1</v>
      </c>
      <c r="F12" s="4">
        <v>0</v>
      </c>
      <c r="G12" s="6">
        <v>1</v>
      </c>
      <c r="H12" s="6">
        <v>0</v>
      </c>
      <c r="I12" s="4">
        <v>0</v>
      </c>
      <c r="J12" s="4">
        <v>0</v>
      </c>
      <c r="K12" s="6">
        <v>0</v>
      </c>
      <c r="L12" s="6">
        <v>0</v>
      </c>
      <c r="M12" s="2">
        <v>14</v>
      </c>
      <c r="N12" s="2">
        <v>0</v>
      </c>
      <c r="P12" s="55"/>
    </row>
    <row r="13" spans="1:16" x14ac:dyDescent="0.25">
      <c r="A13" s="27">
        <v>11</v>
      </c>
      <c r="B13" s="35" t="s">
        <v>188</v>
      </c>
      <c r="C13" s="6">
        <v>36</v>
      </c>
      <c r="D13" s="6">
        <v>15</v>
      </c>
      <c r="E13" s="4">
        <v>6</v>
      </c>
      <c r="F13" s="4">
        <v>0</v>
      </c>
      <c r="G13" s="6">
        <v>2</v>
      </c>
      <c r="H13" s="6">
        <v>0</v>
      </c>
      <c r="I13" s="4">
        <v>1</v>
      </c>
      <c r="J13" s="4">
        <v>0</v>
      </c>
      <c r="K13" s="6">
        <v>0</v>
      </c>
      <c r="L13" s="6">
        <v>0</v>
      </c>
      <c r="M13" s="2">
        <v>45</v>
      </c>
      <c r="N13" s="2">
        <v>15</v>
      </c>
      <c r="P13" s="55"/>
    </row>
    <row r="14" spans="1:16" x14ac:dyDescent="0.25">
      <c r="A14" s="27">
        <v>12</v>
      </c>
      <c r="B14" s="35" t="s">
        <v>196</v>
      </c>
      <c r="C14" s="6">
        <v>27</v>
      </c>
      <c r="D14" s="6">
        <v>2</v>
      </c>
      <c r="E14" s="4">
        <v>4</v>
      </c>
      <c r="F14" s="4">
        <v>1</v>
      </c>
      <c r="G14" s="6">
        <v>1</v>
      </c>
      <c r="H14" s="6">
        <v>0</v>
      </c>
      <c r="I14" s="4">
        <v>1</v>
      </c>
      <c r="J14" s="4">
        <v>0</v>
      </c>
      <c r="K14" s="6">
        <v>0</v>
      </c>
      <c r="L14" s="6">
        <v>0</v>
      </c>
      <c r="M14" s="2">
        <v>33</v>
      </c>
      <c r="N14" s="2">
        <v>3</v>
      </c>
      <c r="P14" s="55"/>
    </row>
    <row r="15" spans="1:16" x14ac:dyDescent="0.25">
      <c r="A15" s="27">
        <v>13</v>
      </c>
      <c r="B15" s="23" t="s">
        <v>205</v>
      </c>
      <c r="C15" s="6">
        <v>0</v>
      </c>
      <c r="D15" s="6">
        <v>0</v>
      </c>
      <c r="E15" s="4">
        <v>0</v>
      </c>
      <c r="F15" s="4">
        <v>0</v>
      </c>
      <c r="G15" s="6">
        <v>0</v>
      </c>
      <c r="H15" s="6">
        <v>0</v>
      </c>
      <c r="I15" s="4">
        <v>0</v>
      </c>
      <c r="J15" s="4">
        <v>0</v>
      </c>
      <c r="K15" s="6">
        <v>0</v>
      </c>
      <c r="L15" s="6">
        <v>0</v>
      </c>
      <c r="M15" s="2">
        <v>0</v>
      </c>
      <c r="N15" s="2">
        <v>0</v>
      </c>
      <c r="P15" s="55"/>
    </row>
    <row r="16" spans="1:16" x14ac:dyDescent="0.25">
      <c r="A16" s="28">
        <v>14</v>
      </c>
      <c r="B16" s="37" t="s">
        <v>123</v>
      </c>
      <c r="C16" s="6">
        <v>29</v>
      </c>
      <c r="D16" s="6">
        <v>4</v>
      </c>
      <c r="E16" s="4">
        <v>6</v>
      </c>
      <c r="F16" s="4">
        <v>2</v>
      </c>
      <c r="G16" s="6">
        <v>2</v>
      </c>
      <c r="H16" s="6">
        <v>2</v>
      </c>
      <c r="I16" s="4">
        <v>1</v>
      </c>
      <c r="J16" s="4">
        <v>1</v>
      </c>
      <c r="K16" s="6">
        <v>0</v>
      </c>
      <c r="L16" s="6">
        <v>0</v>
      </c>
      <c r="M16" s="2">
        <v>39</v>
      </c>
      <c r="N16" s="2">
        <v>9</v>
      </c>
      <c r="P16" s="55"/>
    </row>
    <row r="17" spans="1:16" x14ac:dyDescent="0.25">
      <c r="A17" s="27">
        <v>15</v>
      </c>
      <c r="B17" s="23" t="s">
        <v>43</v>
      </c>
      <c r="C17" s="6">
        <v>0</v>
      </c>
      <c r="D17" s="6">
        <v>0</v>
      </c>
      <c r="E17" s="4">
        <v>0</v>
      </c>
      <c r="F17" s="4">
        <v>0</v>
      </c>
      <c r="G17" s="6">
        <v>0</v>
      </c>
      <c r="H17" s="6">
        <v>0</v>
      </c>
      <c r="I17" s="4">
        <v>0</v>
      </c>
      <c r="J17" s="4">
        <v>0</v>
      </c>
      <c r="K17" s="6">
        <v>0</v>
      </c>
      <c r="L17" s="6">
        <v>0</v>
      </c>
      <c r="M17" s="2">
        <v>0</v>
      </c>
      <c r="N17" s="2">
        <v>0</v>
      </c>
      <c r="P17" s="55"/>
    </row>
    <row r="18" spans="1:16" x14ac:dyDescent="0.25">
      <c r="A18" s="27">
        <v>15</v>
      </c>
      <c r="B18" s="37" t="s">
        <v>273</v>
      </c>
      <c r="C18" s="6">
        <v>7</v>
      </c>
      <c r="D18" s="6">
        <v>1</v>
      </c>
      <c r="E18" s="4">
        <v>1</v>
      </c>
      <c r="F18" s="4">
        <v>0</v>
      </c>
      <c r="G18" s="6">
        <v>0</v>
      </c>
      <c r="H18" s="6">
        <v>0</v>
      </c>
      <c r="I18" s="4">
        <v>0</v>
      </c>
      <c r="J18" s="4">
        <v>0</v>
      </c>
      <c r="K18" s="6">
        <v>0</v>
      </c>
      <c r="L18" s="6">
        <v>0</v>
      </c>
      <c r="M18" s="2">
        <v>8</v>
      </c>
      <c r="N18" s="2">
        <v>1</v>
      </c>
      <c r="P18" s="55"/>
    </row>
    <row r="19" spans="1:16" x14ac:dyDescent="0.25">
      <c r="A19" s="27">
        <v>16</v>
      </c>
      <c r="B19" s="37" t="s">
        <v>103</v>
      </c>
      <c r="C19" s="6">
        <v>14</v>
      </c>
      <c r="D19" s="6">
        <v>1</v>
      </c>
      <c r="E19" s="4">
        <v>7</v>
      </c>
      <c r="F19" s="4">
        <v>1</v>
      </c>
      <c r="G19" s="6">
        <v>2</v>
      </c>
      <c r="H19" s="6">
        <v>0</v>
      </c>
      <c r="I19" s="4">
        <v>1</v>
      </c>
      <c r="J19" s="4">
        <v>0</v>
      </c>
      <c r="K19" s="6">
        <v>0</v>
      </c>
      <c r="L19" s="6">
        <v>0</v>
      </c>
      <c r="M19" s="2">
        <v>24</v>
      </c>
      <c r="N19" s="2">
        <v>2</v>
      </c>
      <c r="P19" s="55"/>
    </row>
    <row r="20" spans="1:16" x14ac:dyDescent="0.25">
      <c r="A20" s="27">
        <v>17</v>
      </c>
      <c r="B20" s="23" t="s">
        <v>192</v>
      </c>
      <c r="C20" s="6">
        <v>2</v>
      </c>
      <c r="D20" s="6">
        <v>0</v>
      </c>
      <c r="E20" s="4">
        <v>1</v>
      </c>
      <c r="F20" s="4">
        <v>0</v>
      </c>
      <c r="G20" s="6">
        <v>0</v>
      </c>
      <c r="H20" s="6">
        <v>0</v>
      </c>
      <c r="I20" s="4">
        <v>1</v>
      </c>
      <c r="J20" s="4">
        <v>0</v>
      </c>
      <c r="K20" s="6">
        <v>0</v>
      </c>
      <c r="L20" s="6">
        <v>0</v>
      </c>
      <c r="M20" s="2">
        <v>4</v>
      </c>
      <c r="N20" s="2">
        <v>0</v>
      </c>
      <c r="P20" s="55"/>
    </row>
    <row r="21" spans="1:16" x14ac:dyDescent="0.25">
      <c r="A21" s="27">
        <v>18</v>
      </c>
      <c r="B21" s="37" t="s">
        <v>225</v>
      </c>
      <c r="C21" s="6">
        <v>21</v>
      </c>
      <c r="D21" s="6">
        <v>0</v>
      </c>
      <c r="E21" s="4">
        <v>7</v>
      </c>
      <c r="F21" s="4">
        <v>1</v>
      </c>
      <c r="G21" s="6">
        <v>2</v>
      </c>
      <c r="H21" s="6">
        <v>0</v>
      </c>
      <c r="I21" s="4">
        <v>0</v>
      </c>
      <c r="J21" s="4">
        <v>0</v>
      </c>
      <c r="K21" s="6">
        <v>0</v>
      </c>
      <c r="L21" s="6">
        <v>0</v>
      </c>
      <c r="M21" s="2">
        <v>30</v>
      </c>
      <c r="N21" s="2">
        <v>1</v>
      </c>
      <c r="P21" s="55"/>
    </row>
    <row r="22" spans="1:16" x14ac:dyDescent="0.25">
      <c r="A22" s="27">
        <v>19</v>
      </c>
      <c r="B22" s="23" t="s">
        <v>189</v>
      </c>
      <c r="C22" s="6">
        <v>0</v>
      </c>
      <c r="D22" s="6">
        <v>0</v>
      </c>
      <c r="E22" s="4">
        <v>0</v>
      </c>
      <c r="F22" s="4">
        <v>0</v>
      </c>
      <c r="G22" s="6">
        <v>0</v>
      </c>
      <c r="H22" s="6">
        <v>0</v>
      </c>
      <c r="I22" s="4">
        <v>0</v>
      </c>
      <c r="J22" s="4">
        <v>0</v>
      </c>
      <c r="K22" s="6">
        <v>0</v>
      </c>
      <c r="L22" s="6">
        <v>0</v>
      </c>
      <c r="M22" s="2">
        <v>0</v>
      </c>
      <c r="N22" s="2">
        <v>0</v>
      </c>
      <c r="P22" s="55"/>
    </row>
    <row r="23" spans="1:16" x14ac:dyDescent="0.25">
      <c r="A23" s="27">
        <v>19</v>
      </c>
      <c r="B23" s="37" t="s">
        <v>271</v>
      </c>
      <c r="C23" s="6">
        <v>20</v>
      </c>
      <c r="D23" s="6">
        <v>1</v>
      </c>
      <c r="E23" s="4">
        <v>1</v>
      </c>
      <c r="F23" s="4">
        <v>0</v>
      </c>
      <c r="G23" s="6">
        <v>1</v>
      </c>
      <c r="H23" s="6">
        <v>0</v>
      </c>
      <c r="I23" s="4">
        <v>0</v>
      </c>
      <c r="J23" s="4">
        <v>0</v>
      </c>
      <c r="K23" s="6">
        <v>0</v>
      </c>
      <c r="L23" s="6">
        <v>0</v>
      </c>
      <c r="M23" s="2">
        <v>22</v>
      </c>
      <c r="N23" s="2">
        <v>1</v>
      </c>
      <c r="P23" s="55"/>
    </row>
    <row r="24" spans="1:16" x14ac:dyDescent="0.25">
      <c r="A24" s="27">
        <v>20</v>
      </c>
      <c r="B24" s="23" t="s">
        <v>222</v>
      </c>
      <c r="C24" s="6">
        <v>0</v>
      </c>
      <c r="D24" s="6">
        <v>0</v>
      </c>
      <c r="E24" s="4">
        <v>0</v>
      </c>
      <c r="F24" s="4">
        <v>0</v>
      </c>
      <c r="G24" s="6">
        <v>0</v>
      </c>
      <c r="H24" s="6">
        <v>0</v>
      </c>
      <c r="I24" s="4">
        <v>0</v>
      </c>
      <c r="J24" s="4">
        <v>0</v>
      </c>
      <c r="K24" s="6">
        <v>0</v>
      </c>
      <c r="L24" s="6">
        <v>0</v>
      </c>
      <c r="M24" s="2">
        <v>0</v>
      </c>
      <c r="N24" s="2">
        <v>0</v>
      </c>
      <c r="P24" s="55"/>
    </row>
    <row r="25" spans="1:16" x14ac:dyDescent="0.25">
      <c r="A25" s="27">
        <v>20</v>
      </c>
      <c r="B25" s="37" t="s">
        <v>272</v>
      </c>
      <c r="C25" s="6">
        <v>14</v>
      </c>
      <c r="D25" s="6">
        <v>0</v>
      </c>
      <c r="E25" s="4">
        <v>2</v>
      </c>
      <c r="F25" s="4">
        <v>0</v>
      </c>
      <c r="G25" s="6">
        <v>0</v>
      </c>
      <c r="H25" s="6">
        <v>0</v>
      </c>
      <c r="I25" s="4">
        <v>0</v>
      </c>
      <c r="J25" s="4">
        <v>0</v>
      </c>
      <c r="K25" s="6">
        <v>0</v>
      </c>
      <c r="L25" s="6">
        <v>0</v>
      </c>
      <c r="M25" s="2">
        <v>16</v>
      </c>
      <c r="N25" s="2">
        <v>0</v>
      </c>
      <c r="P25" s="55"/>
    </row>
    <row r="26" spans="1:16" x14ac:dyDescent="0.25">
      <c r="A26" s="27">
        <v>21</v>
      </c>
      <c r="B26" s="37" t="s">
        <v>258</v>
      </c>
      <c r="C26" s="6">
        <v>22</v>
      </c>
      <c r="D26" s="6">
        <v>1</v>
      </c>
      <c r="E26" s="4">
        <v>8</v>
      </c>
      <c r="F26" s="4">
        <v>1</v>
      </c>
      <c r="G26" s="6">
        <v>2</v>
      </c>
      <c r="H26" s="6">
        <v>0</v>
      </c>
      <c r="I26" s="4">
        <v>1</v>
      </c>
      <c r="J26" s="4">
        <v>0</v>
      </c>
      <c r="K26" s="6">
        <v>0</v>
      </c>
      <c r="L26" s="6">
        <v>0</v>
      </c>
      <c r="M26" s="2">
        <v>33</v>
      </c>
      <c r="N26" s="2">
        <v>2</v>
      </c>
    </row>
    <row r="27" spans="1:16" x14ac:dyDescent="0.25">
      <c r="A27" s="27">
        <v>22</v>
      </c>
      <c r="B27" s="23" t="s">
        <v>193</v>
      </c>
      <c r="C27" s="6">
        <v>0</v>
      </c>
      <c r="D27" s="6">
        <v>0</v>
      </c>
      <c r="E27" s="4">
        <v>0</v>
      </c>
      <c r="F27" s="4">
        <v>0</v>
      </c>
      <c r="G27" s="6">
        <v>0</v>
      </c>
      <c r="H27" s="6">
        <v>0</v>
      </c>
      <c r="I27" s="4">
        <v>0</v>
      </c>
      <c r="J27" s="4">
        <v>0</v>
      </c>
      <c r="K27" s="6">
        <v>0</v>
      </c>
      <c r="L27" s="6">
        <v>0</v>
      </c>
      <c r="M27" s="2">
        <v>0</v>
      </c>
      <c r="N27" s="2">
        <v>0</v>
      </c>
      <c r="P27" s="55"/>
    </row>
    <row r="28" spans="1:16" x14ac:dyDescent="0.25">
      <c r="A28" s="28">
        <v>23</v>
      </c>
      <c r="B28" s="37" t="s">
        <v>223</v>
      </c>
      <c r="C28" s="6">
        <v>6</v>
      </c>
      <c r="D28" s="6">
        <v>0</v>
      </c>
      <c r="E28" s="4">
        <v>6</v>
      </c>
      <c r="F28" s="4">
        <v>0</v>
      </c>
      <c r="G28" s="6">
        <v>2</v>
      </c>
      <c r="H28" s="6">
        <v>0</v>
      </c>
      <c r="I28" s="4">
        <v>1</v>
      </c>
      <c r="J28" s="4">
        <v>0</v>
      </c>
      <c r="K28" s="6">
        <v>0</v>
      </c>
      <c r="L28" s="6">
        <v>0</v>
      </c>
      <c r="M28" s="2">
        <v>15</v>
      </c>
      <c r="N28" s="2">
        <v>0</v>
      </c>
    </row>
    <row r="29" spans="1:16" x14ac:dyDescent="0.25">
      <c r="A29" s="28">
        <v>24</v>
      </c>
      <c r="B29" s="37" t="s">
        <v>115</v>
      </c>
      <c r="C29" s="6">
        <v>11</v>
      </c>
      <c r="D29" s="6">
        <v>3</v>
      </c>
      <c r="E29" s="4">
        <v>6</v>
      </c>
      <c r="F29" s="4">
        <v>0</v>
      </c>
      <c r="G29" s="6">
        <v>0</v>
      </c>
      <c r="H29" s="6">
        <v>0</v>
      </c>
      <c r="I29" s="4">
        <v>1</v>
      </c>
      <c r="J29" s="4">
        <v>0</v>
      </c>
      <c r="K29" s="6">
        <v>0</v>
      </c>
      <c r="L29" s="6">
        <v>0</v>
      </c>
      <c r="M29" s="2">
        <v>18</v>
      </c>
      <c r="N29" s="2">
        <v>3</v>
      </c>
      <c r="P29" s="55"/>
    </row>
    <row r="30" spans="1:16" x14ac:dyDescent="0.25">
      <c r="A30" s="27">
        <v>25</v>
      </c>
      <c r="B30" s="37" t="s">
        <v>100</v>
      </c>
      <c r="C30" s="6">
        <v>5</v>
      </c>
      <c r="D30" s="6">
        <v>0</v>
      </c>
      <c r="E30" s="4">
        <v>1</v>
      </c>
      <c r="F30" s="4">
        <v>0</v>
      </c>
      <c r="G30" s="6">
        <v>1</v>
      </c>
      <c r="H30" s="6">
        <v>1</v>
      </c>
      <c r="I30" s="4">
        <v>1</v>
      </c>
      <c r="J30" s="4">
        <v>0</v>
      </c>
      <c r="K30" s="6">
        <v>0</v>
      </c>
      <c r="L30" s="6">
        <v>0</v>
      </c>
      <c r="M30" s="2">
        <v>8</v>
      </c>
      <c r="N30" s="2">
        <v>1</v>
      </c>
    </row>
    <row r="31" spans="1:16" x14ac:dyDescent="0.25">
      <c r="A31" s="28">
        <v>26</v>
      </c>
      <c r="B31" s="23" t="s">
        <v>206</v>
      </c>
      <c r="C31" s="6">
        <v>0</v>
      </c>
      <c r="D31" s="6">
        <v>0</v>
      </c>
      <c r="E31" s="4">
        <v>0</v>
      </c>
      <c r="F31" s="4">
        <v>0</v>
      </c>
      <c r="G31" s="6">
        <v>0</v>
      </c>
      <c r="H31" s="6">
        <v>0</v>
      </c>
      <c r="I31" s="4">
        <v>0</v>
      </c>
      <c r="J31" s="4">
        <v>0</v>
      </c>
      <c r="K31" s="6">
        <v>0</v>
      </c>
      <c r="L31" s="6">
        <v>0</v>
      </c>
      <c r="M31" s="2">
        <v>0</v>
      </c>
      <c r="N31" s="2">
        <v>0</v>
      </c>
    </row>
    <row r="32" spans="1:16" x14ac:dyDescent="0.25">
      <c r="A32" s="28">
        <v>27</v>
      </c>
      <c r="B32" s="37" t="s">
        <v>262</v>
      </c>
      <c r="C32" s="6">
        <v>1</v>
      </c>
      <c r="D32" s="6">
        <v>0</v>
      </c>
      <c r="E32" s="4">
        <v>3</v>
      </c>
      <c r="F32" s="4">
        <v>1</v>
      </c>
      <c r="G32" s="6">
        <v>1</v>
      </c>
      <c r="H32" s="6">
        <v>0</v>
      </c>
      <c r="I32" s="4">
        <v>1</v>
      </c>
      <c r="J32" s="4">
        <v>0</v>
      </c>
      <c r="K32" s="6">
        <v>0</v>
      </c>
      <c r="L32" s="6">
        <v>0</v>
      </c>
      <c r="M32" s="2">
        <v>6</v>
      </c>
      <c r="N32" s="2">
        <v>1</v>
      </c>
    </row>
    <row r="33" spans="1:16" x14ac:dyDescent="0.25">
      <c r="A33" s="28">
        <v>30</v>
      </c>
      <c r="B33" s="37" t="s">
        <v>260</v>
      </c>
      <c r="C33" s="6">
        <v>0</v>
      </c>
      <c r="D33" s="6">
        <v>0</v>
      </c>
      <c r="E33" s="4">
        <v>5</v>
      </c>
      <c r="F33" s="4">
        <v>0</v>
      </c>
      <c r="G33" s="6">
        <v>2</v>
      </c>
      <c r="H33" s="6">
        <v>0</v>
      </c>
      <c r="I33" s="4">
        <v>0</v>
      </c>
      <c r="J33" s="4">
        <v>0</v>
      </c>
      <c r="K33" s="6">
        <v>0</v>
      </c>
      <c r="L33" s="6">
        <v>0</v>
      </c>
      <c r="M33" s="2">
        <v>7</v>
      </c>
      <c r="N33" s="2">
        <v>0</v>
      </c>
      <c r="P33" s="55"/>
    </row>
    <row r="34" spans="1:16" x14ac:dyDescent="0.25">
      <c r="A34" s="28">
        <v>31</v>
      </c>
      <c r="B34" s="37" t="s">
        <v>270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6">
        <v>0</v>
      </c>
      <c r="I34" s="4">
        <v>1</v>
      </c>
      <c r="J34" s="4">
        <v>0</v>
      </c>
      <c r="K34" s="6">
        <v>0</v>
      </c>
      <c r="L34" s="6">
        <v>0</v>
      </c>
      <c r="M34" s="2">
        <v>1</v>
      </c>
      <c r="N34" s="2">
        <v>0</v>
      </c>
      <c r="P34" s="55"/>
    </row>
    <row r="35" spans="1:16" x14ac:dyDescent="0.25">
      <c r="A35" s="27">
        <v>33</v>
      </c>
      <c r="B35" s="23" t="s">
        <v>221</v>
      </c>
      <c r="C35" s="6">
        <v>0</v>
      </c>
      <c r="D35" s="6">
        <v>0</v>
      </c>
      <c r="E35" s="4">
        <v>0</v>
      </c>
      <c r="F35" s="4">
        <v>0</v>
      </c>
      <c r="G35" s="6">
        <v>0</v>
      </c>
      <c r="H35" s="6">
        <v>0</v>
      </c>
      <c r="I35" s="4">
        <v>0</v>
      </c>
      <c r="J35" s="4">
        <v>0</v>
      </c>
      <c r="K35" s="6">
        <v>0</v>
      </c>
      <c r="L35" s="6">
        <v>0</v>
      </c>
      <c r="M35" s="2">
        <v>0</v>
      </c>
      <c r="N35" s="2">
        <v>0</v>
      </c>
      <c r="P35" s="55"/>
    </row>
    <row r="36" spans="1:16" x14ac:dyDescent="0.25">
      <c r="A36" s="27">
        <v>34</v>
      </c>
      <c r="B36" s="37" t="s">
        <v>104</v>
      </c>
      <c r="C36" s="6">
        <v>37</v>
      </c>
      <c r="D36" s="6">
        <v>7</v>
      </c>
      <c r="E36" s="4">
        <v>7</v>
      </c>
      <c r="F36" s="4">
        <v>2</v>
      </c>
      <c r="G36" s="6">
        <v>2</v>
      </c>
      <c r="H36" s="6">
        <v>0</v>
      </c>
      <c r="I36" s="4">
        <v>1</v>
      </c>
      <c r="J36" s="4">
        <v>0</v>
      </c>
      <c r="K36" s="6">
        <v>0</v>
      </c>
      <c r="L36" s="6">
        <v>0</v>
      </c>
      <c r="M36" s="2">
        <v>47</v>
      </c>
      <c r="N36" s="2">
        <v>9</v>
      </c>
      <c r="P36" s="55"/>
    </row>
    <row r="37" spans="1:16" x14ac:dyDescent="0.25">
      <c r="A37" s="27">
        <v>35</v>
      </c>
      <c r="B37" s="35" t="s">
        <v>261</v>
      </c>
      <c r="C37" s="6">
        <v>28</v>
      </c>
      <c r="D37" s="6">
        <v>1</v>
      </c>
      <c r="E37" s="4">
        <v>3</v>
      </c>
      <c r="F37" s="4">
        <v>0</v>
      </c>
      <c r="G37" s="6">
        <v>2</v>
      </c>
      <c r="H37" s="6">
        <v>0</v>
      </c>
      <c r="I37" s="4">
        <v>1</v>
      </c>
      <c r="J37" s="4">
        <v>0</v>
      </c>
      <c r="K37" s="6">
        <v>0</v>
      </c>
      <c r="L37" s="6">
        <v>0</v>
      </c>
      <c r="M37" s="2">
        <v>34</v>
      </c>
      <c r="N37" s="2">
        <v>1</v>
      </c>
      <c r="P37" s="55"/>
    </row>
    <row r="38" spans="1:16" x14ac:dyDescent="0.25">
      <c r="A38" s="27">
        <v>41</v>
      </c>
      <c r="B38" s="35" t="s">
        <v>207</v>
      </c>
      <c r="C38" s="6">
        <v>0</v>
      </c>
      <c r="D38" s="6">
        <v>0</v>
      </c>
      <c r="E38" s="4">
        <v>0</v>
      </c>
      <c r="F38" s="4">
        <v>0</v>
      </c>
      <c r="G38" s="6">
        <v>0</v>
      </c>
      <c r="H38" s="6">
        <v>0</v>
      </c>
      <c r="I38" s="4">
        <v>0</v>
      </c>
      <c r="J38" s="4">
        <v>0</v>
      </c>
      <c r="K38" s="6">
        <v>0</v>
      </c>
      <c r="L38" s="6">
        <v>0</v>
      </c>
      <c r="M38" s="2">
        <v>0</v>
      </c>
      <c r="N38" s="2">
        <v>0</v>
      </c>
    </row>
    <row r="39" spans="1:16" x14ac:dyDescent="0.25">
      <c r="A39" s="28">
        <v>66</v>
      </c>
      <c r="B39" s="40" t="s">
        <v>208</v>
      </c>
      <c r="C39" s="6">
        <v>0</v>
      </c>
      <c r="D39" s="6">
        <v>0</v>
      </c>
      <c r="E39" s="4">
        <v>0</v>
      </c>
      <c r="F39" s="4">
        <v>0</v>
      </c>
      <c r="G39" s="6">
        <v>0</v>
      </c>
      <c r="H39" s="6">
        <v>0</v>
      </c>
      <c r="I39" s="4">
        <v>0</v>
      </c>
      <c r="J39" s="4">
        <v>0</v>
      </c>
      <c r="K39" s="6">
        <v>0</v>
      </c>
      <c r="L39" s="6">
        <v>0</v>
      </c>
      <c r="M39" s="2">
        <v>0</v>
      </c>
      <c r="N39" s="2">
        <v>0</v>
      </c>
    </row>
    <row r="40" spans="1:16" x14ac:dyDescent="0.25">
      <c r="A40" s="28">
        <v>83</v>
      </c>
      <c r="B40" s="40" t="s">
        <v>263</v>
      </c>
      <c r="C40" s="6">
        <v>1</v>
      </c>
      <c r="D40" s="6">
        <v>0</v>
      </c>
      <c r="E40" s="4">
        <v>0</v>
      </c>
      <c r="F40" s="4">
        <v>0</v>
      </c>
      <c r="G40" s="6">
        <v>0</v>
      </c>
      <c r="H40" s="6">
        <v>0</v>
      </c>
      <c r="I40" s="4">
        <v>0</v>
      </c>
      <c r="J40" s="4">
        <v>0</v>
      </c>
      <c r="K40" s="6">
        <v>0</v>
      </c>
      <c r="L40" s="6">
        <v>0</v>
      </c>
      <c r="M40" s="2">
        <v>1</v>
      </c>
      <c r="N40" s="2">
        <v>0</v>
      </c>
    </row>
    <row r="41" spans="1:16" x14ac:dyDescent="0.25">
      <c r="A41" s="28">
        <v>87</v>
      </c>
      <c r="B41" s="23" t="s">
        <v>226</v>
      </c>
      <c r="C41" s="6">
        <v>0</v>
      </c>
      <c r="D41" s="6">
        <v>0</v>
      </c>
      <c r="E41" s="4">
        <v>0</v>
      </c>
      <c r="F41" s="4">
        <v>0</v>
      </c>
      <c r="G41" s="6">
        <v>0</v>
      </c>
      <c r="H41" s="6">
        <v>0</v>
      </c>
      <c r="I41" s="4">
        <v>0</v>
      </c>
      <c r="J41" s="4">
        <v>0</v>
      </c>
      <c r="K41" s="6">
        <v>0</v>
      </c>
      <c r="L41" s="6">
        <v>0</v>
      </c>
      <c r="M41" s="2">
        <v>0</v>
      </c>
      <c r="N41" s="2">
        <v>0</v>
      </c>
    </row>
  </sheetData>
  <autoFilter ref="A3:N31" xr:uid="{00000000-0009-0000-0000-000002000000}">
    <sortState xmlns:xlrd2="http://schemas.microsoft.com/office/spreadsheetml/2017/richdata2" ref="A4:N33">
      <sortCondition ref="A3:A31"/>
    </sortState>
  </autoFilter>
  <mergeCells count="6">
    <mergeCell ref="M2:N2"/>
    <mergeCell ref="C2:D2"/>
    <mergeCell ref="E2:F2"/>
    <mergeCell ref="G2:H2"/>
    <mergeCell ref="I2:J2"/>
    <mergeCell ref="K2:L2"/>
  </mergeCells>
  <conditionalFormatting sqref="M4:N41">
    <cfRule type="cellIs" dxfId="28" priority="1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EB1E-7CE6-4519-8853-BB517323FD1B}">
  <dimension ref="A1:P38"/>
  <sheetViews>
    <sheetView zoomScale="85" zoomScaleNormal="85" zoomScalePageLayoutView="110" workbookViewId="0">
      <selection activeCell="F41" sqref="F41"/>
    </sheetView>
  </sheetViews>
  <sheetFormatPr defaultColWidth="8.85546875" defaultRowHeight="15" x14ac:dyDescent="0.25"/>
  <cols>
    <col min="1" max="1" width="3.42578125" customWidth="1"/>
    <col min="2" max="2" width="25.7109375" customWidth="1"/>
    <col min="4" max="4" width="8.7109375" customWidth="1"/>
    <col min="11" max="12" width="8.85546875" customWidth="1"/>
  </cols>
  <sheetData>
    <row r="1" spans="1:16" x14ac:dyDescent="0.25">
      <c r="A1" s="1" t="s">
        <v>0</v>
      </c>
      <c r="B1" s="1"/>
      <c r="C1" s="1"/>
      <c r="D1" s="1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5">
      <c r="A2" s="3"/>
      <c r="B2" s="5"/>
      <c r="C2" s="206" t="s">
        <v>4</v>
      </c>
      <c r="D2" s="206"/>
      <c r="E2" s="207" t="s">
        <v>120</v>
      </c>
      <c r="F2" s="207"/>
      <c r="G2" s="206" t="s">
        <v>108</v>
      </c>
      <c r="H2" s="206"/>
      <c r="I2" s="207" t="s">
        <v>110</v>
      </c>
      <c r="J2" s="207"/>
      <c r="K2" s="206" t="s">
        <v>39</v>
      </c>
      <c r="L2" s="206"/>
      <c r="M2" s="211" t="s">
        <v>7</v>
      </c>
      <c r="N2" s="211"/>
    </row>
    <row r="3" spans="1:16" x14ac:dyDescent="0.25">
      <c r="A3" s="3" t="s">
        <v>48</v>
      </c>
      <c r="B3" s="5" t="s">
        <v>1</v>
      </c>
      <c r="C3" s="5" t="s">
        <v>2</v>
      </c>
      <c r="D3" s="5" t="s">
        <v>3</v>
      </c>
      <c r="E3" s="3" t="s">
        <v>2</v>
      </c>
      <c r="F3" s="3" t="s">
        <v>3</v>
      </c>
      <c r="G3" s="5" t="s">
        <v>5</v>
      </c>
      <c r="H3" s="5" t="s">
        <v>3</v>
      </c>
      <c r="I3" s="3" t="s">
        <v>2</v>
      </c>
      <c r="J3" s="3" t="s">
        <v>3</v>
      </c>
      <c r="K3" s="5" t="s">
        <v>2</v>
      </c>
      <c r="L3" s="5" t="s">
        <v>3</v>
      </c>
      <c r="M3" s="8" t="s">
        <v>2</v>
      </c>
      <c r="N3" s="8" t="s">
        <v>3</v>
      </c>
    </row>
    <row r="4" spans="1:16" x14ac:dyDescent="0.25">
      <c r="A4" s="28">
        <v>1</v>
      </c>
      <c r="B4" s="37" t="s">
        <v>224</v>
      </c>
      <c r="C4" s="6">
        <v>6</v>
      </c>
      <c r="D4" s="6">
        <v>0</v>
      </c>
      <c r="E4" s="4">
        <v>1</v>
      </c>
      <c r="F4" s="4">
        <v>0</v>
      </c>
      <c r="G4" s="6">
        <v>1</v>
      </c>
      <c r="H4" s="6">
        <v>0</v>
      </c>
      <c r="I4" s="4">
        <v>2</v>
      </c>
      <c r="J4" s="4">
        <v>0</v>
      </c>
      <c r="K4" s="6">
        <v>1</v>
      </c>
      <c r="L4" s="6">
        <v>0</v>
      </c>
      <c r="M4" s="2">
        <v>11</v>
      </c>
      <c r="N4" s="2">
        <v>0</v>
      </c>
      <c r="P4" s="55"/>
    </row>
    <row r="5" spans="1:16" x14ac:dyDescent="0.25">
      <c r="A5" s="27">
        <v>2</v>
      </c>
      <c r="B5" s="35" t="s">
        <v>196</v>
      </c>
      <c r="C5" s="6">
        <v>38</v>
      </c>
      <c r="D5" s="6">
        <v>2</v>
      </c>
      <c r="E5" s="4">
        <v>10</v>
      </c>
      <c r="F5" s="4">
        <v>0</v>
      </c>
      <c r="G5" s="6">
        <v>1</v>
      </c>
      <c r="H5" s="6">
        <v>0</v>
      </c>
      <c r="I5" s="4">
        <v>0</v>
      </c>
      <c r="J5" s="4">
        <v>0</v>
      </c>
      <c r="K5" s="6">
        <v>1</v>
      </c>
      <c r="L5" s="6">
        <v>0</v>
      </c>
      <c r="M5" s="2">
        <v>50</v>
      </c>
      <c r="N5" s="2">
        <v>2</v>
      </c>
      <c r="P5" s="55"/>
    </row>
    <row r="6" spans="1:16" x14ac:dyDescent="0.25">
      <c r="A6" s="28">
        <v>3</v>
      </c>
      <c r="B6" s="23" t="s">
        <v>191</v>
      </c>
      <c r="C6" s="6">
        <v>0</v>
      </c>
      <c r="D6" s="6">
        <v>0</v>
      </c>
      <c r="E6" s="4">
        <v>0</v>
      </c>
      <c r="F6" s="4">
        <v>0</v>
      </c>
      <c r="G6" s="6">
        <v>0</v>
      </c>
      <c r="H6" s="6">
        <v>0</v>
      </c>
      <c r="I6" s="4">
        <v>0</v>
      </c>
      <c r="J6" s="4">
        <v>0</v>
      </c>
      <c r="K6" s="6">
        <v>1</v>
      </c>
      <c r="L6" s="6">
        <v>0</v>
      </c>
      <c r="M6" s="2">
        <v>1</v>
      </c>
      <c r="N6" s="2">
        <v>0</v>
      </c>
      <c r="P6" s="55"/>
    </row>
    <row r="7" spans="1:16" x14ac:dyDescent="0.25">
      <c r="A7" s="27">
        <v>4</v>
      </c>
      <c r="B7" s="37" t="s">
        <v>220</v>
      </c>
      <c r="C7" s="6">
        <v>37</v>
      </c>
      <c r="D7" s="6">
        <v>4</v>
      </c>
      <c r="E7" s="4">
        <v>10</v>
      </c>
      <c r="F7" s="4">
        <v>0</v>
      </c>
      <c r="G7" s="6">
        <v>1</v>
      </c>
      <c r="H7" s="6">
        <v>0</v>
      </c>
      <c r="I7" s="4">
        <v>2</v>
      </c>
      <c r="J7" s="4">
        <v>0</v>
      </c>
      <c r="K7" s="6">
        <v>1</v>
      </c>
      <c r="L7" s="6">
        <v>0</v>
      </c>
      <c r="M7" s="2">
        <v>51</v>
      </c>
      <c r="N7" s="2">
        <v>4</v>
      </c>
      <c r="P7" s="55"/>
    </row>
    <row r="8" spans="1:16" x14ac:dyDescent="0.25">
      <c r="A8" s="27">
        <v>5</v>
      </c>
      <c r="B8" s="37" t="s">
        <v>204</v>
      </c>
      <c r="C8" s="6">
        <v>14</v>
      </c>
      <c r="D8" s="6">
        <v>0</v>
      </c>
      <c r="E8" s="4">
        <v>1</v>
      </c>
      <c r="F8" s="4">
        <v>0</v>
      </c>
      <c r="G8" s="6">
        <v>0</v>
      </c>
      <c r="H8" s="6">
        <v>0</v>
      </c>
      <c r="I8" s="4">
        <v>0</v>
      </c>
      <c r="J8" s="4">
        <v>0</v>
      </c>
      <c r="K8" s="6">
        <v>1</v>
      </c>
      <c r="L8" s="6">
        <v>0</v>
      </c>
      <c r="M8" s="2">
        <v>16</v>
      </c>
      <c r="N8" s="2">
        <v>0</v>
      </c>
      <c r="P8" s="55"/>
    </row>
    <row r="9" spans="1:16" x14ac:dyDescent="0.25">
      <c r="A9" s="27">
        <v>6</v>
      </c>
      <c r="B9" s="37" t="s">
        <v>198</v>
      </c>
      <c r="C9" s="6">
        <v>36</v>
      </c>
      <c r="D9" s="6">
        <v>4</v>
      </c>
      <c r="E9" s="4">
        <v>10</v>
      </c>
      <c r="F9" s="4">
        <v>0</v>
      </c>
      <c r="G9" s="6">
        <v>1</v>
      </c>
      <c r="H9" s="6">
        <v>0</v>
      </c>
      <c r="I9" s="4">
        <v>2</v>
      </c>
      <c r="J9" s="4">
        <v>0</v>
      </c>
      <c r="K9" s="6">
        <v>1</v>
      </c>
      <c r="L9" s="6">
        <v>0</v>
      </c>
      <c r="M9" s="2">
        <v>50</v>
      </c>
      <c r="N9" s="2">
        <v>4</v>
      </c>
      <c r="P9" s="55"/>
    </row>
    <row r="10" spans="1:16" x14ac:dyDescent="0.25">
      <c r="A10" s="27">
        <v>7</v>
      </c>
      <c r="B10" s="37" t="s">
        <v>180</v>
      </c>
      <c r="C10" s="6">
        <v>35</v>
      </c>
      <c r="D10" s="6">
        <v>16</v>
      </c>
      <c r="E10" s="4">
        <v>9</v>
      </c>
      <c r="F10" s="4">
        <v>4</v>
      </c>
      <c r="G10" s="6">
        <v>1</v>
      </c>
      <c r="H10" s="6">
        <v>0</v>
      </c>
      <c r="I10" s="4">
        <v>1</v>
      </c>
      <c r="J10" s="4">
        <v>0</v>
      </c>
      <c r="K10" s="6">
        <v>1</v>
      </c>
      <c r="L10" s="6">
        <v>0</v>
      </c>
      <c r="M10" s="2">
        <v>47</v>
      </c>
      <c r="N10" s="2">
        <v>20</v>
      </c>
      <c r="P10" s="55"/>
    </row>
    <row r="11" spans="1:16" x14ac:dyDescent="0.25">
      <c r="A11" s="27">
        <v>8</v>
      </c>
      <c r="B11" s="37" t="s">
        <v>218</v>
      </c>
      <c r="C11" s="6">
        <v>35</v>
      </c>
      <c r="D11" s="6">
        <v>8</v>
      </c>
      <c r="E11" s="4">
        <v>9</v>
      </c>
      <c r="F11" s="4">
        <v>2</v>
      </c>
      <c r="G11" s="6">
        <v>1</v>
      </c>
      <c r="H11" s="6">
        <v>0</v>
      </c>
      <c r="I11" s="4">
        <v>2</v>
      </c>
      <c r="J11" s="4">
        <v>1</v>
      </c>
      <c r="K11" s="6">
        <v>1</v>
      </c>
      <c r="L11" s="6">
        <v>0</v>
      </c>
      <c r="M11" s="2">
        <v>48</v>
      </c>
      <c r="N11" s="2">
        <v>11</v>
      </c>
      <c r="P11" s="55"/>
    </row>
    <row r="12" spans="1:16" x14ac:dyDescent="0.25">
      <c r="A12" s="27">
        <v>9</v>
      </c>
      <c r="B12" s="37" t="s">
        <v>259</v>
      </c>
      <c r="C12" s="6">
        <v>27</v>
      </c>
      <c r="D12" s="6">
        <v>4</v>
      </c>
      <c r="E12" s="4">
        <v>8</v>
      </c>
      <c r="F12" s="4">
        <v>4</v>
      </c>
      <c r="G12" s="6">
        <v>0</v>
      </c>
      <c r="H12" s="6">
        <v>0</v>
      </c>
      <c r="I12" s="4">
        <v>1</v>
      </c>
      <c r="J12" s="4">
        <v>0</v>
      </c>
      <c r="K12" s="6">
        <v>0</v>
      </c>
      <c r="L12" s="6">
        <v>0</v>
      </c>
      <c r="M12" s="2">
        <v>36</v>
      </c>
      <c r="N12" s="2">
        <v>8</v>
      </c>
      <c r="P12" s="55"/>
    </row>
    <row r="13" spans="1:16" x14ac:dyDescent="0.25">
      <c r="A13" s="27">
        <v>10</v>
      </c>
      <c r="B13" s="37" t="s">
        <v>174</v>
      </c>
      <c r="C13" s="6">
        <v>13</v>
      </c>
      <c r="D13" s="6">
        <v>0</v>
      </c>
      <c r="E13" s="4">
        <v>3</v>
      </c>
      <c r="F13" s="4">
        <v>0</v>
      </c>
      <c r="G13" s="6">
        <v>1</v>
      </c>
      <c r="H13" s="6">
        <v>0</v>
      </c>
      <c r="I13" s="4">
        <v>1</v>
      </c>
      <c r="J13" s="4">
        <v>0</v>
      </c>
      <c r="K13" s="6">
        <v>1</v>
      </c>
      <c r="L13" s="6">
        <v>0</v>
      </c>
      <c r="M13" s="2">
        <v>19</v>
      </c>
      <c r="N13" s="2">
        <v>0</v>
      </c>
      <c r="P13" s="55"/>
    </row>
    <row r="14" spans="1:16" x14ac:dyDescent="0.25">
      <c r="A14" s="27">
        <v>11</v>
      </c>
      <c r="B14" s="35" t="s">
        <v>188</v>
      </c>
      <c r="C14" s="6">
        <v>35</v>
      </c>
      <c r="D14" s="6">
        <v>6</v>
      </c>
      <c r="E14" s="4">
        <v>7</v>
      </c>
      <c r="F14" s="4">
        <v>2</v>
      </c>
      <c r="G14" s="6">
        <v>1</v>
      </c>
      <c r="H14" s="6">
        <v>0</v>
      </c>
      <c r="I14" s="4">
        <v>1</v>
      </c>
      <c r="J14" s="4">
        <v>0</v>
      </c>
      <c r="K14" s="6">
        <v>1</v>
      </c>
      <c r="L14" s="6">
        <v>0</v>
      </c>
      <c r="M14" s="2">
        <v>45</v>
      </c>
      <c r="N14" s="2">
        <v>8</v>
      </c>
      <c r="P14" s="55"/>
    </row>
    <row r="15" spans="1:16" x14ac:dyDescent="0.25">
      <c r="A15" s="27">
        <v>12</v>
      </c>
      <c r="B15" s="35" t="s">
        <v>276</v>
      </c>
      <c r="C15" s="6">
        <v>2</v>
      </c>
      <c r="D15" s="6">
        <v>0</v>
      </c>
      <c r="E15" s="4">
        <v>0</v>
      </c>
      <c r="F15" s="4">
        <v>0</v>
      </c>
      <c r="G15" s="6">
        <v>0</v>
      </c>
      <c r="H15" s="6">
        <v>0</v>
      </c>
      <c r="I15" s="4">
        <v>0</v>
      </c>
      <c r="J15" s="4">
        <v>0</v>
      </c>
      <c r="K15" s="6">
        <v>1</v>
      </c>
      <c r="L15" s="6">
        <v>0</v>
      </c>
      <c r="M15" s="2">
        <v>3</v>
      </c>
      <c r="N15" s="2">
        <v>0</v>
      </c>
      <c r="P15" s="55"/>
    </row>
    <row r="16" spans="1:16" x14ac:dyDescent="0.25">
      <c r="A16" s="28">
        <v>14</v>
      </c>
      <c r="B16" s="37" t="s">
        <v>123</v>
      </c>
      <c r="C16" s="6">
        <v>26</v>
      </c>
      <c r="D16" s="6">
        <v>5</v>
      </c>
      <c r="E16" s="4">
        <v>6</v>
      </c>
      <c r="F16" s="4">
        <v>1</v>
      </c>
      <c r="G16" s="6">
        <v>1</v>
      </c>
      <c r="H16" s="6">
        <v>0</v>
      </c>
      <c r="I16" s="4">
        <v>2</v>
      </c>
      <c r="J16" s="4">
        <v>0</v>
      </c>
      <c r="K16" s="6">
        <v>1</v>
      </c>
      <c r="L16" s="6">
        <v>0</v>
      </c>
      <c r="M16" s="2">
        <v>37</v>
      </c>
      <c r="N16" s="2">
        <v>6</v>
      </c>
      <c r="P16" s="55"/>
    </row>
    <row r="17" spans="1:16" x14ac:dyDescent="0.25">
      <c r="A17" s="27">
        <v>15</v>
      </c>
      <c r="B17" s="37" t="s">
        <v>273</v>
      </c>
      <c r="C17" s="6">
        <v>20</v>
      </c>
      <c r="D17" s="6">
        <v>1</v>
      </c>
      <c r="E17" s="4">
        <v>7</v>
      </c>
      <c r="F17" s="4">
        <v>0</v>
      </c>
      <c r="G17" s="6">
        <v>1</v>
      </c>
      <c r="H17" s="6">
        <v>0</v>
      </c>
      <c r="I17" s="4">
        <v>2</v>
      </c>
      <c r="J17" s="4">
        <v>0</v>
      </c>
      <c r="K17" s="6">
        <v>0</v>
      </c>
      <c r="L17" s="6">
        <v>0</v>
      </c>
      <c r="M17" s="2">
        <v>30</v>
      </c>
      <c r="N17" s="2">
        <v>1</v>
      </c>
      <c r="P17" s="55"/>
    </row>
    <row r="18" spans="1:16" x14ac:dyDescent="0.25">
      <c r="A18" s="27">
        <v>17</v>
      </c>
      <c r="B18" s="37" t="s">
        <v>192</v>
      </c>
      <c r="C18" s="6">
        <v>3</v>
      </c>
      <c r="D18" s="6">
        <v>0</v>
      </c>
      <c r="E18" s="4">
        <v>1</v>
      </c>
      <c r="F18" s="4">
        <v>0</v>
      </c>
      <c r="G18" s="6">
        <v>0</v>
      </c>
      <c r="H18" s="6">
        <v>0</v>
      </c>
      <c r="I18" s="4">
        <v>1</v>
      </c>
      <c r="J18" s="4">
        <v>0</v>
      </c>
      <c r="K18" s="6">
        <v>0</v>
      </c>
      <c r="L18" s="6">
        <v>0</v>
      </c>
      <c r="M18" s="2">
        <v>5</v>
      </c>
      <c r="N18" s="2">
        <v>0</v>
      </c>
      <c r="P18" s="55"/>
    </row>
    <row r="19" spans="1:16" x14ac:dyDescent="0.25">
      <c r="A19" s="27">
        <v>18</v>
      </c>
      <c r="B19" s="37" t="s">
        <v>225</v>
      </c>
      <c r="C19" s="6">
        <v>22</v>
      </c>
      <c r="D19" s="6">
        <v>2</v>
      </c>
      <c r="E19" s="4">
        <v>6</v>
      </c>
      <c r="F19" s="4">
        <v>0</v>
      </c>
      <c r="G19" s="6">
        <v>0</v>
      </c>
      <c r="H19" s="6">
        <v>0</v>
      </c>
      <c r="I19" s="4">
        <v>2</v>
      </c>
      <c r="J19" s="4">
        <v>0</v>
      </c>
      <c r="K19" s="6">
        <v>0</v>
      </c>
      <c r="L19" s="6">
        <v>0</v>
      </c>
      <c r="M19" s="2">
        <v>30</v>
      </c>
      <c r="N19" s="2">
        <v>2</v>
      </c>
      <c r="P19" s="55"/>
    </row>
    <row r="20" spans="1:16" x14ac:dyDescent="0.25">
      <c r="A20" s="27">
        <v>19</v>
      </c>
      <c r="B20" s="37" t="s">
        <v>271</v>
      </c>
      <c r="C20" s="6">
        <v>35</v>
      </c>
      <c r="D20" s="6">
        <v>12</v>
      </c>
      <c r="E20" s="4">
        <v>9</v>
      </c>
      <c r="F20" s="4">
        <v>4</v>
      </c>
      <c r="G20" s="6">
        <v>1</v>
      </c>
      <c r="H20" s="6">
        <v>0</v>
      </c>
      <c r="I20" s="4">
        <v>1</v>
      </c>
      <c r="J20" s="4">
        <v>0</v>
      </c>
      <c r="K20" s="6">
        <v>1</v>
      </c>
      <c r="L20" s="6">
        <v>1</v>
      </c>
      <c r="M20" s="2">
        <v>47</v>
      </c>
      <c r="N20" s="2">
        <v>17</v>
      </c>
      <c r="P20" s="55"/>
    </row>
    <row r="21" spans="1:16" x14ac:dyDescent="0.25">
      <c r="A21" s="27">
        <v>20</v>
      </c>
      <c r="B21" s="23" t="s">
        <v>222</v>
      </c>
      <c r="C21" s="6">
        <v>0</v>
      </c>
      <c r="D21" s="6">
        <v>0</v>
      </c>
      <c r="E21" s="4">
        <v>0</v>
      </c>
      <c r="F21" s="4">
        <v>0</v>
      </c>
      <c r="G21" s="6">
        <v>0</v>
      </c>
      <c r="H21" s="6">
        <v>0</v>
      </c>
      <c r="I21" s="4">
        <v>0</v>
      </c>
      <c r="J21" s="4">
        <v>0</v>
      </c>
      <c r="K21" s="6">
        <v>0</v>
      </c>
      <c r="L21" s="6">
        <v>0</v>
      </c>
      <c r="M21" s="2">
        <v>0</v>
      </c>
      <c r="N21" s="2">
        <v>0</v>
      </c>
      <c r="P21" s="55"/>
    </row>
    <row r="22" spans="1:16" x14ac:dyDescent="0.25">
      <c r="A22" s="27">
        <v>20</v>
      </c>
      <c r="B22" s="37" t="s">
        <v>272</v>
      </c>
      <c r="C22" s="6">
        <v>24</v>
      </c>
      <c r="D22" s="6">
        <v>0</v>
      </c>
      <c r="E22" s="4">
        <v>8</v>
      </c>
      <c r="F22" s="4">
        <v>1</v>
      </c>
      <c r="G22" s="6">
        <v>1</v>
      </c>
      <c r="H22" s="6">
        <v>0</v>
      </c>
      <c r="I22" s="4">
        <v>2</v>
      </c>
      <c r="J22" s="4">
        <v>0</v>
      </c>
      <c r="K22" s="6">
        <v>0</v>
      </c>
      <c r="L22" s="6">
        <v>0</v>
      </c>
      <c r="M22" s="2">
        <v>35</v>
      </c>
      <c r="N22" s="2">
        <v>1</v>
      </c>
      <c r="P22" s="55"/>
    </row>
    <row r="23" spans="1:16" x14ac:dyDescent="0.25">
      <c r="A23" s="27">
        <v>21</v>
      </c>
      <c r="B23" s="37" t="s">
        <v>258</v>
      </c>
      <c r="C23" s="6">
        <v>11</v>
      </c>
      <c r="D23" s="6">
        <v>1</v>
      </c>
      <c r="E23" s="4">
        <v>3</v>
      </c>
      <c r="F23" s="4">
        <v>0</v>
      </c>
      <c r="G23" s="6">
        <v>0</v>
      </c>
      <c r="H23" s="6">
        <v>0</v>
      </c>
      <c r="I23" s="4">
        <v>1</v>
      </c>
      <c r="J23" s="4">
        <v>0</v>
      </c>
      <c r="K23" s="6">
        <v>1</v>
      </c>
      <c r="L23" s="6">
        <v>0</v>
      </c>
      <c r="M23" s="2">
        <v>16</v>
      </c>
      <c r="N23" s="2">
        <v>1</v>
      </c>
    </row>
    <row r="24" spans="1:16" x14ac:dyDescent="0.25">
      <c r="A24" s="27">
        <v>22</v>
      </c>
      <c r="B24" s="37" t="s">
        <v>278</v>
      </c>
      <c r="C24" s="6">
        <v>32</v>
      </c>
      <c r="D24" s="6">
        <v>0</v>
      </c>
      <c r="E24" s="4">
        <v>9</v>
      </c>
      <c r="F24" s="4">
        <v>0</v>
      </c>
      <c r="G24" s="6">
        <v>0</v>
      </c>
      <c r="H24" s="6">
        <v>0</v>
      </c>
      <c r="I24" s="4">
        <v>0</v>
      </c>
      <c r="J24" s="4">
        <v>0</v>
      </c>
      <c r="K24" s="6">
        <v>0</v>
      </c>
      <c r="L24" s="6">
        <v>0</v>
      </c>
      <c r="M24" s="2">
        <v>41</v>
      </c>
      <c r="N24" s="2">
        <v>0</v>
      </c>
    </row>
    <row r="25" spans="1:16" x14ac:dyDescent="0.25">
      <c r="A25" s="28">
        <v>23</v>
      </c>
      <c r="B25" s="23" t="s">
        <v>223</v>
      </c>
      <c r="C25" s="6">
        <v>0</v>
      </c>
      <c r="D25" s="6">
        <v>0</v>
      </c>
      <c r="E25" s="4">
        <v>0</v>
      </c>
      <c r="F25" s="4">
        <v>0</v>
      </c>
      <c r="G25" s="6">
        <v>0</v>
      </c>
      <c r="H25" s="6">
        <v>0</v>
      </c>
      <c r="I25" s="4">
        <v>0</v>
      </c>
      <c r="J25" s="4">
        <v>0</v>
      </c>
      <c r="K25" s="6">
        <v>0</v>
      </c>
      <c r="L25" s="6">
        <v>0</v>
      </c>
      <c r="M25" s="2">
        <v>0</v>
      </c>
      <c r="N25" s="2">
        <v>0</v>
      </c>
    </row>
    <row r="26" spans="1:16" x14ac:dyDescent="0.25">
      <c r="A26" s="28">
        <v>24</v>
      </c>
      <c r="B26" s="37" t="s">
        <v>115</v>
      </c>
      <c r="C26" s="6">
        <v>15</v>
      </c>
      <c r="D26" s="6">
        <v>0</v>
      </c>
      <c r="E26" s="4">
        <v>5</v>
      </c>
      <c r="F26" s="4">
        <v>0</v>
      </c>
      <c r="G26" s="6">
        <v>1</v>
      </c>
      <c r="H26" s="6">
        <v>0</v>
      </c>
      <c r="I26" s="4">
        <v>2</v>
      </c>
      <c r="J26" s="4">
        <v>1</v>
      </c>
      <c r="K26" s="6">
        <v>0</v>
      </c>
      <c r="L26" s="6">
        <v>0</v>
      </c>
      <c r="M26" s="2">
        <v>23</v>
      </c>
      <c r="N26" s="2">
        <v>1</v>
      </c>
      <c r="P26" s="55"/>
    </row>
    <row r="27" spans="1:16" x14ac:dyDescent="0.25">
      <c r="A27" s="27">
        <v>25</v>
      </c>
      <c r="B27" s="37" t="s">
        <v>100</v>
      </c>
      <c r="C27" s="6">
        <v>3</v>
      </c>
      <c r="D27" s="6">
        <v>0</v>
      </c>
      <c r="E27" s="4">
        <v>2</v>
      </c>
      <c r="F27" s="4">
        <v>0</v>
      </c>
      <c r="G27" s="6">
        <v>0</v>
      </c>
      <c r="H27" s="6">
        <v>0</v>
      </c>
      <c r="I27" s="4">
        <v>1</v>
      </c>
      <c r="J27" s="4">
        <v>0</v>
      </c>
      <c r="K27" s="6">
        <v>0</v>
      </c>
      <c r="L27" s="6">
        <v>0</v>
      </c>
      <c r="M27" s="2">
        <v>6</v>
      </c>
      <c r="N27" s="2">
        <v>0</v>
      </c>
    </row>
    <row r="28" spans="1:16" x14ac:dyDescent="0.25">
      <c r="A28" s="28">
        <v>27</v>
      </c>
      <c r="B28" s="37" t="s">
        <v>262</v>
      </c>
      <c r="C28" s="6">
        <v>0</v>
      </c>
      <c r="D28" s="6">
        <v>0</v>
      </c>
      <c r="E28" s="4">
        <v>0</v>
      </c>
      <c r="F28" s="4">
        <v>0</v>
      </c>
      <c r="G28" s="6">
        <v>0</v>
      </c>
      <c r="H28" s="6">
        <v>0</v>
      </c>
      <c r="I28" s="4">
        <v>0</v>
      </c>
      <c r="J28" s="4">
        <v>0</v>
      </c>
      <c r="K28" s="6">
        <v>0</v>
      </c>
      <c r="L28" s="6">
        <v>0</v>
      </c>
      <c r="M28" s="2">
        <v>0</v>
      </c>
      <c r="N28" s="2">
        <v>0</v>
      </c>
    </row>
    <row r="29" spans="1:16" x14ac:dyDescent="0.25">
      <c r="A29" s="28">
        <v>29</v>
      </c>
      <c r="B29" s="37" t="s">
        <v>275</v>
      </c>
      <c r="C29" s="6">
        <v>38</v>
      </c>
      <c r="D29" s="6">
        <v>13</v>
      </c>
      <c r="E29" s="4">
        <v>10</v>
      </c>
      <c r="F29" s="4">
        <v>1</v>
      </c>
      <c r="G29" s="6">
        <v>1</v>
      </c>
      <c r="H29" s="6">
        <v>0</v>
      </c>
      <c r="I29" s="4">
        <v>2</v>
      </c>
      <c r="J29" s="4">
        <v>0</v>
      </c>
      <c r="K29" s="6">
        <v>1</v>
      </c>
      <c r="L29" s="6">
        <v>0</v>
      </c>
      <c r="M29" s="2">
        <v>52</v>
      </c>
      <c r="N29" s="2">
        <v>14</v>
      </c>
    </row>
    <row r="30" spans="1:16" x14ac:dyDescent="0.25">
      <c r="A30" s="28">
        <v>31</v>
      </c>
      <c r="B30" s="37" t="s">
        <v>270</v>
      </c>
      <c r="C30" s="6">
        <v>0</v>
      </c>
      <c r="D30" s="6">
        <v>0</v>
      </c>
      <c r="E30" s="4">
        <v>0</v>
      </c>
      <c r="F30" s="4">
        <v>0</v>
      </c>
      <c r="G30" s="6">
        <v>0</v>
      </c>
      <c r="H30" s="6">
        <v>0</v>
      </c>
      <c r="I30" s="4">
        <v>0</v>
      </c>
      <c r="J30" s="4">
        <v>0</v>
      </c>
      <c r="K30" s="6">
        <v>0</v>
      </c>
      <c r="L30" s="6">
        <v>0</v>
      </c>
      <c r="M30" s="2">
        <v>0</v>
      </c>
      <c r="N30" s="2">
        <v>0</v>
      </c>
      <c r="P30" s="55"/>
    </row>
    <row r="31" spans="1:16" x14ac:dyDescent="0.25">
      <c r="A31" s="27">
        <v>33</v>
      </c>
      <c r="B31" s="23" t="s">
        <v>221</v>
      </c>
      <c r="C31" s="6">
        <v>0</v>
      </c>
      <c r="D31" s="6">
        <v>0</v>
      </c>
      <c r="E31" s="4">
        <v>0</v>
      </c>
      <c r="F31" s="4">
        <v>0</v>
      </c>
      <c r="G31" s="6">
        <v>0</v>
      </c>
      <c r="H31" s="6">
        <v>0</v>
      </c>
      <c r="I31" s="4">
        <v>0</v>
      </c>
      <c r="J31" s="4">
        <v>0</v>
      </c>
      <c r="K31" s="6">
        <v>0</v>
      </c>
      <c r="L31" s="6">
        <v>0</v>
      </c>
      <c r="M31" s="2">
        <v>0</v>
      </c>
      <c r="N31" s="2">
        <v>0</v>
      </c>
      <c r="P31" s="55"/>
    </row>
    <row r="32" spans="1:16" x14ac:dyDescent="0.25">
      <c r="A32" s="27">
        <v>35</v>
      </c>
      <c r="B32" s="35" t="s">
        <v>261</v>
      </c>
      <c r="C32" s="6">
        <v>27</v>
      </c>
      <c r="D32" s="6">
        <v>1</v>
      </c>
      <c r="E32" s="4">
        <v>6</v>
      </c>
      <c r="F32" s="4">
        <v>0</v>
      </c>
      <c r="G32" s="6">
        <v>0</v>
      </c>
      <c r="H32" s="6">
        <v>0</v>
      </c>
      <c r="I32" s="4">
        <v>2</v>
      </c>
      <c r="J32" s="4">
        <v>0</v>
      </c>
      <c r="K32" s="6">
        <v>0</v>
      </c>
      <c r="L32" s="6">
        <v>0</v>
      </c>
      <c r="M32" s="2">
        <v>35</v>
      </c>
      <c r="N32" s="2">
        <v>1</v>
      </c>
      <c r="P32" s="55"/>
    </row>
    <row r="33" spans="1:16" x14ac:dyDescent="0.25">
      <c r="A33" s="27">
        <v>41</v>
      </c>
      <c r="B33" s="35" t="s">
        <v>277</v>
      </c>
      <c r="C33" s="6">
        <v>38</v>
      </c>
      <c r="D33" s="6">
        <v>7</v>
      </c>
      <c r="E33" s="4">
        <v>10</v>
      </c>
      <c r="F33" s="4">
        <v>0</v>
      </c>
      <c r="G33" s="6">
        <v>1</v>
      </c>
      <c r="H33" s="6">
        <v>0</v>
      </c>
      <c r="I33" s="4">
        <v>1</v>
      </c>
      <c r="J33" s="4">
        <v>0</v>
      </c>
      <c r="K33" s="6">
        <v>1</v>
      </c>
      <c r="L33" s="6">
        <v>0</v>
      </c>
      <c r="M33" s="2">
        <v>51</v>
      </c>
      <c r="N33" s="2">
        <v>7</v>
      </c>
      <c r="P33" s="55"/>
    </row>
    <row r="34" spans="1:16" x14ac:dyDescent="0.25">
      <c r="A34" s="27">
        <v>42</v>
      </c>
      <c r="B34" s="35" t="s">
        <v>207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6">
        <v>0</v>
      </c>
      <c r="I34" s="4">
        <v>0</v>
      </c>
      <c r="J34" s="4">
        <v>0</v>
      </c>
      <c r="K34" s="6">
        <v>0</v>
      </c>
      <c r="L34" s="6">
        <v>0</v>
      </c>
      <c r="M34" s="2">
        <v>0</v>
      </c>
      <c r="N34" s="2">
        <v>0</v>
      </c>
    </row>
    <row r="35" spans="1:16" x14ac:dyDescent="0.25">
      <c r="A35" s="28">
        <v>63</v>
      </c>
      <c r="B35" s="40" t="s">
        <v>263</v>
      </c>
      <c r="C35" s="6">
        <v>1</v>
      </c>
      <c r="D35" s="6">
        <v>0</v>
      </c>
      <c r="E35" s="4">
        <v>0</v>
      </c>
      <c r="F35" s="4">
        <v>0</v>
      </c>
      <c r="G35" s="6">
        <v>0</v>
      </c>
      <c r="H35" s="6">
        <v>0</v>
      </c>
      <c r="I35" s="4">
        <v>0</v>
      </c>
      <c r="J35" s="4">
        <v>0</v>
      </c>
      <c r="K35" s="6">
        <v>0</v>
      </c>
      <c r="L35" s="6">
        <v>0</v>
      </c>
      <c r="M35" s="2">
        <v>1</v>
      </c>
      <c r="N35" s="2">
        <v>0</v>
      </c>
    </row>
    <row r="36" spans="1:16" x14ac:dyDescent="0.25">
      <c r="A36" s="28">
        <v>66</v>
      </c>
      <c r="B36" s="40" t="s">
        <v>208</v>
      </c>
      <c r="C36" s="6">
        <v>0</v>
      </c>
      <c r="D36" s="6">
        <v>0</v>
      </c>
      <c r="E36" s="4">
        <v>0</v>
      </c>
      <c r="F36" s="4">
        <v>0</v>
      </c>
      <c r="G36" s="6">
        <v>0</v>
      </c>
      <c r="H36" s="6">
        <v>0</v>
      </c>
      <c r="I36" s="4">
        <v>0</v>
      </c>
      <c r="J36" s="4">
        <v>0</v>
      </c>
      <c r="K36" s="6">
        <v>0</v>
      </c>
      <c r="L36" s="6">
        <v>0</v>
      </c>
      <c r="M36" s="2">
        <v>0</v>
      </c>
      <c r="N36" s="2">
        <v>0</v>
      </c>
    </row>
    <row r="37" spans="1:16" x14ac:dyDescent="0.25">
      <c r="A37" s="28">
        <v>71</v>
      </c>
      <c r="B37" s="148" t="s">
        <v>292</v>
      </c>
      <c r="C37" s="6">
        <v>0</v>
      </c>
      <c r="D37" s="6">
        <v>0</v>
      </c>
      <c r="E37" s="4">
        <v>0</v>
      </c>
      <c r="F37" s="4">
        <v>0</v>
      </c>
      <c r="G37" s="6">
        <v>0</v>
      </c>
      <c r="H37" s="6">
        <v>0</v>
      </c>
      <c r="I37" s="4">
        <v>1</v>
      </c>
      <c r="J37" s="4">
        <v>0</v>
      </c>
      <c r="K37" s="6">
        <v>0</v>
      </c>
      <c r="L37" s="6">
        <v>0</v>
      </c>
      <c r="M37" s="2">
        <v>1</v>
      </c>
      <c r="N37" s="2">
        <v>0</v>
      </c>
    </row>
    <row r="38" spans="1:16" x14ac:dyDescent="0.25">
      <c r="A38" s="28">
        <v>87</v>
      </c>
      <c r="B38" s="23" t="s">
        <v>226</v>
      </c>
      <c r="C38" s="6">
        <v>0</v>
      </c>
      <c r="D38" s="6">
        <v>0</v>
      </c>
      <c r="E38" s="4">
        <v>0</v>
      </c>
      <c r="F38" s="4">
        <v>0</v>
      </c>
      <c r="G38" s="6">
        <v>0</v>
      </c>
      <c r="H38" s="6">
        <v>0</v>
      </c>
      <c r="I38" s="4">
        <v>0</v>
      </c>
      <c r="J38" s="4">
        <v>0</v>
      </c>
      <c r="K38" s="6">
        <v>0</v>
      </c>
      <c r="L38" s="6">
        <v>0</v>
      </c>
      <c r="M38" s="2">
        <v>0</v>
      </c>
      <c r="N38" s="2">
        <v>0</v>
      </c>
    </row>
  </sheetData>
  <autoFilter ref="A3:N27" xr:uid="{00000000-0009-0000-0000-000002000000}">
    <sortState xmlns:xlrd2="http://schemas.microsoft.com/office/spreadsheetml/2017/richdata2" ref="A4:N29">
      <sortCondition ref="A3:A27"/>
    </sortState>
  </autoFilter>
  <mergeCells count="6">
    <mergeCell ref="M2:N2"/>
    <mergeCell ref="C2:D2"/>
    <mergeCell ref="E2:F2"/>
    <mergeCell ref="G2:H2"/>
    <mergeCell ref="I2:J2"/>
    <mergeCell ref="K2:L2"/>
  </mergeCells>
  <conditionalFormatting sqref="M4:N38">
    <cfRule type="cellIs" dxfId="27" priority="3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534F-CFD9-4FDB-B18F-B34E65C576D4}">
  <dimension ref="A1:P41"/>
  <sheetViews>
    <sheetView zoomScale="85" zoomScaleNormal="85" zoomScalePageLayoutView="110" workbookViewId="0">
      <selection activeCell="A6" sqref="A6:XFD6"/>
    </sheetView>
  </sheetViews>
  <sheetFormatPr defaultColWidth="8.85546875" defaultRowHeight="15" x14ac:dyDescent="0.25"/>
  <cols>
    <col min="1" max="1" width="3.42578125" customWidth="1"/>
    <col min="2" max="2" width="25.7109375" customWidth="1"/>
    <col min="4" max="4" width="8.7109375" customWidth="1"/>
    <col min="11" max="12" width="8.85546875" customWidth="1"/>
  </cols>
  <sheetData>
    <row r="1" spans="1:16" x14ac:dyDescent="0.25">
      <c r="A1" s="1" t="s">
        <v>0</v>
      </c>
      <c r="B1" s="1"/>
      <c r="C1" s="1"/>
      <c r="D1" s="1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5">
      <c r="A2" s="3"/>
      <c r="B2" s="5"/>
      <c r="C2" s="206" t="s">
        <v>4</v>
      </c>
      <c r="D2" s="206"/>
      <c r="E2" s="207" t="s">
        <v>120</v>
      </c>
      <c r="F2" s="207"/>
      <c r="G2" s="206" t="s">
        <v>108</v>
      </c>
      <c r="H2" s="206"/>
      <c r="I2" s="207" t="s">
        <v>110</v>
      </c>
      <c r="J2" s="207"/>
      <c r="K2" s="206" t="s">
        <v>39</v>
      </c>
      <c r="L2" s="206"/>
      <c r="M2" s="211" t="s">
        <v>7</v>
      </c>
      <c r="N2" s="211"/>
    </row>
    <row r="3" spans="1:16" x14ac:dyDescent="0.25">
      <c r="A3" s="3" t="s">
        <v>48</v>
      </c>
      <c r="B3" s="5" t="s">
        <v>1</v>
      </c>
      <c r="C3" s="5" t="s">
        <v>2</v>
      </c>
      <c r="D3" s="5" t="s">
        <v>3</v>
      </c>
      <c r="E3" s="3" t="s">
        <v>2</v>
      </c>
      <c r="F3" s="3" t="s">
        <v>3</v>
      </c>
      <c r="G3" s="5" t="s">
        <v>5</v>
      </c>
      <c r="H3" s="5" t="s">
        <v>3</v>
      </c>
      <c r="I3" s="3" t="s">
        <v>2</v>
      </c>
      <c r="J3" s="3" t="s">
        <v>3</v>
      </c>
      <c r="K3" s="5" t="s">
        <v>2</v>
      </c>
      <c r="L3" s="5" t="s">
        <v>3</v>
      </c>
      <c r="M3" s="8" t="s">
        <v>2</v>
      </c>
      <c r="N3" s="8" t="s">
        <v>3</v>
      </c>
    </row>
    <row r="4" spans="1:16" x14ac:dyDescent="0.25">
      <c r="A4" s="27">
        <v>2</v>
      </c>
      <c r="B4" s="35" t="s">
        <v>196</v>
      </c>
      <c r="C4" s="6">
        <v>35</v>
      </c>
      <c r="D4" s="6">
        <v>2</v>
      </c>
      <c r="E4" s="4">
        <v>10</v>
      </c>
      <c r="F4" s="4">
        <v>0</v>
      </c>
      <c r="G4" s="6">
        <v>1</v>
      </c>
      <c r="H4" s="6">
        <v>0</v>
      </c>
      <c r="I4" s="4">
        <v>4</v>
      </c>
      <c r="J4" s="4">
        <v>0</v>
      </c>
      <c r="K4" s="6">
        <v>0</v>
      </c>
      <c r="L4" s="6">
        <v>0</v>
      </c>
      <c r="M4" s="2">
        <v>50</v>
      </c>
      <c r="N4" s="2">
        <v>2</v>
      </c>
      <c r="P4" s="55"/>
    </row>
    <row r="5" spans="1:16" x14ac:dyDescent="0.25">
      <c r="A5" s="28">
        <v>3</v>
      </c>
      <c r="B5" s="37" t="s">
        <v>191</v>
      </c>
      <c r="C5" s="6">
        <v>13</v>
      </c>
      <c r="D5" s="6">
        <v>1</v>
      </c>
      <c r="E5" s="4">
        <v>5</v>
      </c>
      <c r="F5" s="4">
        <v>0</v>
      </c>
      <c r="G5" s="6">
        <v>1</v>
      </c>
      <c r="H5" s="6">
        <v>0</v>
      </c>
      <c r="I5" s="4">
        <v>1</v>
      </c>
      <c r="J5" s="4">
        <v>0</v>
      </c>
      <c r="K5" s="6">
        <v>0</v>
      </c>
      <c r="L5" s="6">
        <v>0</v>
      </c>
      <c r="M5" s="2">
        <v>20</v>
      </c>
      <c r="N5" s="2">
        <v>1</v>
      </c>
      <c r="P5" s="55"/>
    </row>
    <row r="6" spans="1:16" x14ac:dyDescent="0.25">
      <c r="A6" s="27">
        <v>4</v>
      </c>
      <c r="B6" s="37" t="s">
        <v>220</v>
      </c>
      <c r="C6" s="6">
        <v>17</v>
      </c>
      <c r="D6" s="6">
        <v>0</v>
      </c>
      <c r="E6" s="4">
        <v>9</v>
      </c>
      <c r="F6" s="4">
        <v>0</v>
      </c>
      <c r="G6" s="6">
        <v>0</v>
      </c>
      <c r="H6" s="6">
        <v>0</v>
      </c>
      <c r="I6" s="4">
        <v>0</v>
      </c>
      <c r="J6" s="4">
        <v>0</v>
      </c>
      <c r="K6" s="6">
        <v>0</v>
      </c>
      <c r="L6" s="6">
        <v>0</v>
      </c>
      <c r="M6" s="2">
        <v>26</v>
      </c>
      <c r="N6" s="2">
        <v>0</v>
      </c>
      <c r="P6" s="55"/>
    </row>
    <row r="7" spans="1:16" x14ac:dyDescent="0.25">
      <c r="A7" s="27">
        <v>5</v>
      </c>
      <c r="B7" s="37" t="s">
        <v>204</v>
      </c>
      <c r="C7" s="6">
        <v>34</v>
      </c>
      <c r="D7" s="6">
        <v>4</v>
      </c>
      <c r="E7" s="4">
        <v>10</v>
      </c>
      <c r="F7" s="4">
        <v>0</v>
      </c>
      <c r="G7" s="6">
        <v>1</v>
      </c>
      <c r="H7" s="6">
        <v>0</v>
      </c>
      <c r="I7" s="4">
        <v>4</v>
      </c>
      <c r="J7" s="4">
        <v>0</v>
      </c>
      <c r="K7" s="6">
        <v>0</v>
      </c>
      <c r="L7" s="6">
        <v>0</v>
      </c>
      <c r="M7" s="2">
        <v>49</v>
      </c>
      <c r="N7" s="2">
        <v>4</v>
      </c>
      <c r="P7" s="55"/>
    </row>
    <row r="8" spans="1:16" x14ac:dyDescent="0.25">
      <c r="A8" s="27">
        <v>6</v>
      </c>
      <c r="B8" s="37" t="s">
        <v>198</v>
      </c>
      <c r="C8" s="6">
        <v>28</v>
      </c>
      <c r="D8" s="6">
        <v>3</v>
      </c>
      <c r="E8" s="4">
        <v>8</v>
      </c>
      <c r="F8" s="4">
        <v>1</v>
      </c>
      <c r="G8" s="6">
        <v>1</v>
      </c>
      <c r="H8" s="6">
        <v>1</v>
      </c>
      <c r="I8" s="4">
        <v>3</v>
      </c>
      <c r="J8" s="4">
        <v>0</v>
      </c>
      <c r="K8" s="6">
        <v>0</v>
      </c>
      <c r="L8" s="6">
        <v>0</v>
      </c>
      <c r="M8" s="2">
        <v>40</v>
      </c>
      <c r="N8" s="2">
        <v>5</v>
      </c>
      <c r="P8" s="55"/>
    </row>
    <row r="9" spans="1:16" x14ac:dyDescent="0.25">
      <c r="A9" s="27">
        <v>7</v>
      </c>
      <c r="B9" s="37" t="s">
        <v>180</v>
      </c>
      <c r="C9" s="6">
        <v>25</v>
      </c>
      <c r="D9" s="6">
        <v>6</v>
      </c>
      <c r="E9" s="4">
        <v>8</v>
      </c>
      <c r="F9" s="4">
        <v>4</v>
      </c>
      <c r="G9" s="6">
        <v>0</v>
      </c>
      <c r="H9" s="6">
        <v>0</v>
      </c>
      <c r="I9" s="4">
        <v>3</v>
      </c>
      <c r="J9" s="4">
        <v>0</v>
      </c>
      <c r="K9" s="6">
        <v>0</v>
      </c>
      <c r="L9" s="6">
        <v>0</v>
      </c>
      <c r="M9" s="2">
        <v>36</v>
      </c>
      <c r="N9" s="2">
        <v>10</v>
      </c>
      <c r="P9" s="55"/>
    </row>
    <row r="10" spans="1:16" x14ac:dyDescent="0.25">
      <c r="A10" s="27">
        <v>8</v>
      </c>
      <c r="B10" s="37" t="s">
        <v>218</v>
      </c>
      <c r="C10" s="6">
        <v>31</v>
      </c>
      <c r="D10" s="6">
        <v>3</v>
      </c>
      <c r="E10" s="4">
        <v>9</v>
      </c>
      <c r="F10" s="4">
        <v>3</v>
      </c>
      <c r="G10" s="6">
        <v>1</v>
      </c>
      <c r="H10" s="6">
        <v>0</v>
      </c>
      <c r="I10" s="4">
        <v>3</v>
      </c>
      <c r="J10" s="4">
        <v>0</v>
      </c>
      <c r="K10" s="6">
        <v>0</v>
      </c>
      <c r="L10" s="6">
        <v>0</v>
      </c>
      <c r="M10" s="2">
        <v>44</v>
      </c>
      <c r="N10" s="2">
        <v>6</v>
      </c>
      <c r="P10" s="55"/>
    </row>
    <row r="11" spans="1:16" x14ac:dyDescent="0.25">
      <c r="A11" s="27">
        <v>9</v>
      </c>
      <c r="B11" s="37" t="s">
        <v>259</v>
      </c>
      <c r="C11" s="6">
        <v>17</v>
      </c>
      <c r="D11" s="6">
        <v>3</v>
      </c>
      <c r="E11" s="4">
        <v>5</v>
      </c>
      <c r="F11" s="4">
        <v>0</v>
      </c>
      <c r="G11" s="6">
        <v>1</v>
      </c>
      <c r="H11" s="6">
        <v>0</v>
      </c>
      <c r="I11" s="4">
        <v>4</v>
      </c>
      <c r="J11" s="4">
        <v>4</v>
      </c>
      <c r="K11" s="6">
        <v>0</v>
      </c>
      <c r="L11" s="6">
        <v>0</v>
      </c>
      <c r="M11" s="2">
        <v>27</v>
      </c>
      <c r="N11" s="2">
        <v>7</v>
      </c>
      <c r="P11" s="55"/>
    </row>
    <row r="12" spans="1:16" x14ac:dyDescent="0.25">
      <c r="A12" s="27">
        <v>11</v>
      </c>
      <c r="B12" s="35" t="s">
        <v>188</v>
      </c>
      <c r="C12" s="6">
        <v>34</v>
      </c>
      <c r="D12" s="6">
        <v>8</v>
      </c>
      <c r="E12" s="4">
        <v>11</v>
      </c>
      <c r="F12" s="4">
        <v>2</v>
      </c>
      <c r="G12" s="6">
        <v>1</v>
      </c>
      <c r="H12" s="6">
        <v>0</v>
      </c>
      <c r="I12" s="4">
        <v>4</v>
      </c>
      <c r="J12" s="4">
        <v>0</v>
      </c>
      <c r="K12" s="6">
        <v>0</v>
      </c>
      <c r="L12" s="6">
        <v>0</v>
      </c>
      <c r="M12" s="2">
        <v>50</v>
      </c>
      <c r="N12" s="2">
        <v>10</v>
      </c>
      <c r="P12" s="55"/>
    </row>
    <row r="13" spans="1:16" x14ac:dyDescent="0.25">
      <c r="A13" s="27">
        <v>12</v>
      </c>
      <c r="B13" s="35" t="s">
        <v>276</v>
      </c>
      <c r="C13" s="6">
        <v>30</v>
      </c>
      <c r="D13" s="6">
        <v>1</v>
      </c>
      <c r="E13" s="4">
        <v>11</v>
      </c>
      <c r="F13" s="4">
        <v>1</v>
      </c>
      <c r="G13" s="6">
        <v>1</v>
      </c>
      <c r="H13" s="6">
        <v>0</v>
      </c>
      <c r="I13" s="4">
        <v>4</v>
      </c>
      <c r="J13" s="4">
        <v>0</v>
      </c>
      <c r="K13" s="6">
        <v>0</v>
      </c>
      <c r="L13" s="6">
        <v>0</v>
      </c>
      <c r="M13" s="2">
        <v>46</v>
      </c>
      <c r="N13" s="2">
        <v>2</v>
      </c>
      <c r="P13" s="55"/>
    </row>
    <row r="14" spans="1:16" x14ac:dyDescent="0.25">
      <c r="A14" s="27">
        <v>15</v>
      </c>
      <c r="B14" s="37" t="s">
        <v>273</v>
      </c>
      <c r="C14" s="6">
        <v>17</v>
      </c>
      <c r="D14" s="6">
        <v>1</v>
      </c>
      <c r="E14" s="4">
        <v>8</v>
      </c>
      <c r="F14" s="4">
        <v>0</v>
      </c>
      <c r="G14" s="6">
        <v>0</v>
      </c>
      <c r="H14" s="6">
        <v>0</v>
      </c>
      <c r="I14" s="4">
        <v>3</v>
      </c>
      <c r="J14" s="4">
        <v>0</v>
      </c>
      <c r="K14" s="6">
        <v>0</v>
      </c>
      <c r="L14" s="6">
        <v>0</v>
      </c>
      <c r="M14" s="2">
        <v>28</v>
      </c>
      <c r="N14" s="2">
        <v>1</v>
      </c>
      <c r="P14" s="55"/>
    </row>
    <row r="15" spans="1:16" x14ac:dyDescent="0.25">
      <c r="A15" s="27">
        <v>17</v>
      </c>
      <c r="B15" s="35" t="s">
        <v>261</v>
      </c>
      <c r="C15" s="6">
        <v>15</v>
      </c>
      <c r="D15" s="6">
        <v>0</v>
      </c>
      <c r="E15" s="4">
        <v>6</v>
      </c>
      <c r="F15" s="4">
        <v>1</v>
      </c>
      <c r="G15" s="6">
        <v>0</v>
      </c>
      <c r="H15" s="6">
        <v>0</v>
      </c>
      <c r="I15" s="4">
        <v>2</v>
      </c>
      <c r="J15" s="4">
        <v>0</v>
      </c>
      <c r="K15" s="6">
        <v>0</v>
      </c>
      <c r="L15" s="6">
        <v>0</v>
      </c>
      <c r="M15" s="2">
        <v>23</v>
      </c>
      <c r="N15" s="2">
        <v>1</v>
      </c>
      <c r="P15" s="55"/>
    </row>
    <row r="16" spans="1:16" x14ac:dyDescent="0.25">
      <c r="A16" s="27">
        <v>18</v>
      </c>
      <c r="B16" s="37" t="s">
        <v>225</v>
      </c>
      <c r="C16" s="6">
        <v>1</v>
      </c>
      <c r="D16" s="6">
        <v>0</v>
      </c>
      <c r="E16" s="4">
        <v>0</v>
      </c>
      <c r="F16" s="4">
        <v>0</v>
      </c>
      <c r="G16" s="6">
        <v>0</v>
      </c>
      <c r="H16" s="6">
        <v>0</v>
      </c>
      <c r="I16" s="4">
        <v>0</v>
      </c>
      <c r="J16" s="4">
        <v>0</v>
      </c>
      <c r="K16" s="6">
        <v>0</v>
      </c>
      <c r="L16" s="6">
        <v>0</v>
      </c>
      <c r="M16" s="2">
        <v>1</v>
      </c>
      <c r="N16" s="2">
        <v>0</v>
      </c>
      <c r="P16" s="55"/>
    </row>
    <row r="17" spans="1:16" x14ac:dyDescent="0.25">
      <c r="A17" s="27">
        <v>19</v>
      </c>
      <c r="B17" s="37" t="s">
        <v>271</v>
      </c>
      <c r="C17" s="6">
        <v>38</v>
      </c>
      <c r="D17" s="6">
        <v>8</v>
      </c>
      <c r="E17" s="4">
        <v>12</v>
      </c>
      <c r="F17" s="4">
        <v>2</v>
      </c>
      <c r="G17" s="6">
        <v>1</v>
      </c>
      <c r="H17" s="6">
        <v>0</v>
      </c>
      <c r="I17" s="4">
        <v>3</v>
      </c>
      <c r="J17" s="4">
        <v>0</v>
      </c>
      <c r="K17" s="6">
        <v>0</v>
      </c>
      <c r="L17" s="6">
        <v>0</v>
      </c>
      <c r="M17" s="2">
        <v>54</v>
      </c>
      <c r="N17" s="2">
        <v>10</v>
      </c>
      <c r="P17" s="55"/>
    </row>
    <row r="18" spans="1:16" x14ac:dyDescent="0.25">
      <c r="A18" s="27">
        <v>20</v>
      </c>
      <c r="B18" s="23" t="s">
        <v>222</v>
      </c>
      <c r="C18" s="6">
        <v>0</v>
      </c>
      <c r="D18" s="6">
        <v>0</v>
      </c>
      <c r="E18" s="4">
        <v>0</v>
      </c>
      <c r="F18" s="4">
        <v>0</v>
      </c>
      <c r="G18" s="6">
        <v>0</v>
      </c>
      <c r="H18" s="6">
        <v>0</v>
      </c>
      <c r="I18" s="4">
        <v>0</v>
      </c>
      <c r="J18" s="4">
        <v>0</v>
      </c>
      <c r="K18" s="6">
        <v>0</v>
      </c>
      <c r="L18" s="6">
        <v>0</v>
      </c>
      <c r="M18" s="2">
        <v>0</v>
      </c>
      <c r="N18" s="2">
        <v>0</v>
      </c>
      <c r="P18" s="55"/>
    </row>
    <row r="19" spans="1:16" x14ac:dyDescent="0.25">
      <c r="A19" s="27">
        <v>20</v>
      </c>
      <c r="B19" s="37" t="s">
        <v>272</v>
      </c>
      <c r="C19" s="6">
        <v>15</v>
      </c>
      <c r="D19" s="6">
        <v>0</v>
      </c>
      <c r="E19" s="4">
        <v>4</v>
      </c>
      <c r="F19" s="4">
        <v>0</v>
      </c>
      <c r="G19" s="6">
        <v>1</v>
      </c>
      <c r="H19" s="6">
        <v>0</v>
      </c>
      <c r="I19" s="4">
        <v>5</v>
      </c>
      <c r="J19" s="4">
        <v>0</v>
      </c>
      <c r="K19" s="6">
        <v>0</v>
      </c>
      <c r="L19" s="6">
        <v>0</v>
      </c>
      <c r="M19" s="2">
        <v>25</v>
      </c>
      <c r="N19" s="2">
        <v>0</v>
      </c>
      <c r="P19" s="55"/>
    </row>
    <row r="20" spans="1:16" x14ac:dyDescent="0.25">
      <c r="A20" s="27">
        <v>21</v>
      </c>
      <c r="B20" s="23" t="s">
        <v>258</v>
      </c>
      <c r="C20" s="6">
        <v>0</v>
      </c>
      <c r="D20" s="6">
        <v>0</v>
      </c>
      <c r="E20" s="4">
        <v>0</v>
      </c>
      <c r="F20" s="4">
        <v>0</v>
      </c>
      <c r="G20" s="6">
        <v>0</v>
      </c>
      <c r="H20" s="6">
        <v>0</v>
      </c>
      <c r="I20" s="4">
        <v>0</v>
      </c>
      <c r="J20" s="4">
        <v>0</v>
      </c>
      <c r="K20" s="6">
        <v>0</v>
      </c>
      <c r="L20" s="6">
        <v>0</v>
      </c>
      <c r="M20" s="2">
        <v>0</v>
      </c>
      <c r="N20" s="2">
        <v>0</v>
      </c>
    </row>
    <row r="21" spans="1:16" x14ac:dyDescent="0.25">
      <c r="A21" s="27">
        <v>22</v>
      </c>
      <c r="B21" s="37" t="s">
        <v>278</v>
      </c>
      <c r="C21" s="6">
        <v>38</v>
      </c>
      <c r="D21" s="6">
        <v>0</v>
      </c>
      <c r="E21" s="4">
        <v>12</v>
      </c>
      <c r="F21" s="4">
        <v>0</v>
      </c>
      <c r="G21" s="6">
        <v>1</v>
      </c>
      <c r="H21" s="6">
        <v>0</v>
      </c>
      <c r="I21" s="4">
        <v>3</v>
      </c>
      <c r="J21" s="4">
        <v>0</v>
      </c>
      <c r="K21" s="6">
        <v>0</v>
      </c>
      <c r="L21" s="6">
        <v>0</v>
      </c>
      <c r="M21" s="2">
        <v>54</v>
      </c>
      <c r="N21" s="2">
        <v>0</v>
      </c>
    </row>
    <row r="22" spans="1:16" x14ac:dyDescent="0.25">
      <c r="A22" s="27">
        <v>23</v>
      </c>
      <c r="B22" s="37" t="s">
        <v>293</v>
      </c>
      <c r="C22" s="6">
        <v>28</v>
      </c>
      <c r="D22" s="6">
        <v>7</v>
      </c>
      <c r="E22" s="4">
        <v>10</v>
      </c>
      <c r="F22" s="4">
        <v>2</v>
      </c>
      <c r="G22" s="6">
        <v>1</v>
      </c>
      <c r="H22" s="6">
        <v>0</v>
      </c>
      <c r="I22" s="4">
        <v>3</v>
      </c>
      <c r="J22" s="4">
        <v>0</v>
      </c>
      <c r="K22" s="6">
        <v>0</v>
      </c>
      <c r="L22" s="6">
        <v>0</v>
      </c>
      <c r="M22" s="2">
        <v>42</v>
      </c>
      <c r="N22" s="2">
        <v>9</v>
      </c>
    </row>
    <row r="23" spans="1:16" x14ac:dyDescent="0.25">
      <c r="A23" s="28">
        <v>23</v>
      </c>
      <c r="B23" s="23" t="s">
        <v>223</v>
      </c>
      <c r="C23" s="6">
        <v>0</v>
      </c>
      <c r="D23" s="6">
        <v>0</v>
      </c>
      <c r="E23" s="4">
        <v>0</v>
      </c>
      <c r="F23" s="4">
        <v>0</v>
      </c>
      <c r="G23" s="6">
        <v>0</v>
      </c>
      <c r="H23" s="6">
        <v>0</v>
      </c>
      <c r="I23" s="4">
        <v>0</v>
      </c>
      <c r="J23" s="4">
        <v>0</v>
      </c>
      <c r="K23" s="6">
        <v>0</v>
      </c>
      <c r="L23" s="6">
        <v>0</v>
      </c>
      <c r="M23" s="2">
        <v>0</v>
      </c>
      <c r="N23" s="2">
        <v>0</v>
      </c>
    </row>
    <row r="24" spans="1:16" x14ac:dyDescent="0.25">
      <c r="A24" s="28">
        <v>24</v>
      </c>
      <c r="B24" s="23" t="s">
        <v>115</v>
      </c>
      <c r="C24" s="6">
        <v>1</v>
      </c>
      <c r="D24" s="6">
        <v>0</v>
      </c>
      <c r="E24" s="4">
        <v>0</v>
      </c>
      <c r="F24" s="4">
        <v>0</v>
      </c>
      <c r="G24" s="6">
        <v>0</v>
      </c>
      <c r="H24" s="6">
        <v>0</v>
      </c>
      <c r="I24" s="4">
        <v>0</v>
      </c>
      <c r="J24" s="4">
        <v>0</v>
      </c>
      <c r="K24" s="6">
        <v>0</v>
      </c>
      <c r="L24" s="6">
        <v>0</v>
      </c>
      <c r="M24" s="2">
        <v>1</v>
      </c>
      <c r="N24" s="2">
        <v>0</v>
      </c>
      <c r="P24" s="55"/>
    </row>
    <row r="25" spans="1:16" x14ac:dyDescent="0.25">
      <c r="A25" s="28">
        <v>27</v>
      </c>
      <c r="B25" s="23" t="s">
        <v>262</v>
      </c>
      <c r="C25" s="6">
        <v>0</v>
      </c>
      <c r="D25" s="6">
        <v>0</v>
      </c>
      <c r="E25" s="4">
        <v>0</v>
      </c>
      <c r="F25" s="4">
        <v>0</v>
      </c>
      <c r="G25" s="6">
        <v>0</v>
      </c>
      <c r="H25" s="6">
        <v>0</v>
      </c>
      <c r="I25" s="4">
        <v>0</v>
      </c>
      <c r="J25" s="4">
        <v>0</v>
      </c>
      <c r="K25" s="6">
        <v>0</v>
      </c>
      <c r="L25" s="6">
        <v>0</v>
      </c>
      <c r="M25" s="2">
        <v>0</v>
      </c>
      <c r="N25" s="2">
        <v>0</v>
      </c>
    </row>
    <row r="26" spans="1:16" x14ac:dyDescent="0.25">
      <c r="A26" s="28">
        <v>29</v>
      </c>
      <c r="B26" s="37" t="s">
        <v>275</v>
      </c>
      <c r="C26" s="6">
        <v>23</v>
      </c>
      <c r="D26" s="6">
        <v>9</v>
      </c>
      <c r="E26" s="4">
        <v>6</v>
      </c>
      <c r="F26" s="4">
        <v>3</v>
      </c>
      <c r="G26" s="6">
        <v>1</v>
      </c>
      <c r="H26" s="6">
        <v>0</v>
      </c>
      <c r="I26" s="4">
        <v>4</v>
      </c>
      <c r="J26" s="4">
        <v>2</v>
      </c>
      <c r="K26" s="6">
        <v>0</v>
      </c>
      <c r="L26" s="6">
        <v>0</v>
      </c>
      <c r="M26" s="2">
        <v>34</v>
      </c>
      <c r="N26" s="2">
        <v>14</v>
      </c>
    </row>
    <row r="27" spans="1:16" x14ac:dyDescent="0.25">
      <c r="A27" s="27">
        <v>30</v>
      </c>
      <c r="B27" s="37" t="s">
        <v>294</v>
      </c>
      <c r="C27" s="6">
        <v>17</v>
      </c>
      <c r="D27" s="6">
        <v>0</v>
      </c>
      <c r="E27" s="4">
        <v>5</v>
      </c>
      <c r="F27" s="4">
        <v>0</v>
      </c>
      <c r="G27" s="6">
        <v>1</v>
      </c>
      <c r="H27" s="6">
        <v>0</v>
      </c>
      <c r="I27" s="4">
        <v>4</v>
      </c>
      <c r="J27" s="4">
        <v>1</v>
      </c>
      <c r="K27" s="6">
        <v>0</v>
      </c>
      <c r="L27" s="6">
        <v>0</v>
      </c>
      <c r="M27" s="2">
        <v>27</v>
      </c>
      <c r="N27" s="2">
        <v>1</v>
      </c>
      <c r="P27" s="55"/>
    </row>
    <row r="28" spans="1:16" x14ac:dyDescent="0.25">
      <c r="A28" s="28">
        <v>31</v>
      </c>
      <c r="B28" s="23" t="s">
        <v>270</v>
      </c>
      <c r="C28" s="6">
        <v>0</v>
      </c>
      <c r="D28" s="6">
        <v>0</v>
      </c>
      <c r="E28" s="4">
        <v>0</v>
      </c>
      <c r="F28" s="4">
        <v>0</v>
      </c>
      <c r="G28" s="6">
        <v>0</v>
      </c>
      <c r="H28" s="6">
        <v>0</v>
      </c>
      <c r="I28" s="4">
        <v>0</v>
      </c>
      <c r="J28" s="4">
        <v>0</v>
      </c>
      <c r="K28" s="6">
        <v>0</v>
      </c>
      <c r="L28" s="6">
        <v>0</v>
      </c>
      <c r="M28" s="2">
        <v>0</v>
      </c>
      <c r="N28" s="2">
        <v>0</v>
      </c>
      <c r="P28" s="55"/>
    </row>
    <row r="29" spans="1:16" x14ac:dyDescent="0.25">
      <c r="A29" s="28">
        <v>32</v>
      </c>
      <c r="B29" s="37" t="s">
        <v>295</v>
      </c>
      <c r="C29" s="6">
        <v>0</v>
      </c>
      <c r="D29" s="6">
        <v>0</v>
      </c>
      <c r="E29" s="4">
        <v>0</v>
      </c>
      <c r="F29" s="4">
        <v>0</v>
      </c>
      <c r="G29" s="6">
        <v>0</v>
      </c>
      <c r="H29" s="6">
        <v>0</v>
      </c>
      <c r="I29" s="4">
        <v>0</v>
      </c>
      <c r="J29" s="4">
        <v>0</v>
      </c>
      <c r="K29" s="6">
        <v>0</v>
      </c>
      <c r="L29" s="6">
        <v>0</v>
      </c>
      <c r="M29" s="2">
        <v>0</v>
      </c>
      <c r="N29" s="2">
        <v>0</v>
      </c>
      <c r="P29" s="55"/>
    </row>
    <row r="30" spans="1:16" x14ac:dyDescent="0.25">
      <c r="A30" s="28">
        <v>33</v>
      </c>
      <c r="B30" s="37" t="s">
        <v>291</v>
      </c>
      <c r="C30" s="6">
        <v>18</v>
      </c>
      <c r="D30" s="6">
        <v>2</v>
      </c>
      <c r="E30" s="4">
        <v>7</v>
      </c>
      <c r="F30" s="4">
        <v>1</v>
      </c>
      <c r="G30" s="6">
        <v>0</v>
      </c>
      <c r="H30" s="6">
        <v>0</v>
      </c>
      <c r="I30" s="4">
        <v>2</v>
      </c>
      <c r="J30" s="4">
        <v>0</v>
      </c>
      <c r="K30" s="6">
        <v>0</v>
      </c>
      <c r="L30" s="6">
        <v>0</v>
      </c>
      <c r="M30" s="2">
        <v>27</v>
      </c>
      <c r="N30" s="2">
        <v>3</v>
      </c>
      <c r="P30" s="55"/>
    </row>
    <row r="31" spans="1:16" x14ac:dyDescent="0.25">
      <c r="A31" s="28">
        <v>36</v>
      </c>
      <c r="B31" s="37" t="s">
        <v>303</v>
      </c>
      <c r="C31" s="6">
        <v>0</v>
      </c>
      <c r="D31" s="6">
        <v>0</v>
      </c>
      <c r="E31" s="4">
        <v>0</v>
      </c>
      <c r="F31" s="4">
        <v>0</v>
      </c>
      <c r="G31" s="6">
        <v>0</v>
      </c>
      <c r="H31" s="6">
        <v>0</v>
      </c>
      <c r="I31" s="4">
        <v>1</v>
      </c>
      <c r="J31" s="4">
        <v>0</v>
      </c>
      <c r="K31" s="6">
        <v>0</v>
      </c>
      <c r="L31" s="6">
        <v>0</v>
      </c>
      <c r="M31" s="2">
        <v>1</v>
      </c>
      <c r="N31" s="2">
        <v>0</v>
      </c>
      <c r="P31" s="55"/>
    </row>
    <row r="32" spans="1:16" x14ac:dyDescent="0.25">
      <c r="A32" s="28">
        <v>37</v>
      </c>
      <c r="B32" s="37" t="s">
        <v>307</v>
      </c>
      <c r="C32" s="6">
        <v>1</v>
      </c>
      <c r="D32" s="6">
        <v>0</v>
      </c>
      <c r="E32" s="4">
        <v>1</v>
      </c>
      <c r="F32" s="4">
        <v>0</v>
      </c>
      <c r="G32" s="6">
        <v>0</v>
      </c>
      <c r="H32" s="6">
        <v>0</v>
      </c>
      <c r="I32" s="4">
        <v>0</v>
      </c>
      <c r="J32" s="4">
        <v>0</v>
      </c>
      <c r="K32" s="6">
        <v>0</v>
      </c>
      <c r="L32" s="6">
        <v>0</v>
      </c>
      <c r="M32" s="2">
        <v>2</v>
      </c>
      <c r="N32" s="2">
        <v>0</v>
      </c>
      <c r="P32" s="55"/>
    </row>
    <row r="33" spans="1:16" x14ac:dyDescent="0.25">
      <c r="A33" s="27">
        <v>41</v>
      </c>
      <c r="B33" s="35" t="s">
        <v>277</v>
      </c>
      <c r="C33" s="6">
        <v>35</v>
      </c>
      <c r="D33" s="6">
        <v>4</v>
      </c>
      <c r="E33" s="4">
        <v>11</v>
      </c>
      <c r="F33" s="4">
        <v>4</v>
      </c>
      <c r="G33" s="6">
        <v>1</v>
      </c>
      <c r="H33" s="6">
        <v>0</v>
      </c>
      <c r="I33" s="4">
        <v>3</v>
      </c>
      <c r="J33" s="4">
        <v>1</v>
      </c>
      <c r="K33" s="6">
        <v>0</v>
      </c>
      <c r="L33" s="6">
        <v>0</v>
      </c>
      <c r="M33" s="2">
        <v>50</v>
      </c>
      <c r="N33" s="2">
        <v>9</v>
      </c>
      <c r="P33" s="55"/>
    </row>
    <row r="34" spans="1:16" x14ac:dyDescent="0.25">
      <c r="A34" s="27">
        <v>46</v>
      </c>
      <c r="B34" s="35" t="s">
        <v>298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6">
        <v>0</v>
      </c>
      <c r="I34" s="4">
        <v>1</v>
      </c>
      <c r="J34" s="4">
        <v>0</v>
      </c>
      <c r="K34" s="6">
        <v>0</v>
      </c>
      <c r="L34" s="6">
        <v>0</v>
      </c>
      <c r="M34" s="2">
        <v>1</v>
      </c>
      <c r="N34" s="2">
        <v>0</v>
      </c>
      <c r="P34" s="55"/>
    </row>
    <row r="35" spans="1:16" x14ac:dyDescent="0.25">
      <c r="A35" s="27">
        <v>47</v>
      </c>
      <c r="B35" s="35" t="s">
        <v>299</v>
      </c>
      <c r="C35" s="6">
        <v>0</v>
      </c>
      <c r="D35" s="6">
        <v>0</v>
      </c>
      <c r="E35" s="4">
        <v>0</v>
      </c>
      <c r="F35" s="4">
        <v>0</v>
      </c>
      <c r="G35" s="6">
        <v>0</v>
      </c>
      <c r="H35" s="6">
        <v>0</v>
      </c>
      <c r="I35" s="4">
        <v>1</v>
      </c>
      <c r="J35" s="4">
        <v>0</v>
      </c>
      <c r="K35" s="6">
        <v>0</v>
      </c>
      <c r="L35" s="6">
        <v>0</v>
      </c>
      <c r="M35" s="2">
        <v>1</v>
      </c>
      <c r="N35" s="2">
        <v>0</v>
      </c>
      <c r="P35" s="55"/>
    </row>
    <row r="36" spans="1:16" x14ac:dyDescent="0.25">
      <c r="A36" s="27">
        <v>49</v>
      </c>
      <c r="B36" s="35" t="s">
        <v>297</v>
      </c>
      <c r="C36" s="6">
        <v>22</v>
      </c>
      <c r="D36" s="6">
        <v>1</v>
      </c>
      <c r="E36" s="4">
        <v>8</v>
      </c>
      <c r="F36" s="4">
        <v>0</v>
      </c>
      <c r="G36" s="6">
        <v>1</v>
      </c>
      <c r="H36" s="6">
        <v>0</v>
      </c>
      <c r="I36" s="4">
        <v>5</v>
      </c>
      <c r="J36" s="4">
        <v>0</v>
      </c>
      <c r="K36" s="6">
        <v>0</v>
      </c>
      <c r="L36" s="6">
        <v>0</v>
      </c>
      <c r="M36" s="2">
        <v>39</v>
      </c>
      <c r="N36" s="2">
        <v>1</v>
      </c>
      <c r="P36" s="55"/>
    </row>
    <row r="37" spans="1:16" x14ac:dyDescent="0.25">
      <c r="A37" s="27">
        <v>51</v>
      </c>
      <c r="B37" s="35" t="s">
        <v>300</v>
      </c>
      <c r="C37" s="6">
        <v>0</v>
      </c>
      <c r="D37" s="6">
        <v>0</v>
      </c>
      <c r="E37" s="4">
        <v>0</v>
      </c>
      <c r="F37" s="4">
        <v>0</v>
      </c>
      <c r="G37" s="6">
        <v>0</v>
      </c>
      <c r="H37" s="6">
        <v>0</v>
      </c>
      <c r="I37" s="4">
        <v>1</v>
      </c>
      <c r="J37" s="4">
        <v>0</v>
      </c>
      <c r="K37" s="6">
        <v>0</v>
      </c>
      <c r="L37" s="6">
        <v>0</v>
      </c>
      <c r="M37" s="2">
        <v>1</v>
      </c>
      <c r="N37" s="2">
        <v>0</v>
      </c>
      <c r="P37" s="55"/>
    </row>
    <row r="38" spans="1:16" x14ac:dyDescent="0.25">
      <c r="A38" s="28">
        <v>53</v>
      </c>
      <c r="B38" s="40" t="s">
        <v>263</v>
      </c>
      <c r="C38" s="6">
        <v>25</v>
      </c>
      <c r="D38" s="6">
        <v>4</v>
      </c>
      <c r="E38" s="4">
        <v>5</v>
      </c>
      <c r="F38" s="4">
        <v>1</v>
      </c>
      <c r="G38" s="6">
        <v>0</v>
      </c>
      <c r="H38" s="6">
        <v>0</v>
      </c>
      <c r="I38" s="4">
        <v>4</v>
      </c>
      <c r="J38" s="4">
        <v>3</v>
      </c>
      <c r="K38" s="6">
        <v>0</v>
      </c>
      <c r="L38" s="6">
        <v>0</v>
      </c>
      <c r="M38" s="2">
        <v>34</v>
      </c>
      <c r="N38" s="2">
        <v>8</v>
      </c>
    </row>
    <row r="39" spans="1:16" x14ac:dyDescent="0.25">
      <c r="A39" s="28">
        <v>71</v>
      </c>
      <c r="B39" s="23" t="s">
        <v>292</v>
      </c>
      <c r="C39" s="6">
        <v>0</v>
      </c>
      <c r="D39" s="6">
        <v>0</v>
      </c>
      <c r="E39" s="4">
        <v>0</v>
      </c>
      <c r="F39" s="4">
        <v>0</v>
      </c>
      <c r="G39" s="6">
        <v>0</v>
      </c>
      <c r="H39" s="6">
        <v>0</v>
      </c>
      <c r="I39" s="4">
        <v>0</v>
      </c>
      <c r="J39" s="4">
        <v>0</v>
      </c>
      <c r="K39" s="6">
        <v>0</v>
      </c>
      <c r="L39" s="6">
        <v>0</v>
      </c>
      <c r="M39" s="2">
        <v>0</v>
      </c>
      <c r="N39" s="2">
        <v>0</v>
      </c>
    </row>
    <row r="40" spans="1:16" x14ac:dyDescent="0.25">
      <c r="A40" s="28">
        <v>76</v>
      </c>
      <c r="B40" s="37" t="s">
        <v>304</v>
      </c>
      <c r="C40" s="6">
        <v>0</v>
      </c>
      <c r="D40" s="6">
        <v>0</v>
      </c>
      <c r="E40" s="4">
        <v>0</v>
      </c>
      <c r="F40" s="4">
        <v>0</v>
      </c>
      <c r="G40" s="6">
        <v>0</v>
      </c>
      <c r="H40" s="6">
        <v>0</v>
      </c>
      <c r="I40" s="4">
        <v>1</v>
      </c>
      <c r="J40" s="4">
        <v>0</v>
      </c>
      <c r="K40" s="6">
        <v>0</v>
      </c>
      <c r="L40" s="6">
        <v>0</v>
      </c>
      <c r="M40" s="2">
        <v>1</v>
      </c>
      <c r="N40" s="2">
        <v>0</v>
      </c>
    </row>
    <row r="41" spans="1:16" x14ac:dyDescent="0.25">
      <c r="A41" s="28">
        <v>92</v>
      </c>
      <c r="B41" s="37" t="s">
        <v>301</v>
      </c>
      <c r="C41" s="6">
        <v>0</v>
      </c>
      <c r="D41" s="6">
        <v>0</v>
      </c>
      <c r="E41" s="4">
        <v>0</v>
      </c>
      <c r="F41" s="4">
        <v>0</v>
      </c>
      <c r="G41" s="6">
        <v>0</v>
      </c>
      <c r="H41" s="6">
        <v>0</v>
      </c>
      <c r="I41" s="4">
        <v>1</v>
      </c>
      <c r="J41" s="4">
        <v>0</v>
      </c>
      <c r="K41" s="6">
        <v>0</v>
      </c>
      <c r="L41" s="6">
        <v>0</v>
      </c>
      <c r="M41" s="2">
        <v>1</v>
      </c>
      <c r="N41" s="2">
        <v>0</v>
      </c>
    </row>
  </sheetData>
  <autoFilter ref="A3:N24" xr:uid="{00000000-0009-0000-0000-000002000000}">
    <sortState xmlns:xlrd2="http://schemas.microsoft.com/office/spreadsheetml/2017/richdata2" ref="A4:N26">
      <sortCondition ref="A3:A24"/>
    </sortState>
  </autoFilter>
  <mergeCells count="6">
    <mergeCell ref="M2:N2"/>
    <mergeCell ref="C2:D2"/>
    <mergeCell ref="E2:F2"/>
    <mergeCell ref="G2:H2"/>
    <mergeCell ref="I2:J2"/>
    <mergeCell ref="K2:L2"/>
  </mergeCells>
  <conditionalFormatting sqref="M4:N41">
    <cfRule type="cellIs" dxfId="26" priority="2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2C2E-A358-41CC-8E90-B245DE16FE61}">
  <dimension ref="A1:P42"/>
  <sheetViews>
    <sheetView zoomScale="85" zoomScaleNormal="85" zoomScalePageLayoutView="110" workbookViewId="0">
      <selection activeCell="A6" sqref="A6:XFD6"/>
    </sheetView>
  </sheetViews>
  <sheetFormatPr defaultColWidth="8.85546875" defaultRowHeight="15" x14ac:dyDescent="0.25"/>
  <cols>
    <col min="1" max="1" width="3.42578125" customWidth="1"/>
    <col min="2" max="2" width="25.7109375" customWidth="1"/>
    <col min="4" max="4" width="8.7109375" customWidth="1"/>
    <col min="11" max="12" width="8.85546875" customWidth="1"/>
  </cols>
  <sheetData>
    <row r="1" spans="1:16" x14ac:dyDescent="0.25">
      <c r="A1" s="1" t="s">
        <v>0</v>
      </c>
      <c r="B1" s="1"/>
      <c r="C1" s="1"/>
      <c r="D1" s="1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5">
      <c r="A2" s="3"/>
      <c r="B2" s="5"/>
      <c r="C2" s="206" t="s">
        <v>4</v>
      </c>
      <c r="D2" s="206"/>
      <c r="E2" s="207" t="s">
        <v>120</v>
      </c>
      <c r="F2" s="207"/>
      <c r="G2" s="206" t="s">
        <v>108</v>
      </c>
      <c r="H2" s="206"/>
      <c r="I2" s="207" t="s">
        <v>110</v>
      </c>
      <c r="J2" s="207"/>
      <c r="K2" s="206" t="s">
        <v>39</v>
      </c>
      <c r="L2" s="206"/>
      <c r="M2" s="211" t="s">
        <v>7</v>
      </c>
      <c r="N2" s="211"/>
    </row>
    <row r="3" spans="1:16" x14ac:dyDescent="0.25">
      <c r="A3" s="3" t="s">
        <v>48</v>
      </c>
      <c r="B3" s="5" t="s">
        <v>1</v>
      </c>
      <c r="C3" s="5" t="s">
        <v>2</v>
      </c>
      <c r="D3" s="5" t="s">
        <v>3</v>
      </c>
      <c r="E3" s="3" t="s">
        <v>2</v>
      </c>
      <c r="F3" s="3" t="s">
        <v>3</v>
      </c>
      <c r="G3" s="5" t="s">
        <v>5</v>
      </c>
      <c r="H3" s="5" t="s">
        <v>3</v>
      </c>
      <c r="I3" s="3" t="s">
        <v>2</v>
      </c>
      <c r="J3" s="3" t="s">
        <v>3</v>
      </c>
      <c r="K3" s="5" t="s">
        <v>2</v>
      </c>
      <c r="L3" s="5" t="s">
        <v>3</v>
      </c>
      <c r="M3" s="8" t="s">
        <v>2</v>
      </c>
      <c r="N3" s="8" t="s">
        <v>3</v>
      </c>
    </row>
    <row r="4" spans="1:16" x14ac:dyDescent="0.25">
      <c r="A4" s="27">
        <v>1</v>
      </c>
      <c r="B4" s="37" t="s">
        <v>278</v>
      </c>
      <c r="C4" s="6">
        <v>37</v>
      </c>
      <c r="D4" s="6">
        <v>0</v>
      </c>
      <c r="E4" s="4">
        <v>14</v>
      </c>
      <c r="F4" s="4">
        <v>0</v>
      </c>
      <c r="G4" s="6">
        <v>0</v>
      </c>
      <c r="H4" s="6">
        <v>0</v>
      </c>
      <c r="I4" s="4">
        <v>0</v>
      </c>
      <c r="J4" s="4">
        <v>0</v>
      </c>
      <c r="K4" s="6">
        <v>0</v>
      </c>
      <c r="L4" s="6">
        <v>0</v>
      </c>
      <c r="M4" s="2">
        <v>51</v>
      </c>
      <c r="N4" s="2">
        <v>0</v>
      </c>
    </row>
    <row r="5" spans="1:16" x14ac:dyDescent="0.25">
      <c r="A5" s="27">
        <v>2</v>
      </c>
      <c r="B5" s="35" t="s">
        <v>196</v>
      </c>
      <c r="C5" s="6">
        <v>31</v>
      </c>
      <c r="D5" s="6">
        <v>1</v>
      </c>
      <c r="E5" s="4">
        <v>12</v>
      </c>
      <c r="F5" s="4">
        <v>0</v>
      </c>
      <c r="G5" s="6">
        <v>2</v>
      </c>
      <c r="H5" s="6">
        <v>0</v>
      </c>
      <c r="I5" s="4">
        <v>5</v>
      </c>
      <c r="J5" s="4">
        <v>0</v>
      </c>
      <c r="K5" s="6">
        <v>0</v>
      </c>
      <c r="L5" s="6">
        <v>0</v>
      </c>
      <c r="M5" s="2">
        <v>50</v>
      </c>
      <c r="N5" s="2">
        <v>1</v>
      </c>
      <c r="P5" s="55"/>
    </row>
    <row r="6" spans="1:16" x14ac:dyDescent="0.25">
      <c r="A6" s="27">
        <v>3</v>
      </c>
      <c r="B6" s="35" t="s">
        <v>316</v>
      </c>
      <c r="C6" s="6">
        <v>20</v>
      </c>
      <c r="D6" s="6">
        <v>0</v>
      </c>
      <c r="E6" s="4">
        <v>10</v>
      </c>
      <c r="F6" s="4">
        <v>0</v>
      </c>
      <c r="G6" s="6">
        <v>3</v>
      </c>
      <c r="H6" s="6">
        <v>0</v>
      </c>
      <c r="I6" s="4">
        <v>2</v>
      </c>
      <c r="J6" s="4">
        <v>0</v>
      </c>
      <c r="K6" s="6">
        <v>0</v>
      </c>
      <c r="L6" s="6">
        <v>0</v>
      </c>
      <c r="M6" s="2">
        <v>35</v>
      </c>
      <c r="N6" s="2">
        <v>0</v>
      </c>
      <c r="P6" s="55"/>
    </row>
    <row r="7" spans="1:16" x14ac:dyDescent="0.25">
      <c r="A7" s="27">
        <v>4</v>
      </c>
      <c r="B7" s="37" t="s">
        <v>220</v>
      </c>
      <c r="C7" s="6">
        <v>12</v>
      </c>
      <c r="D7" s="6">
        <v>0</v>
      </c>
      <c r="E7" s="4">
        <v>10</v>
      </c>
      <c r="F7" s="4">
        <v>0</v>
      </c>
      <c r="G7" s="6">
        <v>3</v>
      </c>
      <c r="H7" s="6">
        <v>0</v>
      </c>
      <c r="I7" s="4">
        <v>4</v>
      </c>
      <c r="J7" s="4">
        <v>1</v>
      </c>
      <c r="K7" s="6">
        <v>0</v>
      </c>
      <c r="L7" s="6">
        <v>0</v>
      </c>
      <c r="M7" s="2">
        <v>29</v>
      </c>
      <c r="N7" s="2">
        <v>1</v>
      </c>
      <c r="P7" s="55"/>
    </row>
    <row r="8" spans="1:16" x14ac:dyDescent="0.25">
      <c r="A8" s="27">
        <v>5</v>
      </c>
      <c r="B8" s="37" t="s">
        <v>318</v>
      </c>
      <c r="C8" s="6">
        <v>25</v>
      </c>
      <c r="D8" s="6">
        <v>1</v>
      </c>
      <c r="E8" s="4">
        <v>9</v>
      </c>
      <c r="F8" s="4">
        <v>0</v>
      </c>
      <c r="G8" s="6">
        <v>1</v>
      </c>
      <c r="H8" s="6">
        <v>0</v>
      </c>
      <c r="I8" s="4">
        <v>3</v>
      </c>
      <c r="J8" s="4">
        <v>0</v>
      </c>
      <c r="K8" s="6">
        <v>0</v>
      </c>
      <c r="L8" s="6">
        <v>0</v>
      </c>
      <c r="M8" s="2">
        <v>38</v>
      </c>
      <c r="N8" s="2">
        <v>1</v>
      </c>
      <c r="P8" s="55"/>
    </row>
    <row r="9" spans="1:16" x14ac:dyDescent="0.25">
      <c r="A9" s="27">
        <v>6</v>
      </c>
      <c r="B9" s="37" t="s">
        <v>198</v>
      </c>
      <c r="C9" s="6">
        <v>32</v>
      </c>
      <c r="D9" s="6">
        <v>3</v>
      </c>
      <c r="E9" s="4">
        <v>12</v>
      </c>
      <c r="F9" s="4">
        <v>1</v>
      </c>
      <c r="G9" s="6">
        <v>2</v>
      </c>
      <c r="H9" s="6">
        <v>0</v>
      </c>
      <c r="I9" s="4">
        <v>5</v>
      </c>
      <c r="J9" s="4">
        <v>0</v>
      </c>
      <c r="K9" s="6">
        <v>0</v>
      </c>
      <c r="L9" s="6">
        <v>0</v>
      </c>
      <c r="M9" s="2">
        <v>51</v>
      </c>
      <c r="N9" s="2">
        <v>4</v>
      </c>
      <c r="P9" s="55"/>
    </row>
    <row r="10" spans="1:16" x14ac:dyDescent="0.25">
      <c r="A10" s="27">
        <v>7</v>
      </c>
      <c r="B10" s="37" t="s">
        <v>180</v>
      </c>
      <c r="C10" s="6">
        <v>31</v>
      </c>
      <c r="D10" s="6">
        <v>7</v>
      </c>
      <c r="E10" s="4">
        <v>11</v>
      </c>
      <c r="F10" s="4">
        <v>3</v>
      </c>
      <c r="G10" s="6">
        <v>2</v>
      </c>
      <c r="H10" s="6">
        <v>0</v>
      </c>
      <c r="I10" s="4">
        <v>5</v>
      </c>
      <c r="J10" s="4">
        <v>1</v>
      </c>
      <c r="K10" s="6">
        <v>0</v>
      </c>
      <c r="L10" s="6">
        <v>0</v>
      </c>
      <c r="M10" s="2">
        <v>49</v>
      </c>
      <c r="N10" s="2">
        <v>11</v>
      </c>
      <c r="P10" s="55"/>
    </row>
    <row r="11" spans="1:16" x14ac:dyDescent="0.25">
      <c r="A11" s="27">
        <v>8</v>
      </c>
      <c r="B11" s="37" t="s">
        <v>218</v>
      </c>
      <c r="C11" s="6">
        <v>24</v>
      </c>
      <c r="D11" s="6">
        <v>1</v>
      </c>
      <c r="E11" s="4">
        <v>7</v>
      </c>
      <c r="F11" s="4">
        <v>0</v>
      </c>
      <c r="G11" s="6">
        <v>2</v>
      </c>
      <c r="H11" s="6">
        <v>0</v>
      </c>
      <c r="I11" s="4">
        <v>2</v>
      </c>
      <c r="J11" s="4">
        <v>0</v>
      </c>
      <c r="K11" s="6">
        <v>0</v>
      </c>
      <c r="L11" s="6">
        <v>0</v>
      </c>
      <c r="M11" s="2">
        <v>35</v>
      </c>
      <c r="N11" s="2">
        <v>1</v>
      </c>
      <c r="P11" s="55"/>
    </row>
    <row r="12" spans="1:16" x14ac:dyDescent="0.25">
      <c r="A12" s="27">
        <v>9</v>
      </c>
      <c r="B12" s="37" t="s">
        <v>259</v>
      </c>
      <c r="C12" s="6">
        <v>14</v>
      </c>
      <c r="D12" s="6">
        <v>3</v>
      </c>
      <c r="E12" s="4">
        <v>6</v>
      </c>
      <c r="F12" s="4">
        <v>2</v>
      </c>
      <c r="G12" s="6">
        <v>4</v>
      </c>
      <c r="H12" s="6">
        <v>1</v>
      </c>
      <c r="I12" s="4">
        <v>3</v>
      </c>
      <c r="J12" s="4">
        <v>0</v>
      </c>
      <c r="K12" s="6">
        <v>0</v>
      </c>
      <c r="L12" s="6">
        <v>0</v>
      </c>
      <c r="M12" s="2">
        <v>27</v>
      </c>
      <c r="N12" s="2">
        <v>6</v>
      </c>
      <c r="P12" s="55"/>
    </row>
    <row r="13" spans="1:16" x14ac:dyDescent="0.25">
      <c r="A13" s="27">
        <v>10</v>
      </c>
      <c r="B13" s="37" t="s">
        <v>319</v>
      </c>
      <c r="C13" s="6">
        <v>32</v>
      </c>
      <c r="D13" s="6">
        <v>6</v>
      </c>
      <c r="E13" s="4">
        <v>13</v>
      </c>
      <c r="F13" s="4">
        <v>1</v>
      </c>
      <c r="G13" s="6">
        <v>3</v>
      </c>
      <c r="H13" s="6">
        <v>1</v>
      </c>
      <c r="I13" s="4">
        <v>4</v>
      </c>
      <c r="J13" s="4">
        <v>1</v>
      </c>
      <c r="K13" s="6">
        <v>0</v>
      </c>
      <c r="L13" s="6">
        <v>0</v>
      </c>
      <c r="M13" s="2">
        <v>52</v>
      </c>
      <c r="N13" s="2">
        <v>9</v>
      </c>
      <c r="P13" s="55"/>
    </row>
    <row r="14" spans="1:16" x14ac:dyDescent="0.25">
      <c r="A14" s="27">
        <v>11</v>
      </c>
      <c r="B14" s="35" t="s">
        <v>188</v>
      </c>
      <c r="C14" s="6">
        <v>29</v>
      </c>
      <c r="D14" s="6">
        <v>1</v>
      </c>
      <c r="E14" s="4">
        <v>13</v>
      </c>
      <c r="F14" s="4">
        <v>6</v>
      </c>
      <c r="G14" s="6">
        <v>4</v>
      </c>
      <c r="H14" s="6">
        <v>4</v>
      </c>
      <c r="I14" s="4">
        <v>5</v>
      </c>
      <c r="J14" s="4">
        <v>0</v>
      </c>
      <c r="K14" s="6">
        <v>0</v>
      </c>
      <c r="L14" s="6">
        <v>0</v>
      </c>
      <c r="M14" s="2">
        <v>51</v>
      </c>
      <c r="N14" s="2">
        <v>11</v>
      </c>
      <c r="P14" s="55"/>
    </row>
    <row r="15" spans="1:16" x14ac:dyDescent="0.25">
      <c r="A15" s="27">
        <v>12</v>
      </c>
      <c r="B15" s="35" t="s">
        <v>276</v>
      </c>
      <c r="C15" s="6">
        <v>30</v>
      </c>
      <c r="D15" s="6">
        <v>3</v>
      </c>
      <c r="E15" s="4">
        <v>8</v>
      </c>
      <c r="F15" s="4">
        <v>1</v>
      </c>
      <c r="G15" s="6">
        <v>2</v>
      </c>
      <c r="H15" s="6">
        <v>0</v>
      </c>
      <c r="I15" s="4">
        <v>4</v>
      </c>
      <c r="J15" s="4">
        <v>0</v>
      </c>
      <c r="K15" s="6">
        <v>0</v>
      </c>
      <c r="L15" s="6">
        <v>0</v>
      </c>
      <c r="M15" s="2">
        <v>44</v>
      </c>
      <c r="N15" s="2">
        <v>4</v>
      </c>
      <c r="P15" s="55"/>
    </row>
    <row r="16" spans="1:16" x14ac:dyDescent="0.25">
      <c r="A16" s="27">
        <v>13</v>
      </c>
      <c r="B16" s="149" t="s">
        <v>312</v>
      </c>
      <c r="C16" s="6">
        <v>1</v>
      </c>
      <c r="D16" s="6">
        <v>0</v>
      </c>
      <c r="E16" s="4">
        <v>1</v>
      </c>
      <c r="F16" s="4">
        <v>0</v>
      </c>
      <c r="G16" s="6">
        <v>4</v>
      </c>
      <c r="H16" s="6">
        <v>0</v>
      </c>
      <c r="I16" s="4">
        <v>6</v>
      </c>
      <c r="J16" s="4">
        <v>0</v>
      </c>
      <c r="K16" s="6">
        <v>0</v>
      </c>
      <c r="L16" s="6">
        <v>0</v>
      </c>
      <c r="M16" s="2">
        <v>12</v>
      </c>
      <c r="N16" s="2">
        <v>0</v>
      </c>
      <c r="P16" s="55"/>
    </row>
    <row r="17" spans="1:16" x14ac:dyDescent="0.25">
      <c r="A17" s="27">
        <v>14</v>
      </c>
      <c r="B17" s="149" t="s">
        <v>317</v>
      </c>
      <c r="C17" s="6">
        <v>36</v>
      </c>
      <c r="D17" s="6">
        <v>14</v>
      </c>
      <c r="E17" s="4">
        <v>13</v>
      </c>
      <c r="F17" s="4">
        <v>5</v>
      </c>
      <c r="G17" s="6">
        <v>2</v>
      </c>
      <c r="H17" s="6">
        <v>1</v>
      </c>
      <c r="I17" s="4">
        <v>4</v>
      </c>
      <c r="J17" s="4">
        <v>1</v>
      </c>
      <c r="K17" s="6">
        <v>0</v>
      </c>
      <c r="L17" s="6">
        <v>0</v>
      </c>
      <c r="M17" s="2">
        <v>55</v>
      </c>
      <c r="N17" s="2">
        <v>21</v>
      </c>
      <c r="P17" s="55"/>
    </row>
    <row r="18" spans="1:16" x14ac:dyDescent="0.25">
      <c r="A18" s="27">
        <v>15</v>
      </c>
      <c r="B18" s="23" t="s">
        <v>273</v>
      </c>
      <c r="C18" s="6">
        <v>0</v>
      </c>
      <c r="D18" s="6">
        <v>0</v>
      </c>
      <c r="E18" s="4">
        <v>0</v>
      </c>
      <c r="F18" s="4">
        <v>0</v>
      </c>
      <c r="G18" s="6">
        <v>0</v>
      </c>
      <c r="H18" s="6">
        <v>0</v>
      </c>
      <c r="I18" s="4">
        <v>0</v>
      </c>
      <c r="J18" s="4">
        <v>0</v>
      </c>
      <c r="K18" s="6">
        <v>0</v>
      </c>
      <c r="L18" s="6">
        <v>0</v>
      </c>
      <c r="M18" s="2">
        <v>0</v>
      </c>
      <c r="N18" s="2">
        <v>0</v>
      </c>
      <c r="P18" s="55"/>
    </row>
    <row r="19" spans="1:16" x14ac:dyDescent="0.25">
      <c r="A19" s="27">
        <v>16</v>
      </c>
      <c r="B19" s="37" t="s">
        <v>314</v>
      </c>
      <c r="C19" s="6">
        <v>7</v>
      </c>
      <c r="D19" s="6">
        <v>0</v>
      </c>
      <c r="E19" s="4">
        <v>6</v>
      </c>
      <c r="F19" s="4">
        <v>0</v>
      </c>
      <c r="G19" s="6">
        <v>4</v>
      </c>
      <c r="H19" s="6">
        <v>0</v>
      </c>
      <c r="I19" s="4">
        <v>3</v>
      </c>
      <c r="J19" s="4">
        <v>0</v>
      </c>
      <c r="K19" s="6">
        <v>0</v>
      </c>
      <c r="L19" s="6">
        <v>0</v>
      </c>
      <c r="M19" s="2">
        <v>20</v>
      </c>
      <c r="N19" s="2">
        <v>0</v>
      </c>
      <c r="P19" s="55"/>
    </row>
    <row r="20" spans="1:16" x14ac:dyDescent="0.25">
      <c r="A20" s="27">
        <v>19</v>
      </c>
      <c r="B20" s="37" t="s">
        <v>271</v>
      </c>
      <c r="C20" s="6">
        <v>31</v>
      </c>
      <c r="D20" s="6">
        <v>6</v>
      </c>
      <c r="E20" s="4">
        <v>11</v>
      </c>
      <c r="F20" s="4">
        <v>1</v>
      </c>
      <c r="G20" s="6">
        <v>2</v>
      </c>
      <c r="H20" s="6">
        <v>0</v>
      </c>
      <c r="I20" s="4">
        <v>6</v>
      </c>
      <c r="J20" s="4">
        <v>1</v>
      </c>
      <c r="K20" s="6">
        <v>0</v>
      </c>
      <c r="L20" s="6">
        <v>0</v>
      </c>
      <c r="M20" s="2">
        <v>50</v>
      </c>
      <c r="N20" s="2">
        <v>8</v>
      </c>
    </row>
    <row r="21" spans="1:16" x14ac:dyDescent="0.25">
      <c r="A21" s="27">
        <v>20</v>
      </c>
      <c r="B21" s="148" t="s">
        <v>315</v>
      </c>
      <c r="C21" s="6">
        <v>26</v>
      </c>
      <c r="D21" s="6">
        <v>3</v>
      </c>
      <c r="E21" s="4">
        <v>9</v>
      </c>
      <c r="F21" s="4">
        <v>3</v>
      </c>
      <c r="G21" s="6">
        <v>4</v>
      </c>
      <c r="H21" s="6">
        <v>2</v>
      </c>
      <c r="I21" s="4">
        <v>3</v>
      </c>
      <c r="J21" s="4">
        <v>0</v>
      </c>
      <c r="K21" s="6">
        <v>0</v>
      </c>
      <c r="L21" s="6">
        <v>0</v>
      </c>
      <c r="M21" s="2">
        <v>42</v>
      </c>
      <c r="N21" s="2">
        <v>8</v>
      </c>
    </row>
    <row r="22" spans="1:16" x14ac:dyDescent="0.25">
      <c r="A22" s="28">
        <v>21</v>
      </c>
      <c r="B22" s="23" t="s">
        <v>258</v>
      </c>
      <c r="C22" s="6">
        <v>0</v>
      </c>
      <c r="D22" s="6">
        <v>0</v>
      </c>
      <c r="E22" s="4">
        <v>0</v>
      </c>
      <c r="F22" s="4">
        <v>0</v>
      </c>
      <c r="G22" s="6">
        <v>0</v>
      </c>
      <c r="H22" s="6">
        <v>0</v>
      </c>
      <c r="I22" s="4">
        <v>0</v>
      </c>
      <c r="J22" s="4">
        <v>0</v>
      </c>
      <c r="K22" s="6">
        <v>0</v>
      </c>
      <c r="L22" s="6">
        <v>0</v>
      </c>
      <c r="M22" s="2">
        <v>0</v>
      </c>
      <c r="N22" s="2">
        <v>0</v>
      </c>
      <c r="P22" s="55"/>
    </row>
    <row r="23" spans="1:16" x14ac:dyDescent="0.25">
      <c r="A23" s="28">
        <v>22</v>
      </c>
      <c r="B23" s="40" t="s">
        <v>263</v>
      </c>
      <c r="C23" s="6">
        <v>6</v>
      </c>
      <c r="D23" s="6">
        <v>0</v>
      </c>
      <c r="E23" s="4">
        <v>3</v>
      </c>
      <c r="F23" s="4">
        <v>0</v>
      </c>
      <c r="G23" s="6">
        <v>1</v>
      </c>
      <c r="H23" s="6">
        <v>0</v>
      </c>
      <c r="I23" s="4">
        <v>2</v>
      </c>
      <c r="J23" s="4">
        <v>1</v>
      </c>
      <c r="K23" s="6">
        <v>0</v>
      </c>
      <c r="L23" s="6">
        <v>0</v>
      </c>
      <c r="M23" s="2">
        <v>12</v>
      </c>
      <c r="N23" s="2">
        <v>1</v>
      </c>
    </row>
    <row r="24" spans="1:16" x14ac:dyDescent="0.25">
      <c r="A24" s="28">
        <v>23</v>
      </c>
      <c r="B24" s="37" t="s">
        <v>293</v>
      </c>
      <c r="C24" s="6">
        <v>22</v>
      </c>
      <c r="D24" s="6">
        <v>4</v>
      </c>
      <c r="E24" s="4">
        <v>8</v>
      </c>
      <c r="F24" s="4">
        <v>2</v>
      </c>
      <c r="G24" s="6">
        <v>1</v>
      </c>
      <c r="H24" s="6">
        <v>0</v>
      </c>
      <c r="I24" s="4">
        <v>4</v>
      </c>
      <c r="J24" s="4">
        <v>0</v>
      </c>
      <c r="K24" s="6">
        <v>0</v>
      </c>
      <c r="L24" s="6">
        <v>0</v>
      </c>
      <c r="M24" s="2">
        <v>35</v>
      </c>
      <c r="N24" s="2">
        <v>6</v>
      </c>
    </row>
    <row r="25" spans="1:16" x14ac:dyDescent="0.25">
      <c r="A25" s="28">
        <v>24</v>
      </c>
      <c r="B25" s="155" t="s">
        <v>115</v>
      </c>
      <c r="C25" s="6">
        <v>0</v>
      </c>
      <c r="D25" s="6">
        <v>0</v>
      </c>
      <c r="E25" s="4">
        <v>0</v>
      </c>
      <c r="F25" s="4">
        <v>0</v>
      </c>
      <c r="G25" s="6">
        <v>0</v>
      </c>
      <c r="H25" s="6">
        <v>0</v>
      </c>
      <c r="I25" s="4">
        <v>0</v>
      </c>
      <c r="J25" s="4">
        <v>0</v>
      </c>
      <c r="K25" s="6">
        <v>0</v>
      </c>
      <c r="L25" s="6">
        <v>0</v>
      </c>
      <c r="M25" s="2">
        <v>0</v>
      </c>
      <c r="N25" s="2">
        <v>0</v>
      </c>
      <c r="P25" s="55"/>
    </row>
    <row r="26" spans="1:16" x14ac:dyDescent="0.25">
      <c r="A26" s="28">
        <v>29</v>
      </c>
      <c r="B26" s="148" t="s">
        <v>275</v>
      </c>
      <c r="C26" s="6">
        <v>12</v>
      </c>
      <c r="D26" s="6">
        <v>2</v>
      </c>
      <c r="E26" s="4">
        <v>6</v>
      </c>
      <c r="F26" s="4">
        <v>4</v>
      </c>
      <c r="G26" s="6">
        <v>3</v>
      </c>
      <c r="H26" s="6">
        <v>0</v>
      </c>
      <c r="I26" s="4">
        <v>3</v>
      </c>
      <c r="J26" s="4">
        <v>1</v>
      </c>
      <c r="K26" s="6">
        <v>0</v>
      </c>
      <c r="L26" s="6">
        <v>0</v>
      </c>
      <c r="M26" s="2">
        <v>24</v>
      </c>
      <c r="N26" s="2">
        <v>7</v>
      </c>
      <c r="P26" s="55"/>
    </row>
    <row r="27" spans="1:16" x14ac:dyDescent="0.25">
      <c r="A27" s="28">
        <v>31</v>
      </c>
      <c r="B27" s="155" t="s">
        <v>270</v>
      </c>
      <c r="C27" s="6">
        <v>0</v>
      </c>
      <c r="D27" s="6">
        <v>0</v>
      </c>
      <c r="E27" s="4">
        <v>0</v>
      </c>
      <c r="F27" s="4">
        <v>0</v>
      </c>
      <c r="G27" s="6">
        <v>0</v>
      </c>
      <c r="H27" s="6">
        <v>0</v>
      </c>
      <c r="I27" s="4">
        <v>0</v>
      </c>
      <c r="J27" s="4">
        <v>0</v>
      </c>
      <c r="K27" s="6">
        <v>0</v>
      </c>
      <c r="L27" s="6">
        <v>0</v>
      </c>
      <c r="M27" s="2">
        <v>0</v>
      </c>
      <c r="N27" s="2">
        <v>0</v>
      </c>
      <c r="P27" s="55"/>
    </row>
    <row r="28" spans="1:16" x14ac:dyDescent="0.25">
      <c r="A28" s="28">
        <v>33</v>
      </c>
      <c r="B28" s="148" t="s">
        <v>291</v>
      </c>
      <c r="C28" s="6">
        <v>26</v>
      </c>
      <c r="D28" s="6">
        <v>1</v>
      </c>
      <c r="E28" s="4">
        <v>4</v>
      </c>
      <c r="F28" s="4">
        <v>0</v>
      </c>
      <c r="G28" s="6">
        <v>2</v>
      </c>
      <c r="H28" s="6">
        <v>0</v>
      </c>
      <c r="I28" s="4">
        <v>2</v>
      </c>
      <c r="J28" s="4">
        <v>0</v>
      </c>
      <c r="K28" s="6">
        <v>0</v>
      </c>
      <c r="L28" s="6">
        <v>0</v>
      </c>
      <c r="M28" s="2">
        <v>34</v>
      </c>
      <c r="N28" s="2">
        <v>1</v>
      </c>
      <c r="P28" s="55"/>
    </row>
    <row r="29" spans="1:16" x14ac:dyDescent="0.25">
      <c r="A29" s="27">
        <v>35</v>
      </c>
      <c r="B29" s="148" t="s">
        <v>303</v>
      </c>
      <c r="C29" s="6">
        <v>0</v>
      </c>
      <c r="D29" s="6">
        <v>0</v>
      </c>
      <c r="E29" s="4">
        <v>0</v>
      </c>
      <c r="F29" s="4">
        <v>0</v>
      </c>
      <c r="G29" s="6">
        <v>1</v>
      </c>
      <c r="H29" s="6">
        <v>0</v>
      </c>
      <c r="I29" s="4">
        <v>0</v>
      </c>
      <c r="J29" s="4">
        <v>0</v>
      </c>
      <c r="K29" s="6">
        <v>0</v>
      </c>
      <c r="L29" s="6">
        <v>0</v>
      </c>
      <c r="M29" s="2">
        <v>1</v>
      </c>
      <c r="N29" s="2">
        <v>0</v>
      </c>
      <c r="P29" s="55"/>
    </row>
    <row r="30" spans="1:16" x14ac:dyDescent="0.25">
      <c r="A30" s="27">
        <v>36</v>
      </c>
      <c r="B30" s="148" t="s">
        <v>313</v>
      </c>
      <c r="C30" s="6">
        <v>38</v>
      </c>
      <c r="D30" s="6">
        <v>5</v>
      </c>
      <c r="E30" s="4">
        <v>12</v>
      </c>
      <c r="F30" s="4">
        <v>0</v>
      </c>
      <c r="G30" s="6">
        <v>3</v>
      </c>
      <c r="H30" s="6">
        <v>0</v>
      </c>
      <c r="I30" s="4">
        <v>3</v>
      </c>
      <c r="J30" s="4">
        <v>1</v>
      </c>
      <c r="K30" s="6">
        <v>0</v>
      </c>
      <c r="L30" s="6">
        <v>0</v>
      </c>
      <c r="M30" s="2">
        <v>56</v>
      </c>
      <c r="N30" s="2">
        <v>6</v>
      </c>
      <c r="P30" s="55"/>
    </row>
    <row r="31" spans="1:16" x14ac:dyDescent="0.25">
      <c r="A31" s="27">
        <v>41</v>
      </c>
      <c r="B31" s="35" t="s">
        <v>277</v>
      </c>
      <c r="C31" s="6">
        <v>36</v>
      </c>
      <c r="D31" s="6">
        <v>4</v>
      </c>
      <c r="E31" s="4">
        <v>13</v>
      </c>
      <c r="F31" s="4">
        <v>1</v>
      </c>
      <c r="G31" s="6">
        <v>0</v>
      </c>
      <c r="H31" s="6">
        <v>0</v>
      </c>
      <c r="I31" s="4">
        <v>6</v>
      </c>
      <c r="J31" s="4">
        <v>0</v>
      </c>
      <c r="K31" s="6">
        <v>0</v>
      </c>
      <c r="L31" s="6">
        <v>0</v>
      </c>
      <c r="M31" s="2">
        <v>55</v>
      </c>
      <c r="N31" s="2">
        <v>5</v>
      </c>
      <c r="P31" s="55"/>
    </row>
    <row r="32" spans="1:16" x14ac:dyDescent="0.25">
      <c r="A32" s="27">
        <v>46</v>
      </c>
      <c r="B32" s="57" t="s">
        <v>298</v>
      </c>
      <c r="C32" s="6">
        <v>0</v>
      </c>
      <c r="D32" s="6">
        <v>0</v>
      </c>
      <c r="E32" s="4">
        <v>0</v>
      </c>
      <c r="F32" s="4">
        <v>0</v>
      </c>
      <c r="G32" s="6">
        <v>0</v>
      </c>
      <c r="H32" s="6">
        <v>0</v>
      </c>
      <c r="I32" s="4">
        <v>0</v>
      </c>
      <c r="J32" s="4">
        <v>0</v>
      </c>
      <c r="K32" s="6">
        <v>0</v>
      </c>
      <c r="L32" s="6">
        <v>0</v>
      </c>
      <c r="M32" s="2">
        <v>0</v>
      </c>
      <c r="N32" s="2">
        <v>0</v>
      </c>
      <c r="P32" s="55"/>
    </row>
    <row r="33" spans="1:14" x14ac:dyDescent="0.25">
      <c r="A33" s="28">
        <v>49</v>
      </c>
      <c r="B33" s="35" t="s">
        <v>297</v>
      </c>
      <c r="C33" s="6">
        <v>20</v>
      </c>
      <c r="D33" s="6">
        <v>0</v>
      </c>
      <c r="E33" s="4">
        <v>10</v>
      </c>
      <c r="F33" s="4">
        <v>0</v>
      </c>
      <c r="G33" s="6">
        <v>3</v>
      </c>
      <c r="H33" s="6">
        <v>0</v>
      </c>
      <c r="I33" s="4">
        <v>3</v>
      </c>
      <c r="J33" s="4">
        <v>0</v>
      </c>
      <c r="K33" s="6">
        <v>0</v>
      </c>
      <c r="L33" s="6">
        <v>0</v>
      </c>
      <c r="M33" s="2">
        <v>36</v>
      </c>
      <c r="N33" s="2">
        <v>0</v>
      </c>
    </row>
    <row r="34" spans="1:14" x14ac:dyDescent="0.25">
      <c r="A34" s="28">
        <v>51</v>
      </c>
      <c r="B34" s="35" t="s">
        <v>300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6">
        <v>0</v>
      </c>
      <c r="I34" s="4">
        <v>0</v>
      </c>
      <c r="J34" s="4">
        <v>0</v>
      </c>
      <c r="K34" s="6">
        <v>0</v>
      </c>
      <c r="L34" s="6">
        <v>0</v>
      </c>
      <c r="M34" s="2">
        <v>0</v>
      </c>
      <c r="N34" s="2">
        <v>0</v>
      </c>
    </row>
    <row r="35" spans="1:14" x14ac:dyDescent="0.25">
      <c r="A35" s="27">
        <v>52</v>
      </c>
      <c r="B35" s="149" t="s">
        <v>341</v>
      </c>
      <c r="C35" s="6">
        <v>0</v>
      </c>
      <c r="D35" s="6">
        <v>0</v>
      </c>
      <c r="E35" s="4">
        <v>0</v>
      </c>
      <c r="F35" s="4">
        <v>0</v>
      </c>
      <c r="G35" s="6">
        <v>1</v>
      </c>
      <c r="H35" s="6">
        <v>0</v>
      </c>
      <c r="I35" s="4">
        <v>0</v>
      </c>
      <c r="J35" s="4">
        <v>0</v>
      </c>
      <c r="K35" s="6">
        <v>0</v>
      </c>
      <c r="L35" s="6">
        <v>0</v>
      </c>
      <c r="M35" s="2">
        <v>1</v>
      </c>
      <c r="N35" s="2">
        <v>0</v>
      </c>
    </row>
    <row r="36" spans="1:14" x14ac:dyDescent="0.25">
      <c r="A36" s="28">
        <v>53</v>
      </c>
      <c r="B36" s="148" t="s">
        <v>292</v>
      </c>
      <c r="C36" s="6">
        <v>0</v>
      </c>
      <c r="D36" s="6">
        <v>0</v>
      </c>
      <c r="E36" s="4">
        <v>0</v>
      </c>
      <c r="F36" s="4">
        <v>0</v>
      </c>
      <c r="G36" s="6">
        <v>0</v>
      </c>
      <c r="H36" s="6">
        <v>0</v>
      </c>
      <c r="I36" s="4">
        <v>0</v>
      </c>
      <c r="J36" s="4">
        <v>0</v>
      </c>
      <c r="K36" s="6">
        <v>0</v>
      </c>
      <c r="L36" s="6">
        <v>0</v>
      </c>
      <c r="M36" s="2">
        <v>0</v>
      </c>
      <c r="N36" s="2">
        <v>0</v>
      </c>
    </row>
    <row r="37" spans="1:14" x14ac:dyDescent="0.25">
      <c r="A37" s="28">
        <v>56</v>
      </c>
      <c r="B37" s="149" t="s">
        <v>322</v>
      </c>
      <c r="C37" s="6">
        <v>6</v>
      </c>
      <c r="D37" s="6">
        <v>1</v>
      </c>
      <c r="E37" s="4">
        <v>3</v>
      </c>
      <c r="F37" s="4">
        <v>0</v>
      </c>
      <c r="G37" s="6">
        <v>2</v>
      </c>
      <c r="H37" s="6">
        <v>0</v>
      </c>
      <c r="I37" s="4">
        <v>2</v>
      </c>
      <c r="J37" s="4">
        <v>0</v>
      </c>
      <c r="K37" s="6">
        <v>0</v>
      </c>
      <c r="L37" s="6">
        <v>0</v>
      </c>
      <c r="M37" s="2">
        <v>13</v>
      </c>
      <c r="N37" s="2">
        <v>1</v>
      </c>
    </row>
    <row r="38" spans="1:14" x14ac:dyDescent="0.25">
      <c r="A38" s="28">
        <v>71</v>
      </c>
      <c r="B38" s="148" t="s">
        <v>327</v>
      </c>
      <c r="C38" s="6">
        <v>0</v>
      </c>
      <c r="D38" s="6">
        <v>0</v>
      </c>
      <c r="E38" s="4">
        <v>1</v>
      </c>
      <c r="F38" s="4">
        <v>0</v>
      </c>
      <c r="G38" s="6">
        <v>0</v>
      </c>
      <c r="H38" s="6">
        <v>0</v>
      </c>
      <c r="I38" s="4">
        <v>1</v>
      </c>
      <c r="J38" s="4">
        <v>0</v>
      </c>
      <c r="K38" s="6">
        <v>0</v>
      </c>
      <c r="L38" s="6">
        <v>0</v>
      </c>
      <c r="M38" s="2">
        <v>2</v>
      </c>
      <c r="N38" s="2">
        <v>0</v>
      </c>
    </row>
    <row r="39" spans="1:14" x14ac:dyDescent="0.25">
      <c r="A39" s="28">
        <v>72</v>
      </c>
      <c r="B39" s="148" t="s">
        <v>338</v>
      </c>
      <c r="C39" s="6">
        <v>0</v>
      </c>
      <c r="D39" s="6">
        <v>0</v>
      </c>
      <c r="E39" s="4">
        <v>1</v>
      </c>
      <c r="F39" s="4">
        <v>0</v>
      </c>
      <c r="G39" s="6">
        <v>0</v>
      </c>
      <c r="H39" s="6">
        <v>0</v>
      </c>
      <c r="I39" s="4">
        <v>0</v>
      </c>
      <c r="J39" s="4">
        <v>0</v>
      </c>
      <c r="K39" s="6">
        <v>0</v>
      </c>
      <c r="L39" s="6">
        <v>0</v>
      </c>
      <c r="M39" s="2">
        <v>1</v>
      </c>
      <c r="N39" s="2">
        <v>0</v>
      </c>
    </row>
    <row r="40" spans="1:14" x14ac:dyDescent="0.25">
      <c r="A40" s="28">
        <v>81</v>
      </c>
      <c r="B40" s="148" t="s">
        <v>339</v>
      </c>
      <c r="C40" s="6">
        <v>0</v>
      </c>
      <c r="D40" s="6">
        <v>0</v>
      </c>
      <c r="E40" s="4">
        <v>1</v>
      </c>
      <c r="F40" s="4">
        <v>0</v>
      </c>
      <c r="G40" s="6">
        <v>0</v>
      </c>
      <c r="H40" s="6">
        <v>0</v>
      </c>
      <c r="I40" s="4">
        <v>0</v>
      </c>
      <c r="J40" s="4">
        <v>0</v>
      </c>
      <c r="K40" s="6">
        <v>0</v>
      </c>
      <c r="L40" s="6">
        <v>0</v>
      </c>
      <c r="M40" s="2">
        <v>1</v>
      </c>
      <c r="N40" s="2">
        <v>0</v>
      </c>
    </row>
    <row r="41" spans="1:14" x14ac:dyDescent="0.25">
      <c r="A41" s="28">
        <v>89</v>
      </c>
      <c r="B41" s="148" t="s">
        <v>333</v>
      </c>
      <c r="C41" s="6">
        <v>0</v>
      </c>
      <c r="D41" s="6">
        <v>0</v>
      </c>
      <c r="E41" s="4">
        <v>1</v>
      </c>
      <c r="F41" s="4">
        <v>0</v>
      </c>
      <c r="G41" s="6">
        <v>3</v>
      </c>
      <c r="H41" s="6">
        <v>0</v>
      </c>
      <c r="I41" s="4">
        <v>0</v>
      </c>
      <c r="J41" s="4">
        <v>0</v>
      </c>
      <c r="K41" s="6">
        <v>0</v>
      </c>
      <c r="L41" s="6">
        <v>0</v>
      </c>
      <c r="M41" s="2">
        <v>4</v>
      </c>
      <c r="N41" s="2">
        <v>0</v>
      </c>
    </row>
    <row r="42" spans="1:14" x14ac:dyDescent="0.25">
      <c r="A42" s="28">
        <v>92</v>
      </c>
      <c r="B42" s="37" t="s">
        <v>301</v>
      </c>
      <c r="C42" s="6">
        <v>0</v>
      </c>
      <c r="D42" s="6">
        <v>0</v>
      </c>
      <c r="E42" s="4">
        <v>0</v>
      </c>
      <c r="F42" s="4">
        <v>0</v>
      </c>
      <c r="G42" s="6">
        <v>0</v>
      </c>
      <c r="H42" s="6">
        <v>0</v>
      </c>
      <c r="I42" s="4">
        <v>0</v>
      </c>
      <c r="J42" s="4">
        <v>0</v>
      </c>
      <c r="K42" s="6">
        <v>0</v>
      </c>
      <c r="L42" s="6">
        <v>0</v>
      </c>
      <c r="M42" s="2">
        <v>0</v>
      </c>
      <c r="N42" s="2">
        <v>0</v>
      </c>
    </row>
  </sheetData>
  <autoFilter ref="A3:N22" xr:uid="{00000000-0009-0000-0000-000002000000}">
    <sortState xmlns:xlrd2="http://schemas.microsoft.com/office/spreadsheetml/2017/richdata2" ref="A4:N24">
      <sortCondition ref="A3:A22"/>
    </sortState>
  </autoFilter>
  <mergeCells count="6">
    <mergeCell ref="M2:N2"/>
    <mergeCell ref="C2:D2"/>
    <mergeCell ref="E2:F2"/>
    <mergeCell ref="G2:H2"/>
    <mergeCell ref="I2:J2"/>
    <mergeCell ref="K2:L2"/>
  </mergeCells>
  <conditionalFormatting sqref="M4:N42">
    <cfRule type="cellIs" dxfId="25" priority="2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BD0D-7BB3-4971-A908-71C2BB78E4AF}">
  <dimension ref="A1:V38"/>
  <sheetViews>
    <sheetView zoomScale="75" zoomScaleNormal="75" zoomScalePageLayoutView="110" workbookViewId="0">
      <selection activeCell="B31" sqref="B31"/>
    </sheetView>
  </sheetViews>
  <sheetFormatPr defaultColWidth="8.85546875" defaultRowHeight="15" x14ac:dyDescent="0.25"/>
  <cols>
    <col min="1" max="1" width="3.42578125" customWidth="1"/>
    <col min="2" max="2" width="25.7109375" customWidth="1"/>
    <col min="4" max="5" width="8.7109375" customWidth="1"/>
    <col min="15" max="17" width="8.85546875" customWidth="1"/>
  </cols>
  <sheetData>
    <row r="1" spans="1:22" x14ac:dyDescent="0.25">
      <c r="A1" s="1" t="s">
        <v>0</v>
      </c>
      <c r="B1" s="1"/>
      <c r="C1" s="1"/>
      <c r="D1" s="16"/>
      <c r="E1" s="1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2" x14ac:dyDescent="0.25">
      <c r="A2" s="3"/>
      <c r="B2" s="5"/>
      <c r="C2" s="208" t="s">
        <v>4</v>
      </c>
      <c r="D2" s="209"/>
      <c r="E2" s="210"/>
      <c r="F2" s="213" t="s">
        <v>120</v>
      </c>
      <c r="G2" s="214"/>
      <c r="H2" s="215"/>
      <c r="I2" s="208" t="s">
        <v>108</v>
      </c>
      <c r="J2" s="209"/>
      <c r="K2" s="210"/>
      <c r="L2" s="213" t="s">
        <v>110</v>
      </c>
      <c r="M2" s="214"/>
      <c r="N2" s="215"/>
      <c r="O2" s="208" t="s">
        <v>39</v>
      </c>
      <c r="P2" s="209"/>
      <c r="Q2" s="210"/>
      <c r="R2" s="211" t="s">
        <v>7</v>
      </c>
      <c r="S2" s="211"/>
      <c r="T2" s="211"/>
    </row>
    <row r="3" spans="1:22" x14ac:dyDescent="0.25">
      <c r="A3" s="3" t="s">
        <v>48</v>
      </c>
      <c r="B3" s="5" t="s">
        <v>1</v>
      </c>
      <c r="C3" s="5" t="s">
        <v>393</v>
      </c>
      <c r="D3" s="5" t="s">
        <v>394</v>
      </c>
      <c r="E3" s="5" t="s">
        <v>395</v>
      </c>
      <c r="F3" s="3" t="s">
        <v>393</v>
      </c>
      <c r="G3" s="3" t="s">
        <v>394</v>
      </c>
      <c r="H3" s="3" t="s">
        <v>395</v>
      </c>
      <c r="I3" s="5" t="s">
        <v>393</v>
      </c>
      <c r="J3" s="5" t="s">
        <v>394</v>
      </c>
      <c r="K3" s="5" t="s">
        <v>395</v>
      </c>
      <c r="L3" s="3" t="s">
        <v>393</v>
      </c>
      <c r="M3" s="3" t="s">
        <v>394</v>
      </c>
      <c r="N3" s="3" t="s">
        <v>395</v>
      </c>
      <c r="O3" s="5" t="s">
        <v>393</v>
      </c>
      <c r="P3" s="5" t="s">
        <v>394</v>
      </c>
      <c r="Q3" s="5" t="s">
        <v>395</v>
      </c>
      <c r="R3" s="8" t="s">
        <v>393</v>
      </c>
      <c r="S3" s="8" t="s">
        <v>394</v>
      </c>
      <c r="T3" s="8" t="s">
        <v>395</v>
      </c>
    </row>
    <row r="4" spans="1:22" x14ac:dyDescent="0.25">
      <c r="A4" s="27">
        <v>1</v>
      </c>
      <c r="B4" s="37" t="s">
        <v>278</v>
      </c>
      <c r="C4" s="6">
        <f>'Premier League'!C4</f>
        <v>6</v>
      </c>
      <c r="D4" s="6">
        <f>'Premier League'!D4</f>
        <v>0</v>
      </c>
      <c r="E4" s="6">
        <f>'Premier League'!E4</f>
        <v>0</v>
      </c>
      <c r="F4" s="4">
        <f>Europe!C4</f>
        <v>1</v>
      </c>
      <c r="G4" s="4">
        <f>Europe!D4</f>
        <v>0</v>
      </c>
      <c r="H4" s="4">
        <f>Europe!E4</f>
        <v>0</v>
      </c>
      <c r="I4" s="6">
        <f>'FA Cup'!C4</f>
        <v>0</v>
      </c>
      <c r="J4" s="6">
        <f>'FA Cup'!D4</f>
        <v>0</v>
      </c>
      <c r="K4" s="6">
        <f>'FA Cup'!E4</f>
        <v>0</v>
      </c>
      <c r="L4" s="4">
        <f>'League Cup'!C4</f>
        <v>0</v>
      </c>
      <c r="M4" s="4">
        <f>'League Cup'!D4</f>
        <v>0</v>
      </c>
      <c r="N4" s="4">
        <f>'League Cup'!E4</f>
        <v>0</v>
      </c>
      <c r="O4" s="6">
        <f>'Other (CS)'!C3</f>
        <v>1</v>
      </c>
      <c r="P4" s="6">
        <f>'Other (CS)'!D3</f>
        <v>0</v>
      </c>
      <c r="Q4" s="6">
        <f>'Other (CS)'!E3</f>
        <v>0</v>
      </c>
      <c r="R4" s="2">
        <f>SUM(C4,F4,I4,L4,O4)</f>
        <v>8</v>
      </c>
      <c r="S4" s="2">
        <f t="shared" ref="S4:T4" si="0">SUM(D4,G4,J4,M4,P4)</f>
        <v>0</v>
      </c>
      <c r="T4" s="2">
        <f t="shared" si="0"/>
        <v>0</v>
      </c>
    </row>
    <row r="5" spans="1:22" x14ac:dyDescent="0.25">
      <c r="A5" s="27">
        <v>2</v>
      </c>
      <c r="B5" s="35" t="s">
        <v>196</v>
      </c>
      <c r="C5" s="6">
        <f>'Premier League'!C5</f>
        <v>0</v>
      </c>
      <c r="D5" s="6">
        <f>'Premier League'!D5</f>
        <v>0</v>
      </c>
      <c r="E5" s="6">
        <f>'Premier League'!E5</f>
        <v>0</v>
      </c>
      <c r="F5" s="4">
        <f>Europe!C5</f>
        <v>0</v>
      </c>
      <c r="G5" s="4">
        <f>Europe!D5</f>
        <v>0</v>
      </c>
      <c r="H5" s="4">
        <f>Europe!E5</f>
        <v>0</v>
      </c>
      <c r="I5" s="6">
        <f>'FA Cup'!C5</f>
        <v>0</v>
      </c>
      <c r="J5" s="6">
        <f>'FA Cup'!D5</f>
        <v>0</v>
      </c>
      <c r="K5" s="6">
        <f>'FA Cup'!E5</f>
        <v>0</v>
      </c>
      <c r="L5" s="4">
        <f>'League Cup'!C5</f>
        <v>0</v>
      </c>
      <c r="M5" s="4">
        <f>'League Cup'!D5</f>
        <v>0</v>
      </c>
      <c r="N5" s="4">
        <f>'League Cup'!E5</f>
        <v>0</v>
      </c>
      <c r="O5" s="6">
        <f>'Other (CS)'!C4</f>
        <v>0</v>
      </c>
      <c r="P5" s="6">
        <f>'Other (CS)'!D4</f>
        <v>0</v>
      </c>
      <c r="Q5" s="6">
        <f>'Other (CS)'!E4</f>
        <v>0</v>
      </c>
      <c r="R5" s="2">
        <f t="shared" ref="R5:R14" si="1">SUM(C5,F5,I5,L5,O5)</f>
        <v>0</v>
      </c>
      <c r="S5" s="2">
        <f t="shared" ref="S5:S14" si="2">SUM(D5,G5,J5,M5,P5)</f>
        <v>0</v>
      </c>
      <c r="T5" s="2">
        <f t="shared" ref="T5:T14" si="3">SUM(E5,H5,K5,N5,Q5)</f>
        <v>0</v>
      </c>
      <c r="V5" s="55"/>
    </row>
    <row r="6" spans="1:22" x14ac:dyDescent="0.25">
      <c r="A6" s="27">
        <v>3</v>
      </c>
      <c r="B6" s="35" t="s">
        <v>316</v>
      </c>
      <c r="C6" s="6">
        <f>'Premier League'!C6</f>
        <v>2</v>
      </c>
      <c r="D6" s="6">
        <f>'Premier League'!D6</f>
        <v>0</v>
      </c>
      <c r="E6" s="6">
        <f>'Premier League'!E6</f>
        <v>0</v>
      </c>
      <c r="F6" s="4">
        <f>Europe!C6</f>
        <v>0</v>
      </c>
      <c r="G6" s="4">
        <f>Europe!D6</f>
        <v>0</v>
      </c>
      <c r="H6" s="4">
        <f>Europe!E6</f>
        <v>0</v>
      </c>
      <c r="I6" s="6">
        <f>'FA Cup'!C6</f>
        <v>0</v>
      </c>
      <c r="J6" s="6">
        <f>'FA Cup'!D6</f>
        <v>0</v>
      </c>
      <c r="K6" s="6">
        <f>'FA Cup'!E6</f>
        <v>0</v>
      </c>
      <c r="L6" s="4">
        <f>'League Cup'!C6</f>
        <v>0</v>
      </c>
      <c r="M6" s="4">
        <f>'League Cup'!D6</f>
        <v>0</v>
      </c>
      <c r="N6" s="4">
        <f>'League Cup'!E6</f>
        <v>0</v>
      </c>
      <c r="O6" s="6">
        <f>'Other (CS)'!C5</f>
        <v>1</v>
      </c>
      <c r="P6" s="6">
        <f>'Other (CS)'!D5</f>
        <v>0</v>
      </c>
      <c r="Q6" s="6">
        <f>'Other (CS)'!E5</f>
        <v>0</v>
      </c>
      <c r="R6" s="2">
        <f t="shared" si="1"/>
        <v>3</v>
      </c>
      <c r="S6" s="2">
        <f t="shared" si="2"/>
        <v>0</v>
      </c>
      <c r="T6" s="2">
        <f t="shared" si="3"/>
        <v>0</v>
      </c>
      <c r="V6" s="55"/>
    </row>
    <row r="7" spans="1:22" x14ac:dyDescent="0.25">
      <c r="A7" s="27">
        <v>4</v>
      </c>
      <c r="B7" s="37" t="s">
        <v>220</v>
      </c>
      <c r="C7" s="6">
        <f>'Premier League'!C7</f>
        <v>5</v>
      </c>
      <c r="D7" s="6">
        <f>'Premier League'!D7</f>
        <v>0</v>
      </c>
      <c r="E7" s="6">
        <f>'Premier League'!E7</f>
        <v>2</v>
      </c>
      <c r="F7" s="4">
        <f>Europe!C7</f>
        <v>1</v>
      </c>
      <c r="G7" s="4">
        <f>Europe!D7</f>
        <v>0</v>
      </c>
      <c r="H7" s="4">
        <f>Europe!E7</f>
        <v>0</v>
      </c>
      <c r="I7" s="6">
        <f>'FA Cup'!C7</f>
        <v>0</v>
      </c>
      <c r="J7" s="6">
        <f>'FA Cup'!D7</f>
        <v>0</v>
      </c>
      <c r="K7" s="6">
        <f>'FA Cup'!E7</f>
        <v>0</v>
      </c>
      <c r="L7" s="4">
        <f>'League Cup'!C7</f>
        <v>0</v>
      </c>
      <c r="M7" s="4">
        <f>'League Cup'!D7</f>
        <v>0</v>
      </c>
      <c r="N7" s="4">
        <f>'League Cup'!E7</f>
        <v>0</v>
      </c>
      <c r="O7" s="6">
        <f>'Other (CS)'!C6</f>
        <v>1</v>
      </c>
      <c r="P7" s="6">
        <f>'Other (CS)'!D6</f>
        <v>0</v>
      </c>
      <c r="Q7" s="6">
        <f>'Other (CS)'!E6</f>
        <v>0</v>
      </c>
      <c r="R7" s="2">
        <f t="shared" si="1"/>
        <v>7</v>
      </c>
      <c r="S7" s="2">
        <f t="shared" si="2"/>
        <v>0</v>
      </c>
      <c r="T7" s="2">
        <f t="shared" si="3"/>
        <v>2</v>
      </c>
      <c r="V7" s="55"/>
    </row>
    <row r="8" spans="1:22" x14ac:dyDescent="0.25">
      <c r="A8" s="27">
        <v>5</v>
      </c>
      <c r="B8" s="37" t="s">
        <v>318</v>
      </c>
      <c r="C8" s="6">
        <f>'Premier League'!C8</f>
        <v>3</v>
      </c>
      <c r="D8" s="6">
        <f>'Premier League'!D8</f>
        <v>0</v>
      </c>
      <c r="E8" s="6">
        <f>'Premier League'!E8</f>
        <v>0</v>
      </c>
      <c r="F8" s="4">
        <f>Europe!C8</f>
        <v>1</v>
      </c>
      <c r="G8" s="4">
        <f>Europe!D8</f>
        <v>0</v>
      </c>
      <c r="H8" s="4">
        <f>Europe!E8</f>
        <v>0</v>
      </c>
      <c r="I8" s="6">
        <f>'FA Cup'!C8</f>
        <v>0</v>
      </c>
      <c r="J8" s="6">
        <f>'FA Cup'!D8</f>
        <v>0</v>
      </c>
      <c r="K8" s="6">
        <f>'FA Cup'!E8</f>
        <v>0</v>
      </c>
      <c r="L8" s="4">
        <f>'League Cup'!C8</f>
        <v>0</v>
      </c>
      <c r="M8" s="4">
        <f>'League Cup'!D8</f>
        <v>0</v>
      </c>
      <c r="N8" s="4">
        <f>'League Cup'!E8</f>
        <v>0</v>
      </c>
      <c r="O8" s="6">
        <f>'Other (CS)'!C7</f>
        <v>1</v>
      </c>
      <c r="P8" s="6">
        <f>'Other (CS)'!D7</f>
        <v>0</v>
      </c>
      <c r="Q8" s="6">
        <f>'Other (CS)'!E7</f>
        <v>0</v>
      </c>
      <c r="R8" s="2">
        <f t="shared" si="1"/>
        <v>5</v>
      </c>
      <c r="S8" s="2">
        <f t="shared" si="2"/>
        <v>0</v>
      </c>
      <c r="T8" s="2">
        <f t="shared" si="3"/>
        <v>0</v>
      </c>
      <c r="V8" s="55"/>
    </row>
    <row r="9" spans="1:22" x14ac:dyDescent="0.25">
      <c r="A9" s="27">
        <v>6</v>
      </c>
      <c r="B9" s="37" t="s">
        <v>198</v>
      </c>
      <c r="C9" s="6">
        <f>'Premier League'!C9</f>
        <v>6</v>
      </c>
      <c r="D9" s="6">
        <f>'Premier League'!D9</f>
        <v>0</v>
      </c>
      <c r="E9" s="6">
        <f>'Premier League'!E9</f>
        <v>0</v>
      </c>
      <c r="F9" s="4">
        <f>Europe!C9</f>
        <v>1</v>
      </c>
      <c r="G9" s="4">
        <f>Europe!D9</f>
        <v>0</v>
      </c>
      <c r="H9" s="4">
        <f>Europe!E9</f>
        <v>0</v>
      </c>
      <c r="I9" s="6">
        <f>'FA Cup'!C9</f>
        <v>0</v>
      </c>
      <c r="J9" s="6">
        <f>'FA Cup'!D9</f>
        <v>0</v>
      </c>
      <c r="K9" s="6">
        <f>'FA Cup'!E9</f>
        <v>0</v>
      </c>
      <c r="L9" s="4">
        <f>'League Cup'!C9</f>
        <v>1</v>
      </c>
      <c r="M9" s="4">
        <f>'League Cup'!D9</f>
        <v>0</v>
      </c>
      <c r="N9" s="4">
        <f>'League Cup'!E9</f>
        <v>0</v>
      </c>
      <c r="O9" s="6">
        <f>'Other (CS)'!C8</f>
        <v>1</v>
      </c>
      <c r="P9" s="6">
        <f>'Other (CS)'!D8</f>
        <v>0</v>
      </c>
      <c r="Q9" s="6">
        <f>'Other (CS)'!E8</f>
        <v>0</v>
      </c>
      <c r="R9" s="2">
        <f t="shared" si="1"/>
        <v>9</v>
      </c>
      <c r="S9" s="2">
        <f t="shared" si="2"/>
        <v>0</v>
      </c>
      <c r="T9" s="2">
        <f t="shared" si="3"/>
        <v>0</v>
      </c>
      <c r="V9" s="55"/>
    </row>
    <row r="10" spans="1:22" x14ac:dyDescent="0.25">
      <c r="A10" s="27">
        <v>7</v>
      </c>
      <c r="B10" s="37" t="s">
        <v>180</v>
      </c>
      <c r="C10" s="6">
        <f>'Premier League'!C10</f>
        <v>6</v>
      </c>
      <c r="D10" s="6">
        <f>'Premier League'!D10</f>
        <v>3</v>
      </c>
      <c r="E10" s="6">
        <f>'Premier League'!E10</f>
        <v>0</v>
      </c>
      <c r="F10" s="4">
        <f>Europe!C10</f>
        <v>1</v>
      </c>
      <c r="G10" s="4">
        <f>Europe!D10</f>
        <v>0</v>
      </c>
      <c r="H10" s="4">
        <f>Europe!E10</f>
        <v>0</v>
      </c>
      <c r="I10" s="6">
        <f>'FA Cup'!C10</f>
        <v>0</v>
      </c>
      <c r="J10" s="6">
        <f>'FA Cup'!D10</f>
        <v>0</v>
      </c>
      <c r="K10" s="6">
        <f>'FA Cup'!E10</f>
        <v>0</v>
      </c>
      <c r="L10" s="4">
        <f>'League Cup'!C10</f>
        <v>0</v>
      </c>
      <c r="M10" s="4">
        <f>'League Cup'!D10</f>
        <v>0</v>
      </c>
      <c r="N10" s="4">
        <f>'League Cup'!E10</f>
        <v>0</v>
      </c>
      <c r="O10" s="6">
        <f>'Other (CS)'!C9</f>
        <v>1</v>
      </c>
      <c r="P10" s="6">
        <f>'Other (CS)'!D9</f>
        <v>0</v>
      </c>
      <c r="Q10" s="6">
        <f>'Other (CS)'!E9</f>
        <v>0</v>
      </c>
      <c r="R10" s="2">
        <f t="shared" si="1"/>
        <v>8</v>
      </c>
      <c r="S10" s="2">
        <f t="shared" si="2"/>
        <v>3</v>
      </c>
      <c r="T10" s="2">
        <f t="shared" si="3"/>
        <v>0</v>
      </c>
      <c r="V10" s="55"/>
    </row>
    <row r="11" spans="1:22" x14ac:dyDescent="0.25">
      <c r="A11" s="27">
        <v>8</v>
      </c>
      <c r="B11" s="37" t="s">
        <v>218</v>
      </c>
      <c r="C11" s="6">
        <f>'Premier League'!C11</f>
        <v>6</v>
      </c>
      <c r="D11" s="6">
        <f>'Premier League'!D11</f>
        <v>2</v>
      </c>
      <c r="E11" s="6">
        <f>'Premier League'!E11</f>
        <v>0</v>
      </c>
      <c r="F11" s="4">
        <f>Europe!C11</f>
        <v>1</v>
      </c>
      <c r="G11" s="4">
        <f>Europe!D11</f>
        <v>1</v>
      </c>
      <c r="H11" s="4">
        <f>Europe!E11</f>
        <v>0</v>
      </c>
      <c r="I11" s="6">
        <f>'FA Cup'!C11</f>
        <v>0</v>
      </c>
      <c r="J11" s="6">
        <f>'FA Cup'!D11</f>
        <v>0</v>
      </c>
      <c r="K11" s="6">
        <f>'FA Cup'!E11</f>
        <v>0</v>
      </c>
      <c r="L11" s="4">
        <f>'League Cup'!C11</f>
        <v>1</v>
      </c>
      <c r="M11" s="4">
        <f>'League Cup'!D11</f>
        <v>0</v>
      </c>
      <c r="N11" s="4">
        <f>'League Cup'!E11</f>
        <v>0</v>
      </c>
      <c r="O11" s="6">
        <f>'Other (CS)'!C10</f>
        <v>1</v>
      </c>
      <c r="P11" s="6">
        <f>'Other (CS)'!D10</f>
        <v>1</v>
      </c>
      <c r="Q11" s="6">
        <f>'Other (CS)'!E10</f>
        <v>0</v>
      </c>
      <c r="R11" s="2">
        <f t="shared" si="1"/>
        <v>9</v>
      </c>
      <c r="S11" s="2">
        <f t="shared" si="2"/>
        <v>4</v>
      </c>
      <c r="T11" s="2">
        <f t="shared" si="3"/>
        <v>0</v>
      </c>
      <c r="V11" s="55"/>
    </row>
    <row r="12" spans="1:22" x14ac:dyDescent="0.25">
      <c r="A12" s="27">
        <v>10</v>
      </c>
      <c r="B12" s="37" t="s">
        <v>319</v>
      </c>
      <c r="C12" s="6">
        <f>'Premier League'!C12</f>
        <v>4</v>
      </c>
      <c r="D12" s="6">
        <f>'Premier League'!D12</f>
        <v>0</v>
      </c>
      <c r="E12" s="6">
        <f>'Premier League'!E12</f>
        <v>0</v>
      </c>
      <c r="F12" s="4">
        <f>Europe!C12</f>
        <v>1</v>
      </c>
      <c r="G12" s="4">
        <f>Europe!D12</f>
        <v>0</v>
      </c>
      <c r="H12" s="4">
        <f>Europe!E12</f>
        <v>0</v>
      </c>
      <c r="I12" s="6">
        <f>'FA Cup'!C12</f>
        <v>0</v>
      </c>
      <c r="J12" s="6">
        <f>'FA Cup'!D12</f>
        <v>0</v>
      </c>
      <c r="K12" s="6">
        <f>'FA Cup'!E12</f>
        <v>0</v>
      </c>
      <c r="L12" s="4">
        <f>'League Cup'!C12</f>
        <v>1</v>
      </c>
      <c r="M12" s="4">
        <f>'League Cup'!D12</f>
        <v>0</v>
      </c>
      <c r="N12" s="4">
        <f>'League Cup'!E12</f>
        <v>1</v>
      </c>
      <c r="O12" s="6">
        <f>'Other (CS)'!C11</f>
        <v>1</v>
      </c>
      <c r="P12" s="6">
        <f>'Other (CS)'!D11</f>
        <v>0</v>
      </c>
      <c r="Q12" s="6">
        <f>'Other (CS)'!E11</f>
        <v>0</v>
      </c>
      <c r="R12" s="2">
        <f t="shared" si="1"/>
        <v>7</v>
      </c>
      <c r="S12" s="2">
        <f t="shared" si="2"/>
        <v>0</v>
      </c>
      <c r="T12" s="2">
        <f t="shared" si="3"/>
        <v>1</v>
      </c>
      <c r="V12" s="55"/>
    </row>
    <row r="13" spans="1:22" x14ac:dyDescent="0.25">
      <c r="A13" s="27">
        <v>12</v>
      </c>
      <c r="B13" s="35" t="s">
        <v>276</v>
      </c>
      <c r="C13" s="6">
        <f>'Premier League'!C13</f>
        <v>3</v>
      </c>
      <c r="D13" s="6">
        <f>'Premier League'!D13</f>
        <v>0</v>
      </c>
      <c r="E13" s="6">
        <f>'Premier League'!E13</f>
        <v>0</v>
      </c>
      <c r="F13" s="4">
        <f>Europe!C13</f>
        <v>0</v>
      </c>
      <c r="G13" s="4">
        <f>Europe!D13</f>
        <v>0</v>
      </c>
      <c r="H13" s="4">
        <f>Europe!E13</f>
        <v>0</v>
      </c>
      <c r="I13" s="6">
        <f>'FA Cup'!C13</f>
        <v>0</v>
      </c>
      <c r="J13" s="6">
        <f>'FA Cup'!D13</f>
        <v>0</v>
      </c>
      <c r="K13" s="6">
        <f>'FA Cup'!E13</f>
        <v>0</v>
      </c>
      <c r="L13" s="4">
        <f>'League Cup'!C13</f>
        <v>0</v>
      </c>
      <c r="M13" s="4">
        <f>'League Cup'!D13</f>
        <v>0</v>
      </c>
      <c r="N13" s="4">
        <f>'League Cup'!E13</f>
        <v>0</v>
      </c>
      <c r="O13" s="6">
        <f>'Other (CS)'!C12</f>
        <v>0</v>
      </c>
      <c r="P13" s="6">
        <f>'Other (CS)'!D12</f>
        <v>0</v>
      </c>
      <c r="Q13" s="6">
        <f>'Other (CS)'!E12</f>
        <v>0</v>
      </c>
      <c r="R13" s="2">
        <f t="shared" si="1"/>
        <v>3</v>
      </c>
      <c r="S13" s="2">
        <f t="shared" si="2"/>
        <v>0</v>
      </c>
      <c r="T13" s="2">
        <f t="shared" si="3"/>
        <v>0</v>
      </c>
      <c r="V13" s="55"/>
    </row>
    <row r="14" spans="1:22" x14ac:dyDescent="0.25">
      <c r="A14" s="27">
        <v>13</v>
      </c>
      <c r="B14" s="149" t="s">
        <v>312</v>
      </c>
      <c r="C14" s="6">
        <f>'Premier League'!C14</f>
        <v>0</v>
      </c>
      <c r="D14" s="6">
        <f>'Premier League'!D14</f>
        <v>0</v>
      </c>
      <c r="E14" s="6">
        <f>'Premier League'!E14</f>
        <v>0</v>
      </c>
      <c r="F14" s="4">
        <f>Europe!C14</f>
        <v>0</v>
      </c>
      <c r="G14" s="4">
        <f>Europe!D14</f>
        <v>0</v>
      </c>
      <c r="H14" s="4">
        <f>Europe!E14</f>
        <v>0</v>
      </c>
      <c r="I14" s="6">
        <f>'FA Cup'!C14</f>
        <v>0</v>
      </c>
      <c r="J14" s="6">
        <f>'FA Cup'!D14</f>
        <v>0</v>
      </c>
      <c r="K14" s="6">
        <f>'FA Cup'!E14</f>
        <v>0</v>
      </c>
      <c r="L14" s="4">
        <f>'League Cup'!C14</f>
        <v>1</v>
      </c>
      <c r="M14" s="4">
        <f>'League Cup'!D14</f>
        <v>0</v>
      </c>
      <c r="N14" s="4">
        <f>'League Cup'!E14</f>
        <v>0</v>
      </c>
      <c r="O14" s="6">
        <f>'Other (CS)'!C13</f>
        <v>0</v>
      </c>
      <c r="P14" s="6">
        <f>'Other (CS)'!D13</f>
        <v>0</v>
      </c>
      <c r="Q14" s="6">
        <f>'Other (CS)'!E13</f>
        <v>0</v>
      </c>
      <c r="R14" s="2">
        <f t="shared" si="1"/>
        <v>1</v>
      </c>
      <c r="S14" s="2">
        <f t="shared" si="2"/>
        <v>0</v>
      </c>
      <c r="T14" s="2">
        <f t="shared" si="3"/>
        <v>0</v>
      </c>
      <c r="V14" s="55"/>
    </row>
    <row r="15" spans="1:22" x14ac:dyDescent="0.25">
      <c r="A15" s="27">
        <v>14</v>
      </c>
      <c r="B15" s="149" t="s">
        <v>317</v>
      </c>
      <c r="C15" s="6">
        <f>'Premier League'!C15</f>
        <v>3</v>
      </c>
      <c r="D15" s="6">
        <f>'Premier League'!D15</f>
        <v>0</v>
      </c>
      <c r="E15" s="6">
        <f>'Premier League'!E15</f>
        <v>0</v>
      </c>
      <c r="F15" s="4">
        <f>Europe!C15</f>
        <v>1</v>
      </c>
      <c r="G15" s="4">
        <f>Europe!D15</f>
        <v>0</v>
      </c>
      <c r="H15" s="4">
        <f>Europe!E15</f>
        <v>0</v>
      </c>
      <c r="I15" s="6">
        <f>'FA Cup'!C15</f>
        <v>0</v>
      </c>
      <c r="J15" s="6">
        <f>'FA Cup'!D15</f>
        <v>0</v>
      </c>
      <c r="K15" s="6">
        <f>'FA Cup'!E15</f>
        <v>0</v>
      </c>
      <c r="L15" s="4">
        <f>'League Cup'!C15</f>
        <v>1</v>
      </c>
      <c r="M15" s="4">
        <f>'League Cup'!D15</f>
        <v>0</v>
      </c>
      <c r="N15" s="4">
        <f>'League Cup'!E15</f>
        <v>0</v>
      </c>
      <c r="O15" s="6">
        <f>'Other (CS)'!C14</f>
        <v>1</v>
      </c>
      <c r="P15" s="6">
        <f>'Other (CS)'!D14</f>
        <v>0</v>
      </c>
      <c r="Q15" s="6">
        <f>'Other (CS)'!E14</f>
        <v>0</v>
      </c>
      <c r="R15" s="2">
        <f>SUM(C15,F15,I15,L15,O15)</f>
        <v>6</v>
      </c>
      <c r="S15" s="2">
        <f>SUM(D15,G15,J15,M15,P15)</f>
        <v>0</v>
      </c>
      <c r="T15" s="2">
        <f>SUM(E15,H15,K15,N15,Q15)</f>
        <v>0</v>
      </c>
      <c r="V15" s="55"/>
    </row>
    <row r="16" spans="1:22" x14ac:dyDescent="0.25">
      <c r="A16" s="27">
        <v>15</v>
      </c>
      <c r="B16" s="149" t="s">
        <v>431</v>
      </c>
      <c r="C16" s="6">
        <f>'Premier League'!C16</f>
        <v>5</v>
      </c>
      <c r="D16" s="6">
        <f>'Premier League'!D16</f>
        <v>0</v>
      </c>
      <c r="E16" s="6">
        <f>'Premier League'!E16</f>
        <v>0</v>
      </c>
      <c r="F16" s="4">
        <f>Europe!C16</f>
        <v>1</v>
      </c>
      <c r="G16" s="4">
        <f>Europe!D16</f>
        <v>0</v>
      </c>
      <c r="H16" s="4">
        <f>Europe!E16</f>
        <v>0</v>
      </c>
      <c r="I16" s="6">
        <f>'FA Cup'!C16</f>
        <v>0</v>
      </c>
      <c r="J16" s="6">
        <f>'FA Cup'!D16</f>
        <v>0</v>
      </c>
      <c r="K16" s="6">
        <f>'FA Cup'!E16</f>
        <v>0</v>
      </c>
      <c r="L16" s="4">
        <f>'League Cup'!C16</f>
        <v>1</v>
      </c>
      <c r="M16" s="4">
        <f>'League Cup'!D16</f>
        <v>0</v>
      </c>
      <c r="N16" s="4">
        <f>'League Cup'!E16</f>
        <v>0</v>
      </c>
      <c r="O16" s="6">
        <f>'Other (CS)'!C15</f>
        <v>0</v>
      </c>
      <c r="P16" s="6">
        <f>'Other (CS)'!D15</f>
        <v>0</v>
      </c>
      <c r="Q16" s="6">
        <f>'Other (CS)'!E15</f>
        <v>0</v>
      </c>
      <c r="R16" s="2">
        <f t="shared" ref="R16:R28" si="4">SUM(C16,F16,I16,L16,O16)</f>
        <v>7</v>
      </c>
      <c r="S16" s="2">
        <f t="shared" ref="S16:S28" si="5">SUM(D16,G16,J16,M16,P16)</f>
        <v>0</v>
      </c>
      <c r="T16" s="2">
        <f t="shared" ref="T16:T28" si="6">SUM(E16,H16,K16,N16,Q16)</f>
        <v>0</v>
      </c>
      <c r="V16" s="55"/>
    </row>
    <row r="17" spans="1:22" x14ac:dyDescent="0.25">
      <c r="A17" s="27">
        <v>17</v>
      </c>
      <c r="B17" s="148" t="s">
        <v>343</v>
      </c>
      <c r="C17" s="6">
        <f>'Premier League'!C17</f>
        <v>5</v>
      </c>
      <c r="D17" s="6">
        <f>'Premier League'!D17</f>
        <v>0</v>
      </c>
      <c r="E17" s="6">
        <f>'Premier League'!E17</f>
        <v>1</v>
      </c>
      <c r="F17" s="4">
        <f>Europe!C17</f>
        <v>1</v>
      </c>
      <c r="G17" s="4">
        <f>Europe!D17</f>
        <v>0</v>
      </c>
      <c r="H17" s="4">
        <f>Europe!E17</f>
        <v>1</v>
      </c>
      <c r="I17" s="6">
        <f>'FA Cup'!C17</f>
        <v>0</v>
      </c>
      <c r="J17" s="6">
        <f>'FA Cup'!D17</f>
        <v>0</v>
      </c>
      <c r="K17" s="6">
        <f>'FA Cup'!E17</f>
        <v>0</v>
      </c>
      <c r="L17" s="4">
        <f>'League Cup'!C17</f>
        <v>1</v>
      </c>
      <c r="M17" s="4">
        <f>'League Cup'!D17</f>
        <v>0</v>
      </c>
      <c r="N17" s="4">
        <f>'League Cup'!E17</f>
        <v>0</v>
      </c>
      <c r="O17" s="6">
        <f>'Other (CS)'!C16</f>
        <v>1</v>
      </c>
      <c r="P17" s="6">
        <f>'Other (CS)'!D16</f>
        <v>0</v>
      </c>
      <c r="Q17" s="6">
        <f>'Other (CS)'!E16</f>
        <v>2</v>
      </c>
      <c r="R17" s="2">
        <f t="shared" si="4"/>
        <v>8</v>
      </c>
      <c r="S17" s="2">
        <f t="shared" si="5"/>
        <v>0</v>
      </c>
      <c r="T17" s="2">
        <f t="shared" si="6"/>
        <v>4</v>
      </c>
      <c r="V17" s="55"/>
    </row>
    <row r="18" spans="1:22" x14ac:dyDescent="0.25">
      <c r="A18" s="27">
        <v>20</v>
      </c>
      <c r="B18" s="148" t="s">
        <v>315</v>
      </c>
      <c r="C18" s="6">
        <f>'Premier League'!C18</f>
        <v>3</v>
      </c>
      <c r="D18" s="6">
        <f>'Premier League'!D18</f>
        <v>0</v>
      </c>
      <c r="E18" s="6">
        <f>'Premier League'!E18</f>
        <v>0</v>
      </c>
      <c r="F18" s="4">
        <f>Europe!C18</f>
        <v>1</v>
      </c>
      <c r="G18" s="4">
        <f>Europe!D18</f>
        <v>0</v>
      </c>
      <c r="H18" s="4">
        <f>Europe!E18</f>
        <v>0</v>
      </c>
      <c r="I18" s="6">
        <f>'FA Cup'!C18</f>
        <v>0</v>
      </c>
      <c r="J18" s="6">
        <f>'FA Cup'!D18</f>
        <v>0</v>
      </c>
      <c r="K18" s="6">
        <f>'FA Cup'!E18</f>
        <v>0</v>
      </c>
      <c r="L18" s="4">
        <f>'League Cup'!C18</f>
        <v>1</v>
      </c>
      <c r="M18" s="4">
        <f>'League Cup'!D18</f>
        <v>1</v>
      </c>
      <c r="N18" s="4">
        <f>'League Cup'!E18</f>
        <v>0</v>
      </c>
      <c r="O18" s="6">
        <f>'Other (CS)'!C17</f>
        <v>1</v>
      </c>
      <c r="P18" s="6">
        <f>'Other (CS)'!D17</f>
        <v>0</v>
      </c>
      <c r="Q18" s="6">
        <f>'Other (CS)'!E17</f>
        <v>0</v>
      </c>
      <c r="R18" s="2">
        <f t="shared" si="4"/>
        <v>6</v>
      </c>
      <c r="S18" s="2">
        <f t="shared" si="5"/>
        <v>1</v>
      </c>
      <c r="T18" s="2">
        <f t="shared" si="6"/>
        <v>0</v>
      </c>
    </row>
    <row r="19" spans="1:22" x14ac:dyDescent="0.25">
      <c r="A19" s="28">
        <v>22</v>
      </c>
      <c r="B19" s="40" t="s">
        <v>263</v>
      </c>
      <c r="C19" s="6">
        <f>'Premier League'!C19</f>
        <v>0</v>
      </c>
      <c r="D19" s="6">
        <f>'Premier League'!D19</f>
        <v>0</v>
      </c>
      <c r="E19" s="6">
        <f>'Premier League'!E19</f>
        <v>0</v>
      </c>
      <c r="F19" s="4">
        <f>Europe!C19</f>
        <v>0</v>
      </c>
      <c r="G19" s="4">
        <f>Europe!D19</f>
        <v>0</v>
      </c>
      <c r="H19" s="4">
        <f>Europe!E19</f>
        <v>0</v>
      </c>
      <c r="I19" s="6">
        <f>'FA Cup'!C19</f>
        <v>0</v>
      </c>
      <c r="J19" s="6">
        <f>'FA Cup'!D19</f>
        <v>0</v>
      </c>
      <c r="K19" s="6">
        <f>'FA Cup'!E19</f>
        <v>0</v>
      </c>
      <c r="L19" s="4">
        <f>'League Cup'!C19</f>
        <v>0</v>
      </c>
      <c r="M19" s="4">
        <f>'League Cup'!D19</f>
        <v>0</v>
      </c>
      <c r="N19" s="4">
        <f>'League Cup'!E19</f>
        <v>0</v>
      </c>
      <c r="O19" s="6">
        <f>'Other (CS)'!C18</f>
        <v>0</v>
      </c>
      <c r="P19" s="6">
        <f>'Other (CS)'!D18</f>
        <v>0</v>
      </c>
      <c r="Q19" s="6">
        <f>'Other (CS)'!E18</f>
        <v>0</v>
      </c>
      <c r="R19" s="2">
        <f t="shared" si="4"/>
        <v>0</v>
      </c>
      <c r="S19" s="2">
        <f t="shared" si="5"/>
        <v>0</v>
      </c>
      <c r="T19" s="2">
        <f t="shared" si="6"/>
        <v>0</v>
      </c>
    </row>
    <row r="20" spans="1:22" x14ac:dyDescent="0.25">
      <c r="A20" s="28">
        <v>23</v>
      </c>
      <c r="B20" s="37" t="s">
        <v>293</v>
      </c>
      <c r="C20" s="6">
        <f>'Premier League'!C20</f>
        <v>6</v>
      </c>
      <c r="D20" s="6">
        <f>'Premier League'!D20</f>
        <v>0</v>
      </c>
      <c r="E20" s="6">
        <f>'Premier League'!E20</f>
        <v>0</v>
      </c>
      <c r="F20" s="4">
        <f>Europe!C20</f>
        <v>1</v>
      </c>
      <c r="G20" s="4">
        <f>Europe!D20</f>
        <v>0</v>
      </c>
      <c r="H20" s="4">
        <f>Europe!E20</f>
        <v>0</v>
      </c>
      <c r="I20" s="6">
        <f>'FA Cup'!C20</f>
        <v>0</v>
      </c>
      <c r="J20" s="6">
        <f>'FA Cup'!D20</f>
        <v>0</v>
      </c>
      <c r="K20" s="6">
        <f>'FA Cup'!E20</f>
        <v>0</v>
      </c>
      <c r="L20" s="4">
        <f>'League Cup'!C20</f>
        <v>1</v>
      </c>
      <c r="M20" s="4">
        <f>'League Cup'!D20</f>
        <v>1</v>
      </c>
      <c r="N20" s="4">
        <f>'League Cup'!E20</f>
        <v>0</v>
      </c>
      <c r="O20" s="6">
        <f>'Other (CS)'!C19</f>
        <v>0</v>
      </c>
      <c r="P20" s="6">
        <f>'Other (CS)'!D19</f>
        <v>0</v>
      </c>
      <c r="Q20" s="6">
        <f>'Other (CS)'!E19</f>
        <v>0</v>
      </c>
      <c r="R20" s="2">
        <f t="shared" si="4"/>
        <v>8</v>
      </c>
      <c r="S20" s="2">
        <f t="shared" si="5"/>
        <v>1</v>
      </c>
      <c r="T20" s="2">
        <f t="shared" si="6"/>
        <v>0</v>
      </c>
    </row>
    <row r="21" spans="1:22" x14ac:dyDescent="0.25">
      <c r="A21" s="28">
        <v>29</v>
      </c>
      <c r="B21" s="148" t="s">
        <v>275</v>
      </c>
      <c r="C21" s="6">
        <f>'Premier League'!C21</f>
        <v>6</v>
      </c>
      <c r="D21" s="6">
        <f>'Premier League'!D21</f>
        <v>2</v>
      </c>
      <c r="E21" s="6">
        <f>'Premier League'!E21</f>
        <v>0</v>
      </c>
      <c r="F21" s="4">
        <f>Europe!C21</f>
        <v>1</v>
      </c>
      <c r="G21" s="4">
        <f>Europe!D21</f>
        <v>0</v>
      </c>
      <c r="H21" s="4">
        <f>Europe!E21</f>
        <v>0</v>
      </c>
      <c r="I21" s="6">
        <f>'FA Cup'!C21</f>
        <v>0</v>
      </c>
      <c r="J21" s="6">
        <f>'FA Cup'!D21</f>
        <v>0</v>
      </c>
      <c r="K21" s="6">
        <f>'FA Cup'!E21</f>
        <v>0</v>
      </c>
      <c r="L21" s="4">
        <f>'League Cup'!C21</f>
        <v>0</v>
      </c>
      <c r="M21" s="4">
        <f>'League Cup'!D21</f>
        <v>0</v>
      </c>
      <c r="N21" s="4">
        <f>'League Cup'!E21</f>
        <v>0</v>
      </c>
      <c r="O21" s="6">
        <f>'Other (CS)'!C20</f>
        <v>1</v>
      </c>
      <c r="P21" s="6">
        <f>'Other (CS)'!D20</f>
        <v>1</v>
      </c>
      <c r="Q21" s="6">
        <f>'Other (CS)'!E20</f>
        <v>0</v>
      </c>
      <c r="R21" s="2">
        <f t="shared" si="4"/>
        <v>8</v>
      </c>
      <c r="S21" s="2">
        <f t="shared" si="5"/>
        <v>3</v>
      </c>
      <c r="T21" s="2">
        <f t="shared" si="6"/>
        <v>0</v>
      </c>
      <c r="V21" s="55"/>
    </row>
    <row r="22" spans="1:22" x14ac:dyDescent="0.25">
      <c r="A22" s="28">
        <v>30</v>
      </c>
      <c r="B22" s="148" t="s">
        <v>344</v>
      </c>
      <c r="C22" s="6">
        <f>'Premier League'!C22</f>
        <v>0</v>
      </c>
      <c r="D22" s="6">
        <f>'Premier League'!D22</f>
        <v>0</v>
      </c>
      <c r="E22" s="6">
        <f>'Premier League'!E22</f>
        <v>0</v>
      </c>
      <c r="F22" s="4">
        <f>Europe!C22</f>
        <v>0</v>
      </c>
      <c r="G22" s="4">
        <f>Europe!D22</f>
        <v>0</v>
      </c>
      <c r="H22" s="4">
        <f>Europe!E22</f>
        <v>0</v>
      </c>
      <c r="I22" s="6">
        <f>'FA Cup'!C22</f>
        <v>0</v>
      </c>
      <c r="J22" s="6">
        <f>'FA Cup'!D22</f>
        <v>0</v>
      </c>
      <c r="K22" s="6">
        <f>'FA Cup'!E22</f>
        <v>0</v>
      </c>
      <c r="L22" s="4">
        <f>'League Cup'!C22</f>
        <v>0</v>
      </c>
      <c r="M22" s="4">
        <f>'League Cup'!D22</f>
        <v>0</v>
      </c>
      <c r="N22" s="4">
        <f>'League Cup'!E22</f>
        <v>0</v>
      </c>
      <c r="O22" s="6">
        <f>'Other (CS)'!C21</f>
        <v>0</v>
      </c>
      <c r="P22" s="6">
        <f>'Other (CS)'!D21</f>
        <v>0</v>
      </c>
      <c r="Q22" s="6">
        <f>'Other (CS)'!E21</f>
        <v>0</v>
      </c>
      <c r="R22" s="2">
        <f t="shared" si="4"/>
        <v>0</v>
      </c>
      <c r="S22" s="2">
        <f t="shared" si="5"/>
        <v>0</v>
      </c>
      <c r="T22" s="2">
        <f t="shared" si="6"/>
        <v>0</v>
      </c>
      <c r="V22" s="55"/>
    </row>
    <row r="23" spans="1:22" x14ac:dyDescent="0.25">
      <c r="A23" s="28">
        <v>33</v>
      </c>
      <c r="B23" s="148" t="s">
        <v>291</v>
      </c>
      <c r="C23" s="6">
        <f>'Premier League'!C23</f>
        <v>6</v>
      </c>
      <c r="D23" s="6">
        <f>'Premier League'!D23</f>
        <v>1</v>
      </c>
      <c r="E23" s="6">
        <f>'Premier League'!E23</f>
        <v>2</v>
      </c>
      <c r="F23" s="4">
        <f>Europe!C23</f>
        <v>0</v>
      </c>
      <c r="G23" s="4">
        <f>Europe!D23</f>
        <v>0</v>
      </c>
      <c r="H23" s="4">
        <f>Europe!E23</f>
        <v>0</v>
      </c>
      <c r="I23" s="6">
        <f>'FA Cup'!C23</f>
        <v>0</v>
      </c>
      <c r="J23" s="6">
        <f>'FA Cup'!D23</f>
        <v>0</v>
      </c>
      <c r="K23" s="6">
        <f>'FA Cup'!E23</f>
        <v>0</v>
      </c>
      <c r="L23" s="4">
        <f>'League Cup'!C23</f>
        <v>0</v>
      </c>
      <c r="M23" s="4">
        <f>'League Cup'!D23</f>
        <v>0</v>
      </c>
      <c r="N23" s="4">
        <f>'League Cup'!E23</f>
        <v>0</v>
      </c>
      <c r="O23" s="6">
        <f>'Other (CS)'!C22</f>
        <v>1</v>
      </c>
      <c r="P23" s="6">
        <f>'Other (CS)'!D22</f>
        <v>1</v>
      </c>
      <c r="Q23" s="6">
        <f>'Other (CS)'!E22</f>
        <v>0</v>
      </c>
      <c r="R23" s="2">
        <f t="shared" si="4"/>
        <v>7</v>
      </c>
      <c r="S23" s="2">
        <f t="shared" si="5"/>
        <v>2</v>
      </c>
      <c r="T23" s="2">
        <f t="shared" si="6"/>
        <v>2</v>
      </c>
      <c r="V23" s="55"/>
    </row>
    <row r="24" spans="1:22" x14ac:dyDescent="0.25">
      <c r="A24" s="27">
        <v>35</v>
      </c>
      <c r="B24" s="148" t="s">
        <v>303</v>
      </c>
      <c r="C24" s="6">
        <f>'Premier League'!C24</f>
        <v>0</v>
      </c>
      <c r="D24" s="6">
        <f>'Premier League'!D24</f>
        <v>0</v>
      </c>
      <c r="E24" s="6">
        <f>'Premier League'!E24</f>
        <v>0</v>
      </c>
      <c r="F24" s="4">
        <f>Europe!C24</f>
        <v>0</v>
      </c>
      <c r="G24" s="4">
        <f>Europe!D24</f>
        <v>0</v>
      </c>
      <c r="H24" s="4">
        <f>Europe!E24</f>
        <v>0</v>
      </c>
      <c r="I24" s="6">
        <f>'FA Cup'!C24</f>
        <v>0</v>
      </c>
      <c r="J24" s="6">
        <f>'FA Cup'!D24</f>
        <v>0</v>
      </c>
      <c r="K24" s="6">
        <f>'FA Cup'!E24</f>
        <v>0</v>
      </c>
      <c r="L24" s="4">
        <f>'League Cup'!C24</f>
        <v>0</v>
      </c>
      <c r="M24" s="4">
        <f>'League Cup'!D24</f>
        <v>0</v>
      </c>
      <c r="N24" s="4">
        <f>'League Cup'!E24</f>
        <v>0</v>
      </c>
      <c r="O24" s="6">
        <f>'Other (CS)'!C23</f>
        <v>0</v>
      </c>
      <c r="P24" s="6">
        <f>'Other (CS)'!D23</f>
        <v>0</v>
      </c>
      <c r="Q24" s="6">
        <f>'Other (CS)'!E23</f>
        <v>0</v>
      </c>
      <c r="R24" s="2">
        <f t="shared" si="4"/>
        <v>0</v>
      </c>
      <c r="S24" s="2">
        <f t="shared" si="5"/>
        <v>0</v>
      </c>
      <c r="T24" s="2">
        <f t="shared" si="6"/>
        <v>0</v>
      </c>
      <c r="V24" s="55"/>
    </row>
    <row r="25" spans="1:22" x14ac:dyDescent="0.25">
      <c r="A25" s="27">
        <v>36</v>
      </c>
      <c r="B25" s="148" t="s">
        <v>313</v>
      </c>
      <c r="C25" s="6">
        <f>'Premier League'!C25</f>
        <v>5</v>
      </c>
      <c r="D25" s="6">
        <f>'Premier League'!D25</f>
        <v>0</v>
      </c>
      <c r="E25" s="6">
        <f>'Premier League'!E25</f>
        <v>0</v>
      </c>
      <c r="F25" s="4">
        <f>Europe!C25</f>
        <v>1</v>
      </c>
      <c r="G25" s="4">
        <f>Europe!D25</f>
        <v>0</v>
      </c>
      <c r="H25" s="4">
        <f>Europe!E25</f>
        <v>0</v>
      </c>
      <c r="I25" s="6">
        <f>'FA Cup'!C25</f>
        <v>0</v>
      </c>
      <c r="J25" s="6">
        <f>'FA Cup'!D25</f>
        <v>0</v>
      </c>
      <c r="K25" s="6">
        <f>'FA Cup'!E25</f>
        <v>0</v>
      </c>
      <c r="L25" s="4">
        <f>'League Cup'!C25</f>
        <v>1</v>
      </c>
      <c r="M25" s="4">
        <f>'League Cup'!D25</f>
        <v>0</v>
      </c>
      <c r="N25" s="4">
        <f>'League Cup'!E25</f>
        <v>1</v>
      </c>
      <c r="O25" s="6">
        <f>'Other (CS)'!C24</f>
        <v>1</v>
      </c>
      <c r="P25" s="6">
        <f>'Other (CS)'!D24</f>
        <v>0</v>
      </c>
      <c r="Q25" s="6">
        <f>'Other (CS)'!E24</f>
        <v>0</v>
      </c>
      <c r="R25" s="2">
        <f t="shared" si="4"/>
        <v>8</v>
      </c>
      <c r="S25" s="2">
        <f t="shared" si="5"/>
        <v>0</v>
      </c>
      <c r="T25" s="2">
        <f t="shared" si="6"/>
        <v>1</v>
      </c>
      <c r="V25" s="55"/>
    </row>
    <row r="26" spans="1:22" x14ac:dyDescent="0.25">
      <c r="A26" s="27">
        <v>39</v>
      </c>
      <c r="B26" s="148" t="s">
        <v>345</v>
      </c>
      <c r="C26" s="6">
        <f>'Premier League'!C26</f>
        <v>4</v>
      </c>
      <c r="D26" s="6">
        <f>'Premier League'!D26</f>
        <v>2</v>
      </c>
      <c r="E26" s="6">
        <f>'Premier League'!E26</f>
        <v>0</v>
      </c>
      <c r="F26" s="4">
        <f>Europe!C26</f>
        <v>1</v>
      </c>
      <c r="G26" s="4">
        <f>Europe!D26</f>
        <v>0</v>
      </c>
      <c r="H26" s="4">
        <f>Europe!E26</f>
        <v>0</v>
      </c>
      <c r="I26" s="6">
        <f>'FA Cup'!C26</f>
        <v>0</v>
      </c>
      <c r="J26" s="6">
        <f>'FA Cup'!D26</f>
        <v>0</v>
      </c>
      <c r="K26" s="6">
        <f>'FA Cup'!E26</f>
        <v>0</v>
      </c>
      <c r="L26" s="4">
        <f>'League Cup'!C26</f>
        <v>1</v>
      </c>
      <c r="M26" s="4">
        <f>'League Cup'!D26</f>
        <v>0</v>
      </c>
      <c r="N26" s="4">
        <f>'League Cup'!E26</f>
        <v>0</v>
      </c>
      <c r="O26" s="6">
        <f>'Other (CS)'!C25</f>
        <v>1</v>
      </c>
      <c r="P26" s="6">
        <f>'Other (CS)'!D25</f>
        <v>0</v>
      </c>
      <c r="Q26" s="6">
        <f>'Other (CS)'!E25</f>
        <v>0</v>
      </c>
      <c r="R26" s="2">
        <f t="shared" si="4"/>
        <v>7</v>
      </c>
      <c r="S26" s="2">
        <f t="shared" si="5"/>
        <v>2</v>
      </c>
      <c r="T26" s="2">
        <f t="shared" si="6"/>
        <v>0</v>
      </c>
      <c r="V26" s="55"/>
    </row>
    <row r="27" spans="1:22" x14ac:dyDescent="0.25">
      <c r="A27" s="27">
        <v>40</v>
      </c>
      <c r="B27" s="149" t="s">
        <v>341</v>
      </c>
      <c r="C27" s="6">
        <f>'Premier League'!C27</f>
        <v>0</v>
      </c>
      <c r="D27" s="6">
        <f>'Premier League'!D27</f>
        <v>0</v>
      </c>
      <c r="E27" s="6">
        <f>'Premier League'!E27</f>
        <v>0</v>
      </c>
      <c r="F27" s="4">
        <f>Europe!C27</f>
        <v>0</v>
      </c>
      <c r="G27" s="4">
        <f>Europe!D27</f>
        <v>0</v>
      </c>
      <c r="H27" s="4">
        <f>Europe!E27</f>
        <v>0</v>
      </c>
      <c r="I27" s="6">
        <f>'FA Cup'!C27</f>
        <v>0</v>
      </c>
      <c r="J27" s="6">
        <f>'FA Cup'!D27</f>
        <v>0</v>
      </c>
      <c r="K27" s="6">
        <f>'FA Cup'!E27</f>
        <v>0</v>
      </c>
      <c r="L27" s="4">
        <f>'League Cup'!C27</f>
        <v>0</v>
      </c>
      <c r="M27" s="4">
        <f>'League Cup'!D27</f>
        <v>0</v>
      </c>
      <c r="N27" s="4">
        <f>'League Cup'!E27</f>
        <v>0</v>
      </c>
      <c r="O27" s="6">
        <f>'Other (CS)'!C26</f>
        <v>0</v>
      </c>
      <c r="P27" s="6">
        <f>'Other (CS)'!D26</f>
        <v>0</v>
      </c>
      <c r="Q27" s="6">
        <f>'Other (CS)'!E26</f>
        <v>0</v>
      </c>
      <c r="R27" s="2">
        <f>SUM(C27,F27,I27,L27,O27)</f>
        <v>0</v>
      </c>
      <c r="S27" s="2">
        <f>SUM(D27,G27,J27,M27,P27)</f>
        <v>0</v>
      </c>
      <c r="T27" s="2">
        <f>SUM(E27,H27,K27,N27,Q27)</f>
        <v>0</v>
      </c>
    </row>
    <row r="28" spans="1:22" x14ac:dyDescent="0.25">
      <c r="A28" s="27">
        <v>41</v>
      </c>
      <c r="B28" s="35" t="s">
        <v>277</v>
      </c>
      <c r="C28" s="6">
        <f>'Premier League'!C28</f>
        <v>6</v>
      </c>
      <c r="D28" s="6">
        <f>'Premier League'!D28</f>
        <v>0</v>
      </c>
      <c r="E28" s="6">
        <f>'Premier League'!E28</f>
        <v>3</v>
      </c>
      <c r="F28" s="4">
        <f>Europe!C28</f>
        <v>1</v>
      </c>
      <c r="G28" s="4">
        <f>Europe!D28</f>
        <v>0</v>
      </c>
      <c r="H28" s="4">
        <f>Europe!E28</f>
        <v>0</v>
      </c>
      <c r="I28" s="6">
        <f>'FA Cup'!C28</f>
        <v>0</v>
      </c>
      <c r="J28" s="6">
        <f>'FA Cup'!D28</f>
        <v>0</v>
      </c>
      <c r="K28" s="6">
        <f>'FA Cup'!E28</f>
        <v>0</v>
      </c>
      <c r="L28" s="4">
        <f>'League Cup'!C28</f>
        <v>0</v>
      </c>
      <c r="M28" s="4">
        <f>'League Cup'!D28</f>
        <v>0</v>
      </c>
      <c r="N28" s="4">
        <f>'League Cup'!E28</f>
        <v>0</v>
      </c>
      <c r="O28" s="6">
        <f>'Other (CS)'!C27</f>
        <v>1</v>
      </c>
      <c r="P28" s="6">
        <f>'Other (CS)'!D27</f>
        <v>0</v>
      </c>
      <c r="Q28" s="6">
        <f>'Other (CS)'!E27</f>
        <v>0</v>
      </c>
      <c r="R28" s="2">
        <f t="shared" si="4"/>
        <v>8</v>
      </c>
      <c r="S28" s="2">
        <f t="shared" si="5"/>
        <v>0</v>
      </c>
      <c r="T28" s="2">
        <f t="shared" si="6"/>
        <v>3</v>
      </c>
      <c r="V28" s="55"/>
    </row>
    <row r="29" spans="1:22" x14ac:dyDescent="0.25">
      <c r="A29" s="28">
        <v>43</v>
      </c>
      <c r="B29" s="148" t="s">
        <v>327</v>
      </c>
      <c r="C29" s="6">
        <f>'Premier League'!C29</f>
        <v>0</v>
      </c>
      <c r="D29" s="6">
        <f>'Premier League'!D29</f>
        <v>0</v>
      </c>
      <c r="E29" s="6">
        <f>'Premier League'!E29</f>
        <v>0</v>
      </c>
      <c r="F29" s="4">
        <f>Europe!C29</f>
        <v>0</v>
      </c>
      <c r="G29" s="4">
        <f>Europe!D29</f>
        <v>0</v>
      </c>
      <c r="H29" s="4">
        <f>Europe!E29</f>
        <v>0</v>
      </c>
      <c r="I29" s="6">
        <f>'FA Cup'!C29</f>
        <v>0</v>
      </c>
      <c r="J29" s="6">
        <f>'FA Cup'!D29</f>
        <v>0</v>
      </c>
      <c r="K29" s="6">
        <f>'FA Cup'!E29</f>
        <v>0</v>
      </c>
      <c r="L29" s="4">
        <f>'League Cup'!C29</f>
        <v>0</v>
      </c>
      <c r="M29" s="4">
        <f>'League Cup'!D29</f>
        <v>0</v>
      </c>
      <c r="N29" s="4">
        <f>'League Cup'!E29</f>
        <v>0</v>
      </c>
      <c r="O29" s="6">
        <f>'Other (CS)'!C28</f>
        <v>0</v>
      </c>
      <c r="P29" s="6">
        <f>'Other (CS)'!D28</f>
        <v>0</v>
      </c>
      <c r="Q29" s="6">
        <f>'Other (CS)'!E28</f>
        <v>0</v>
      </c>
      <c r="R29" s="2">
        <f t="shared" ref="R29:T30" si="7">SUM(C29,F29,I29,L29,O29)</f>
        <v>0</v>
      </c>
      <c r="S29" s="2">
        <f t="shared" si="7"/>
        <v>0</v>
      </c>
      <c r="T29" s="2">
        <f t="shared" si="7"/>
        <v>0</v>
      </c>
    </row>
    <row r="30" spans="1:22" x14ac:dyDescent="0.25">
      <c r="A30" s="28">
        <v>44</v>
      </c>
      <c r="B30" s="148" t="s">
        <v>338</v>
      </c>
      <c r="C30" s="6">
        <f>'Premier League'!C30</f>
        <v>0</v>
      </c>
      <c r="D30" s="6">
        <f>'Premier League'!D30</f>
        <v>0</v>
      </c>
      <c r="E30" s="6">
        <f>'Premier League'!E30</f>
        <v>0</v>
      </c>
      <c r="F30" s="4">
        <f>Europe!C30</f>
        <v>0</v>
      </c>
      <c r="G30" s="4">
        <f>Europe!D30</f>
        <v>0</v>
      </c>
      <c r="H30" s="4">
        <f>Europe!E30</f>
        <v>0</v>
      </c>
      <c r="I30" s="6">
        <f>'FA Cup'!C30</f>
        <v>0</v>
      </c>
      <c r="J30" s="6">
        <f>'FA Cup'!D30</f>
        <v>0</v>
      </c>
      <c r="K30" s="6">
        <f>'FA Cup'!E30</f>
        <v>0</v>
      </c>
      <c r="L30" s="4">
        <f>'League Cup'!C30</f>
        <v>1</v>
      </c>
      <c r="M30" s="4">
        <f>'League Cup'!D30</f>
        <v>0</v>
      </c>
      <c r="N30" s="4">
        <f>'League Cup'!E30</f>
        <v>0</v>
      </c>
      <c r="O30" s="6">
        <f>'Other (CS)'!C29</f>
        <v>0</v>
      </c>
      <c r="P30" s="6">
        <f>'Other (CS)'!D29</f>
        <v>0</v>
      </c>
      <c r="Q30" s="6">
        <f>'Other (CS)'!E29</f>
        <v>0</v>
      </c>
      <c r="R30" s="2">
        <f t="shared" si="7"/>
        <v>1</v>
      </c>
      <c r="S30" s="2">
        <f t="shared" si="7"/>
        <v>0</v>
      </c>
      <c r="T30" s="2">
        <f t="shared" si="7"/>
        <v>0</v>
      </c>
    </row>
    <row r="31" spans="1:22" x14ac:dyDescent="0.25">
      <c r="A31" s="28">
        <v>45</v>
      </c>
      <c r="B31" s="148" t="s">
        <v>468</v>
      </c>
      <c r="C31" s="6">
        <f>'Premier League'!C31</f>
        <v>0</v>
      </c>
      <c r="D31" s="6">
        <f>'Premier League'!D31</f>
        <v>0</v>
      </c>
      <c r="E31" s="6">
        <f>'Premier League'!E31</f>
        <v>0</v>
      </c>
      <c r="F31" s="4">
        <f>Europe!C31</f>
        <v>0</v>
      </c>
      <c r="G31" s="4">
        <f>Europe!D31</f>
        <v>0</v>
      </c>
      <c r="H31" s="4">
        <f>Europe!E31</f>
        <v>0</v>
      </c>
      <c r="I31" s="6">
        <f>'FA Cup'!C31</f>
        <v>0</v>
      </c>
      <c r="J31" s="6">
        <f>'FA Cup'!D31</f>
        <v>0</v>
      </c>
      <c r="K31" s="6">
        <f>'FA Cup'!E31</f>
        <v>0</v>
      </c>
      <c r="L31" s="4">
        <f>'League Cup'!C31</f>
        <v>1</v>
      </c>
      <c r="M31" s="4">
        <f>'League Cup'!D31</f>
        <v>0</v>
      </c>
      <c r="N31" s="4">
        <f>'League Cup'!E31</f>
        <v>0</v>
      </c>
      <c r="O31" s="6">
        <f>'Other (CS)'!C30</f>
        <v>0</v>
      </c>
      <c r="P31" s="6">
        <f>'Other (CS)'!D30</f>
        <v>0</v>
      </c>
      <c r="Q31" s="6">
        <f>'Other (CS)'!E30</f>
        <v>0</v>
      </c>
      <c r="R31" s="2">
        <f t="shared" ref="R31:R38" si="8">SUM(C31,F31,I31,L31,O31)</f>
        <v>1</v>
      </c>
      <c r="S31" s="2">
        <f t="shared" ref="S31:S38" si="9">SUM(D31,G31,J31,M31,P31)</f>
        <v>0</v>
      </c>
      <c r="T31" s="2">
        <f t="shared" ref="T31:T38" si="10">SUM(E31,H31,K31,N31,Q31)</f>
        <v>0</v>
      </c>
    </row>
    <row r="32" spans="1:22" x14ac:dyDescent="0.25">
      <c r="A32" s="27">
        <v>46</v>
      </c>
      <c r="B32" s="34" t="s">
        <v>298</v>
      </c>
      <c r="C32" s="6">
        <f>'Premier League'!C32</f>
        <v>0</v>
      </c>
      <c r="D32" s="6">
        <f>'Premier League'!D32</f>
        <v>0</v>
      </c>
      <c r="E32" s="6">
        <f>'Premier League'!E32</f>
        <v>0</v>
      </c>
      <c r="F32" s="4">
        <f>Europe!C32</f>
        <v>0</v>
      </c>
      <c r="G32" s="4">
        <f>Europe!D32</f>
        <v>0</v>
      </c>
      <c r="H32" s="4">
        <f>Europe!E32</f>
        <v>0</v>
      </c>
      <c r="I32" s="6">
        <f>'FA Cup'!C32</f>
        <v>0</v>
      </c>
      <c r="J32" s="6">
        <f>'FA Cup'!D32</f>
        <v>0</v>
      </c>
      <c r="K32" s="6">
        <f>'FA Cup'!E32</f>
        <v>0</v>
      </c>
      <c r="L32" s="4">
        <f>'League Cup'!C32</f>
        <v>0</v>
      </c>
      <c r="M32" s="4">
        <f>'League Cup'!D32</f>
        <v>0</v>
      </c>
      <c r="N32" s="4">
        <f>'League Cup'!E32</f>
        <v>0</v>
      </c>
      <c r="O32" s="6">
        <f>'Other (CS)'!C31</f>
        <v>0</v>
      </c>
      <c r="P32" s="6">
        <f>'Other (CS)'!D31</f>
        <v>0</v>
      </c>
      <c r="Q32" s="6">
        <f>'Other (CS)'!E31</f>
        <v>0</v>
      </c>
      <c r="R32" s="2">
        <f t="shared" si="8"/>
        <v>0</v>
      </c>
      <c r="S32" s="2">
        <f t="shared" si="9"/>
        <v>0</v>
      </c>
      <c r="T32" s="2">
        <f t="shared" si="10"/>
        <v>0</v>
      </c>
      <c r="V32" s="55"/>
    </row>
    <row r="33" spans="1:20" x14ac:dyDescent="0.25">
      <c r="A33" s="28">
        <v>49</v>
      </c>
      <c r="B33" s="35" t="s">
        <v>297</v>
      </c>
      <c r="C33" s="6">
        <f>'Premier League'!C33</f>
        <v>5</v>
      </c>
      <c r="D33" s="6">
        <f>'Premier League'!D33</f>
        <v>0</v>
      </c>
      <c r="E33" s="6">
        <f>'Premier League'!E33</f>
        <v>0</v>
      </c>
      <c r="F33" s="4">
        <f>Europe!C33</f>
        <v>0</v>
      </c>
      <c r="G33" s="4">
        <f>Europe!D33</f>
        <v>0</v>
      </c>
      <c r="H33" s="4">
        <f>Europe!E33</f>
        <v>0</v>
      </c>
      <c r="I33" s="6">
        <f>'FA Cup'!C33</f>
        <v>0</v>
      </c>
      <c r="J33" s="6">
        <f>'FA Cup'!D33</f>
        <v>0</v>
      </c>
      <c r="K33" s="6">
        <f>'FA Cup'!E33</f>
        <v>0</v>
      </c>
      <c r="L33" s="4">
        <f>'League Cup'!C33</f>
        <v>1</v>
      </c>
      <c r="M33" s="4">
        <f>'League Cup'!D33</f>
        <v>0</v>
      </c>
      <c r="N33" s="4">
        <f>'League Cup'!E33</f>
        <v>0</v>
      </c>
      <c r="O33" s="6">
        <f>'Other (CS)'!C32</f>
        <v>1</v>
      </c>
      <c r="P33" s="6">
        <f>'Other (CS)'!D32</f>
        <v>0</v>
      </c>
      <c r="Q33" s="6">
        <f>'Other (CS)'!E32</f>
        <v>1</v>
      </c>
      <c r="R33" s="2">
        <f t="shared" si="8"/>
        <v>7</v>
      </c>
      <c r="S33" s="2">
        <f t="shared" si="9"/>
        <v>0</v>
      </c>
      <c r="T33" s="2">
        <f t="shared" si="10"/>
        <v>1</v>
      </c>
    </row>
    <row r="34" spans="1:20" x14ac:dyDescent="0.25">
      <c r="A34" s="28">
        <v>53</v>
      </c>
      <c r="B34" s="148" t="s">
        <v>292</v>
      </c>
      <c r="C34" s="6">
        <f>'Premier League'!C34</f>
        <v>0</v>
      </c>
      <c r="D34" s="6">
        <f>'Premier League'!D34</f>
        <v>0</v>
      </c>
      <c r="E34" s="6">
        <f>'Premier League'!E34</f>
        <v>0</v>
      </c>
      <c r="F34" s="4">
        <f>Europe!C34</f>
        <v>0</v>
      </c>
      <c r="G34" s="4">
        <f>Europe!D34</f>
        <v>0</v>
      </c>
      <c r="H34" s="4">
        <f>Europe!E34</f>
        <v>0</v>
      </c>
      <c r="I34" s="6">
        <f>'FA Cup'!C34</f>
        <v>0</v>
      </c>
      <c r="J34" s="6">
        <f>'FA Cup'!D34</f>
        <v>0</v>
      </c>
      <c r="K34" s="6">
        <f>'FA Cup'!E34</f>
        <v>0</v>
      </c>
      <c r="L34" s="4">
        <f>'League Cup'!C34</f>
        <v>0</v>
      </c>
      <c r="M34" s="4">
        <f>'League Cup'!D34</f>
        <v>0</v>
      </c>
      <c r="N34" s="4">
        <f>'League Cup'!E34</f>
        <v>0</v>
      </c>
      <c r="O34" s="6">
        <f>'Other (CS)'!C33</f>
        <v>0</v>
      </c>
      <c r="P34" s="6">
        <f>'Other (CS)'!D33</f>
        <v>0</v>
      </c>
      <c r="Q34" s="6">
        <f>'Other (CS)'!E33</f>
        <v>0</v>
      </c>
      <c r="R34" s="2">
        <f t="shared" si="8"/>
        <v>0</v>
      </c>
      <c r="S34" s="2">
        <f t="shared" si="9"/>
        <v>0</v>
      </c>
      <c r="T34" s="2">
        <f t="shared" si="10"/>
        <v>0</v>
      </c>
    </row>
    <row r="35" spans="1:20" x14ac:dyDescent="0.25">
      <c r="A35" s="28">
        <v>55</v>
      </c>
      <c r="B35" s="37" t="s">
        <v>301</v>
      </c>
      <c r="C35" s="6">
        <f>'Premier League'!C35</f>
        <v>0</v>
      </c>
      <c r="D35" s="6">
        <f>'Premier League'!D35</f>
        <v>0</v>
      </c>
      <c r="E35" s="6">
        <f>'Premier League'!E35</f>
        <v>0</v>
      </c>
      <c r="F35" s="4">
        <f>Europe!C35</f>
        <v>0</v>
      </c>
      <c r="G35" s="4">
        <f>Europe!D35</f>
        <v>0</v>
      </c>
      <c r="H35" s="4">
        <f>Europe!E35</f>
        <v>0</v>
      </c>
      <c r="I35" s="6">
        <f>'FA Cup'!C35</f>
        <v>0</v>
      </c>
      <c r="J35" s="6">
        <f>'FA Cup'!D35</f>
        <v>0</v>
      </c>
      <c r="K35" s="6">
        <f>'FA Cup'!E35</f>
        <v>0</v>
      </c>
      <c r="L35" s="4">
        <f>'League Cup'!C35</f>
        <v>0</v>
      </c>
      <c r="M35" s="4">
        <f>'League Cup'!D35</f>
        <v>0</v>
      </c>
      <c r="N35" s="4">
        <f>'League Cup'!E35</f>
        <v>0</v>
      </c>
      <c r="O35" s="6">
        <f>'Other (CS)'!C34</f>
        <v>0</v>
      </c>
      <c r="P35" s="6">
        <f>'Other (CS)'!D34</f>
        <v>0</v>
      </c>
      <c r="Q35" s="6">
        <f>'Other (CS)'!E34</f>
        <v>0</v>
      </c>
      <c r="R35" s="2">
        <f t="shared" si="8"/>
        <v>0</v>
      </c>
      <c r="S35" s="2">
        <f t="shared" si="9"/>
        <v>0</v>
      </c>
      <c r="T35" s="2">
        <f t="shared" si="10"/>
        <v>0</v>
      </c>
    </row>
    <row r="36" spans="1:20" x14ac:dyDescent="0.25">
      <c r="A36" s="28">
        <v>56</v>
      </c>
      <c r="B36" s="149" t="s">
        <v>322</v>
      </c>
      <c r="C36" s="6">
        <f>'Premier League'!C36</f>
        <v>1</v>
      </c>
      <c r="D36" s="6">
        <f>'Premier League'!D36</f>
        <v>0</v>
      </c>
      <c r="E36" s="6">
        <f>'Premier League'!E36</f>
        <v>0</v>
      </c>
      <c r="F36" s="4">
        <f>Europe!C36</f>
        <v>0</v>
      </c>
      <c r="G36" s="4">
        <f>Europe!D36</f>
        <v>0</v>
      </c>
      <c r="H36" s="4">
        <f>Europe!E36</f>
        <v>0</v>
      </c>
      <c r="I36" s="6">
        <f>'FA Cup'!C36</f>
        <v>0</v>
      </c>
      <c r="J36" s="6">
        <f>'FA Cup'!D36</f>
        <v>0</v>
      </c>
      <c r="K36" s="6">
        <f>'FA Cup'!E36</f>
        <v>0</v>
      </c>
      <c r="L36" s="4">
        <f>'League Cup'!C36</f>
        <v>1</v>
      </c>
      <c r="M36" s="4">
        <f>'League Cup'!D36</f>
        <v>2</v>
      </c>
      <c r="N36" s="4">
        <f>'League Cup'!E36</f>
        <v>0</v>
      </c>
      <c r="O36" s="6">
        <f>'Other (CS)'!C35</f>
        <v>0</v>
      </c>
      <c r="P36" s="6">
        <f>'Other (CS)'!D35</f>
        <v>0</v>
      </c>
      <c r="Q36" s="6">
        <f>'Other (CS)'!E35</f>
        <v>0</v>
      </c>
      <c r="R36" s="2">
        <f t="shared" si="8"/>
        <v>2</v>
      </c>
      <c r="S36" s="2">
        <f t="shared" si="9"/>
        <v>2</v>
      </c>
      <c r="T36" s="2">
        <f t="shared" si="10"/>
        <v>0</v>
      </c>
    </row>
    <row r="37" spans="1:20" x14ac:dyDescent="0.25">
      <c r="A37" s="28">
        <v>71</v>
      </c>
      <c r="B37" s="148" t="s">
        <v>339</v>
      </c>
      <c r="C37" s="6">
        <f>'Premier League'!C37</f>
        <v>0</v>
      </c>
      <c r="D37" s="6">
        <f>'Premier League'!D37</f>
        <v>0</v>
      </c>
      <c r="E37" s="6">
        <f>'Premier League'!E37</f>
        <v>0</v>
      </c>
      <c r="F37" s="4">
        <f>Europe!C37</f>
        <v>0</v>
      </c>
      <c r="G37" s="4">
        <f>Europe!D37</f>
        <v>0</v>
      </c>
      <c r="H37" s="4">
        <f>Europe!E37</f>
        <v>0</v>
      </c>
      <c r="I37" s="6">
        <f>'FA Cup'!C37</f>
        <v>0</v>
      </c>
      <c r="J37" s="6">
        <f>'FA Cup'!D37</f>
        <v>0</v>
      </c>
      <c r="K37" s="6">
        <f>'FA Cup'!E37</f>
        <v>0</v>
      </c>
      <c r="L37" s="4">
        <f>'League Cup'!C37</f>
        <v>0</v>
      </c>
      <c r="M37" s="4">
        <f>'League Cup'!D37</f>
        <v>0</v>
      </c>
      <c r="N37" s="4">
        <f>'League Cup'!E37</f>
        <v>0</v>
      </c>
      <c r="O37" s="6">
        <f>'Other (CS)'!C36</f>
        <v>0</v>
      </c>
      <c r="P37" s="6">
        <f>'Other (CS)'!D36</f>
        <v>0</v>
      </c>
      <c r="Q37" s="6">
        <f>'Other (CS)'!E36</f>
        <v>0</v>
      </c>
      <c r="R37" s="2">
        <f t="shared" si="8"/>
        <v>0</v>
      </c>
      <c r="S37" s="2">
        <f t="shared" si="9"/>
        <v>0</v>
      </c>
      <c r="T37" s="2">
        <f t="shared" si="10"/>
        <v>0</v>
      </c>
    </row>
    <row r="38" spans="1:20" x14ac:dyDescent="0.25">
      <c r="A38" s="28">
        <v>89</v>
      </c>
      <c r="B38" s="148" t="s">
        <v>333</v>
      </c>
      <c r="C38" s="6">
        <f>'Premier League'!C38</f>
        <v>0</v>
      </c>
      <c r="D38" s="6">
        <f>'Premier League'!D38</f>
        <v>0</v>
      </c>
      <c r="E38" s="6">
        <f>'Premier League'!E38</f>
        <v>0</v>
      </c>
      <c r="F38" s="4">
        <f>Europe!C38</f>
        <v>0</v>
      </c>
      <c r="G38" s="4">
        <f>Europe!D38</f>
        <v>0</v>
      </c>
      <c r="H38" s="4">
        <f>Europe!E38</f>
        <v>0</v>
      </c>
      <c r="I38" s="6">
        <f>'FA Cup'!C38</f>
        <v>0</v>
      </c>
      <c r="J38" s="6">
        <f>'FA Cup'!D38</f>
        <v>0</v>
      </c>
      <c r="K38" s="6">
        <f>'FA Cup'!E38</f>
        <v>0</v>
      </c>
      <c r="L38" s="4">
        <f>'League Cup'!C38</f>
        <v>1</v>
      </c>
      <c r="M38" s="4">
        <f>'League Cup'!D38</f>
        <v>0</v>
      </c>
      <c r="N38" s="4">
        <f>'League Cup'!E38</f>
        <v>0</v>
      </c>
      <c r="O38" s="6">
        <f>'Other (CS)'!C37</f>
        <v>0</v>
      </c>
      <c r="P38" s="6">
        <f>'Other (CS)'!D37</f>
        <v>0</v>
      </c>
      <c r="Q38" s="6">
        <f>'Other (CS)'!E37</f>
        <v>0</v>
      </c>
      <c r="R38" s="2">
        <f t="shared" si="8"/>
        <v>1</v>
      </c>
      <c r="S38" s="2">
        <f t="shared" si="9"/>
        <v>0</v>
      </c>
      <c r="T38" s="2">
        <f t="shared" si="10"/>
        <v>0</v>
      </c>
    </row>
  </sheetData>
  <autoFilter ref="A3:S18" xr:uid="{00000000-0009-0000-0000-000002000000}">
    <sortState xmlns:xlrd2="http://schemas.microsoft.com/office/spreadsheetml/2017/richdata2" ref="A4:S20">
      <sortCondition ref="A3:A18"/>
    </sortState>
  </autoFilter>
  <mergeCells count="6">
    <mergeCell ref="C2:E2"/>
    <mergeCell ref="F2:H2"/>
    <mergeCell ref="R2:T2"/>
    <mergeCell ref="O2:Q2"/>
    <mergeCell ref="L2:N2"/>
    <mergeCell ref="I2:K2"/>
  </mergeCells>
  <conditionalFormatting sqref="R4:T38">
    <cfRule type="cellIs" dxfId="24" priority="1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A1"/>
  <sheetViews>
    <sheetView zoomScale="90" zoomScaleNormal="90" zoomScalePageLayoutView="140" workbookViewId="0">
      <selection activeCell="E43" sqref="E43"/>
    </sheetView>
  </sheetViews>
  <sheetFormatPr defaultColWidth="8.85546875"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2"/>
  <dimension ref="A1:W326"/>
  <sheetViews>
    <sheetView zoomScale="80" zoomScaleNormal="80" zoomScalePageLayoutView="90" workbookViewId="0">
      <selection activeCell="AA19" sqref="AA19"/>
    </sheetView>
  </sheetViews>
  <sheetFormatPr defaultColWidth="8.85546875" defaultRowHeight="15" x14ac:dyDescent="0.25"/>
  <cols>
    <col min="1" max="1" width="8" bestFit="1" customWidth="1"/>
    <col min="2" max="2" width="5.140625" bestFit="1" customWidth="1"/>
    <col min="3" max="3" width="4.42578125" customWidth="1"/>
    <col min="4" max="4" width="28.140625" customWidth="1"/>
    <col min="5" max="22" width="8.85546875" customWidth="1"/>
  </cols>
  <sheetData>
    <row r="1" spans="1:23" x14ac:dyDescent="0.25">
      <c r="A1" s="3"/>
      <c r="B1" s="3"/>
      <c r="C1" s="3"/>
      <c r="D1" s="5"/>
      <c r="E1" s="208" t="s">
        <v>4</v>
      </c>
      <c r="F1" s="209"/>
      <c r="G1" s="210"/>
      <c r="H1" s="213" t="s">
        <v>120</v>
      </c>
      <c r="I1" s="214"/>
      <c r="J1" s="215"/>
      <c r="K1" s="208" t="s">
        <v>108</v>
      </c>
      <c r="L1" s="209"/>
      <c r="M1" s="210"/>
      <c r="N1" s="213" t="s">
        <v>110</v>
      </c>
      <c r="O1" s="214"/>
      <c r="P1" s="215"/>
      <c r="Q1" s="208" t="s">
        <v>39</v>
      </c>
      <c r="R1" s="209"/>
      <c r="S1" s="210"/>
      <c r="T1" s="211" t="s">
        <v>7</v>
      </c>
      <c r="U1" s="211"/>
      <c r="V1" s="211"/>
    </row>
    <row r="2" spans="1:23" x14ac:dyDescent="0.25">
      <c r="A2" s="3" t="s">
        <v>48</v>
      </c>
      <c r="B2" s="3"/>
      <c r="C2" s="3"/>
      <c r="D2" s="5" t="s">
        <v>1</v>
      </c>
      <c r="E2" s="5" t="s">
        <v>393</v>
      </c>
      <c r="F2" s="5" t="s">
        <v>394</v>
      </c>
      <c r="G2" s="5" t="s">
        <v>395</v>
      </c>
      <c r="H2" s="3" t="s">
        <v>393</v>
      </c>
      <c r="I2" s="3" t="s">
        <v>394</v>
      </c>
      <c r="J2" s="3" t="s">
        <v>395</v>
      </c>
      <c r="K2" s="5" t="s">
        <v>393</v>
      </c>
      <c r="L2" s="5" t="s">
        <v>394</v>
      </c>
      <c r="M2" s="5" t="s">
        <v>395</v>
      </c>
      <c r="N2" s="3" t="s">
        <v>393</v>
      </c>
      <c r="O2" s="3" t="s">
        <v>394</v>
      </c>
      <c r="P2" s="3" t="s">
        <v>395</v>
      </c>
      <c r="Q2" s="5" t="s">
        <v>393</v>
      </c>
      <c r="R2" s="17" t="s">
        <v>394</v>
      </c>
      <c r="S2" s="17" t="s">
        <v>395</v>
      </c>
      <c r="T2" s="8" t="s">
        <v>393</v>
      </c>
      <c r="U2" s="8" t="s">
        <v>394</v>
      </c>
      <c r="V2" s="8" t="s">
        <v>395</v>
      </c>
    </row>
    <row r="3" spans="1:23" x14ac:dyDescent="0.25">
      <c r="A3" s="4">
        <v>14</v>
      </c>
      <c r="B3" s="4" t="s">
        <v>355</v>
      </c>
      <c r="C3" s="4" t="s">
        <v>354</v>
      </c>
      <c r="D3" s="35" t="s">
        <v>19</v>
      </c>
      <c r="E3" s="6">
        <v>270</v>
      </c>
      <c r="F3" s="6">
        <v>65</v>
      </c>
      <c r="G3" s="6"/>
      <c r="H3" s="7">
        <v>72</v>
      </c>
      <c r="I3" s="7">
        <v>21</v>
      </c>
      <c r="J3" s="7"/>
      <c r="K3" s="6">
        <v>32</v>
      </c>
      <c r="L3" s="6">
        <v>12</v>
      </c>
      <c r="M3" s="6"/>
      <c r="N3" s="7">
        <v>21</v>
      </c>
      <c r="O3" s="7">
        <v>10</v>
      </c>
      <c r="P3" s="7"/>
      <c r="Q3" s="6">
        <v>2</v>
      </c>
      <c r="R3" s="108">
        <v>0</v>
      </c>
      <c r="S3" s="108"/>
      <c r="T3" s="2">
        <v>397</v>
      </c>
      <c r="U3" s="2">
        <v>108</v>
      </c>
      <c r="V3" s="2">
        <v>56</v>
      </c>
    </row>
    <row r="4" spans="1:23" x14ac:dyDescent="0.25">
      <c r="A4" s="56">
        <v>8</v>
      </c>
      <c r="B4" s="56" t="s">
        <v>365</v>
      </c>
      <c r="C4" s="56" t="s">
        <v>353</v>
      </c>
      <c r="D4" s="40" t="s">
        <v>22</v>
      </c>
      <c r="E4" s="6">
        <v>263</v>
      </c>
      <c r="F4" s="6">
        <v>40</v>
      </c>
      <c r="G4" s="6"/>
      <c r="H4" s="4">
        <v>63</v>
      </c>
      <c r="I4" s="4">
        <v>17</v>
      </c>
      <c r="J4" s="4"/>
      <c r="K4" s="6">
        <v>27</v>
      </c>
      <c r="L4" s="6">
        <v>6</v>
      </c>
      <c r="M4" s="6"/>
      <c r="N4" s="4">
        <v>15</v>
      </c>
      <c r="O4" s="4">
        <v>0</v>
      </c>
      <c r="P4" s="4"/>
      <c r="Q4" s="6">
        <v>2</v>
      </c>
      <c r="R4" s="108">
        <v>1</v>
      </c>
      <c r="S4" s="108"/>
      <c r="T4" s="2">
        <v>369</v>
      </c>
      <c r="U4" s="2">
        <v>64</v>
      </c>
      <c r="V4" s="2">
        <v>47</v>
      </c>
    </row>
    <row r="5" spans="1:23" x14ac:dyDescent="0.25">
      <c r="A5" s="56">
        <v>6</v>
      </c>
      <c r="B5" s="56" t="s">
        <v>351</v>
      </c>
      <c r="C5" s="56" t="s">
        <v>352</v>
      </c>
      <c r="D5" s="40" t="s">
        <v>12</v>
      </c>
      <c r="E5" s="6">
        <v>255</v>
      </c>
      <c r="F5" s="6">
        <v>22</v>
      </c>
      <c r="G5" s="6"/>
      <c r="H5" s="4">
        <v>61</v>
      </c>
      <c r="I5" s="4">
        <v>2</v>
      </c>
      <c r="J5" s="4"/>
      <c r="K5" s="6">
        <v>23</v>
      </c>
      <c r="L5" s="6">
        <v>1</v>
      </c>
      <c r="M5" s="6"/>
      <c r="N5" s="4">
        <v>12</v>
      </c>
      <c r="O5" s="4">
        <v>2</v>
      </c>
      <c r="P5" s="4"/>
      <c r="Q5" s="6">
        <v>2</v>
      </c>
      <c r="R5" s="108">
        <v>0</v>
      </c>
      <c r="S5" s="108"/>
      <c r="T5" s="2">
        <v>353</v>
      </c>
      <c r="U5" s="2">
        <v>27</v>
      </c>
      <c r="V5" s="2">
        <v>2</v>
      </c>
    </row>
    <row r="6" spans="1:23" x14ac:dyDescent="0.25">
      <c r="A6" s="28">
        <v>34</v>
      </c>
      <c r="B6" s="28" t="s">
        <v>366</v>
      </c>
      <c r="C6" s="28" t="s">
        <v>353</v>
      </c>
      <c r="D6" s="37" t="s">
        <v>104</v>
      </c>
      <c r="E6" s="6">
        <v>225</v>
      </c>
      <c r="F6" s="6">
        <v>17</v>
      </c>
      <c r="G6" s="175"/>
      <c r="H6" s="31">
        <v>43</v>
      </c>
      <c r="I6" s="31">
        <v>4</v>
      </c>
      <c r="J6" s="31"/>
      <c r="K6" s="6">
        <v>16</v>
      </c>
      <c r="L6" s="6">
        <v>0</v>
      </c>
      <c r="M6" s="175"/>
      <c r="N6" s="31">
        <v>11</v>
      </c>
      <c r="O6" s="31">
        <v>2</v>
      </c>
      <c r="P6" s="31"/>
      <c r="Q6" s="6">
        <v>2</v>
      </c>
      <c r="R6" s="108">
        <v>0</v>
      </c>
      <c r="S6" s="108"/>
      <c r="T6" s="2">
        <v>297</v>
      </c>
      <c r="U6" s="2">
        <v>23</v>
      </c>
      <c r="V6" s="2">
        <v>29</v>
      </c>
    </row>
    <row r="7" spans="1:23" x14ac:dyDescent="0.25">
      <c r="A7" s="28">
        <v>11</v>
      </c>
      <c r="B7" s="28" t="s">
        <v>357</v>
      </c>
      <c r="C7" s="28" t="s">
        <v>354</v>
      </c>
      <c r="D7" s="37" t="s">
        <v>188</v>
      </c>
      <c r="E7" s="6">
        <v>191</v>
      </c>
      <c r="F7" s="6">
        <v>41</v>
      </c>
      <c r="G7" s="175">
        <v>24</v>
      </c>
      <c r="H7" s="31">
        <v>53</v>
      </c>
      <c r="I7" s="31">
        <v>13</v>
      </c>
      <c r="J7" s="31">
        <v>8</v>
      </c>
      <c r="K7" s="6">
        <v>13</v>
      </c>
      <c r="L7" s="6">
        <v>4</v>
      </c>
      <c r="M7" s="175">
        <v>3</v>
      </c>
      <c r="N7" s="31">
        <v>20</v>
      </c>
      <c r="O7" s="31">
        <v>4</v>
      </c>
      <c r="P7" s="31">
        <v>1</v>
      </c>
      <c r="Q7" s="6">
        <v>1</v>
      </c>
      <c r="R7" s="108">
        <v>0</v>
      </c>
      <c r="S7" s="108">
        <v>0</v>
      </c>
      <c r="T7" s="2">
        <v>278</v>
      </c>
      <c r="U7" s="2">
        <v>62</v>
      </c>
      <c r="V7" s="2">
        <v>70</v>
      </c>
      <c r="W7" s="55"/>
    </row>
    <row r="8" spans="1:23" x14ac:dyDescent="0.25">
      <c r="A8" s="28">
        <v>10</v>
      </c>
      <c r="B8" s="28" t="s">
        <v>363</v>
      </c>
      <c r="C8" s="28" t="s">
        <v>353</v>
      </c>
      <c r="D8" s="37" t="s">
        <v>17</v>
      </c>
      <c r="E8" s="6">
        <v>184</v>
      </c>
      <c r="F8" s="6">
        <v>33</v>
      </c>
      <c r="G8" s="175"/>
      <c r="H8" s="31">
        <v>48</v>
      </c>
      <c r="I8" s="31">
        <v>9</v>
      </c>
      <c r="J8" s="31"/>
      <c r="K8" s="6">
        <v>17</v>
      </c>
      <c r="L8" s="6">
        <v>2</v>
      </c>
      <c r="M8" s="175"/>
      <c r="N8" s="31">
        <v>4</v>
      </c>
      <c r="O8" s="31">
        <v>0</v>
      </c>
      <c r="P8" s="31"/>
      <c r="Q8" s="6">
        <v>1</v>
      </c>
      <c r="R8" s="108">
        <v>0</v>
      </c>
      <c r="S8" s="108"/>
      <c r="T8" s="2">
        <v>254</v>
      </c>
      <c r="U8" s="2">
        <v>44</v>
      </c>
      <c r="V8" s="2">
        <v>34</v>
      </c>
    </row>
    <row r="9" spans="1:23" x14ac:dyDescent="0.25">
      <c r="A9" s="27">
        <v>12</v>
      </c>
      <c r="B9" s="27" t="s">
        <v>351</v>
      </c>
      <c r="C9" s="27" t="s">
        <v>354</v>
      </c>
      <c r="D9" s="35" t="s">
        <v>18</v>
      </c>
      <c r="E9" s="6">
        <v>179</v>
      </c>
      <c r="F9" s="6">
        <v>73</v>
      </c>
      <c r="G9" s="175"/>
      <c r="H9" s="30">
        <v>38</v>
      </c>
      <c r="I9" s="30">
        <v>16</v>
      </c>
      <c r="J9" s="30"/>
      <c r="K9" s="6">
        <v>23</v>
      </c>
      <c r="L9" s="6">
        <v>13</v>
      </c>
      <c r="M9" s="175"/>
      <c r="N9" s="30">
        <v>9</v>
      </c>
      <c r="O9" s="30">
        <v>2</v>
      </c>
      <c r="P9" s="30"/>
      <c r="Q9" s="6">
        <v>3</v>
      </c>
      <c r="R9" s="108">
        <v>1</v>
      </c>
      <c r="S9" s="108"/>
      <c r="T9" s="2">
        <v>253</v>
      </c>
      <c r="U9" s="2">
        <v>105</v>
      </c>
      <c r="V9" s="2">
        <v>17</v>
      </c>
    </row>
    <row r="10" spans="1:23" x14ac:dyDescent="0.25">
      <c r="A10" s="28">
        <v>18</v>
      </c>
      <c r="B10" s="28" t="s">
        <v>349</v>
      </c>
      <c r="C10" s="28" t="s">
        <v>352</v>
      </c>
      <c r="D10" s="40" t="s">
        <v>24</v>
      </c>
      <c r="E10" s="6">
        <v>187</v>
      </c>
      <c r="F10" s="6">
        <v>7</v>
      </c>
      <c r="G10" s="175"/>
      <c r="H10" s="30">
        <v>42</v>
      </c>
      <c r="I10" s="30">
        <v>1</v>
      </c>
      <c r="J10" s="30"/>
      <c r="K10" s="6">
        <v>13</v>
      </c>
      <c r="L10" s="6">
        <v>2</v>
      </c>
      <c r="M10" s="175"/>
      <c r="N10" s="30">
        <v>6</v>
      </c>
      <c r="O10" s="30">
        <v>0</v>
      </c>
      <c r="P10" s="30"/>
      <c r="Q10" s="6">
        <v>3</v>
      </c>
      <c r="R10" s="108">
        <v>0</v>
      </c>
      <c r="S10" s="108"/>
      <c r="T10" s="2">
        <v>251</v>
      </c>
      <c r="U10" s="2">
        <v>10</v>
      </c>
      <c r="V10" s="2">
        <v>18</v>
      </c>
    </row>
    <row r="11" spans="1:23" x14ac:dyDescent="0.25">
      <c r="A11" s="4">
        <v>7</v>
      </c>
      <c r="B11" s="4" t="s">
        <v>367</v>
      </c>
      <c r="C11" s="27" t="s">
        <v>353</v>
      </c>
      <c r="D11" s="39" t="s">
        <v>13</v>
      </c>
      <c r="E11" s="6">
        <v>170</v>
      </c>
      <c r="F11" s="6">
        <v>19</v>
      </c>
      <c r="G11" s="175"/>
      <c r="H11" s="29">
        <v>46</v>
      </c>
      <c r="I11" s="29">
        <v>4</v>
      </c>
      <c r="J11" s="29"/>
      <c r="K11" s="6">
        <v>21</v>
      </c>
      <c r="L11" s="6">
        <v>5</v>
      </c>
      <c r="M11" s="175"/>
      <c r="N11" s="29">
        <v>9</v>
      </c>
      <c r="O11" s="29">
        <v>0</v>
      </c>
      <c r="P11" s="29"/>
      <c r="Q11" s="6">
        <v>1</v>
      </c>
      <c r="R11" s="108">
        <v>0</v>
      </c>
      <c r="S11" s="108"/>
      <c r="T11" s="2">
        <v>247</v>
      </c>
      <c r="U11" s="2">
        <v>28</v>
      </c>
      <c r="V11" s="2">
        <v>8</v>
      </c>
    </row>
    <row r="12" spans="1:23" x14ac:dyDescent="0.25">
      <c r="A12" s="27">
        <v>20</v>
      </c>
      <c r="B12" s="27" t="s">
        <v>351</v>
      </c>
      <c r="C12" s="27" t="s">
        <v>353</v>
      </c>
      <c r="D12" s="39" t="s">
        <v>25</v>
      </c>
      <c r="E12" s="6">
        <f>102+66</f>
        <v>168</v>
      </c>
      <c r="F12" s="6">
        <v>10</v>
      </c>
      <c r="G12" s="175"/>
      <c r="H12" s="30">
        <v>47</v>
      </c>
      <c r="I12" s="30">
        <v>1</v>
      </c>
      <c r="J12" s="30"/>
      <c r="K12" s="6">
        <v>29</v>
      </c>
      <c r="L12" s="6">
        <v>2</v>
      </c>
      <c r="M12" s="175"/>
      <c r="N12" s="30">
        <v>8</v>
      </c>
      <c r="O12" s="30">
        <v>2</v>
      </c>
      <c r="P12" s="30"/>
      <c r="Q12" s="6">
        <v>2</v>
      </c>
      <c r="R12" s="108">
        <v>0</v>
      </c>
      <c r="S12" s="108"/>
      <c r="T12" s="2">
        <v>246</v>
      </c>
      <c r="U12" s="2">
        <v>13</v>
      </c>
      <c r="V12" s="2">
        <v>29</v>
      </c>
    </row>
    <row r="13" spans="1:23" x14ac:dyDescent="0.25">
      <c r="A13" s="28">
        <v>2</v>
      </c>
      <c r="B13" s="28" t="s">
        <v>349</v>
      </c>
      <c r="C13" s="28" t="s">
        <v>352</v>
      </c>
      <c r="D13" s="37" t="s">
        <v>36</v>
      </c>
      <c r="E13" s="6">
        <v>183</v>
      </c>
      <c r="F13" s="6">
        <v>8</v>
      </c>
      <c r="G13" s="175"/>
      <c r="H13" s="31">
        <v>33</v>
      </c>
      <c r="I13" s="31">
        <v>1</v>
      </c>
      <c r="J13" s="31"/>
      <c r="K13" s="6">
        <v>12</v>
      </c>
      <c r="L13" s="6">
        <v>0</v>
      </c>
      <c r="M13" s="175"/>
      <c r="N13" s="31">
        <v>8</v>
      </c>
      <c r="O13" s="31">
        <v>0</v>
      </c>
      <c r="P13" s="31"/>
      <c r="Q13" s="6">
        <v>3</v>
      </c>
      <c r="R13" s="108">
        <v>0</v>
      </c>
      <c r="S13" s="108"/>
      <c r="T13" s="2">
        <v>239</v>
      </c>
      <c r="U13" s="2">
        <v>9</v>
      </c>
      <c r="V13" s="2">
        <v>16</v>
      </c>
    </row>
    <row r="14" spans="1:23" x14ac:dyDescent="0.25">
      <c r="A14" s="27">
        <v>3</v>
      </c>
      <c r="B14" s="27" t="s">
        <v>355</v>
      </c>
      <c r="C14" s="28" t="s">
        <v>352</v>
      </c>
      <c r="D14" s="34" t="s">
        <v>10</v>
      </c>
      <c r="E14" s="6">
        <v>137</v>
      </c>
      <c r="F14" s="6">
        <v>2</v>
      </c>
      <c r="G14" s="175"/>
      <c r="H14" s="29">
        <v>43</v>
      </c>
      <c r="I14" s="29">
        <v>2</v>
      </c>
      <c r="J14" s="29"/>
      <c r="K14" s="6">
        <v>30</v>
      </c>
      <c r="L14" s="6">
        <v>1</v>
      </c>
      <c r="M14" s="175"/>
      <c r="N14" s="29">
        <v>18</v>
      </c>
      <c r="O14" s="29">
        <v>1</v>
      </c>
      <c r="P14" s="29"/>
      <c r="Q14" s="6">
        <v>2</v>
      </c>
      <c r="R14" s="108">
        <v>0</v>
      </c>
      <c r="S14" s="108"/>
      <c r="T14" s="2">
        <v>230</v>
      </c>
      <c r="U14" s="2">
        <v>6</v>
      </c>
      <c r="V14" s="2">
        <v>2</v>
      </c>
    </row>
    <row r="15" spans="1:23" x14ac:dyDescent="0.25">
      <c r="A15" s="28">
        <v>4</v>
      </c>
      <c r="B15" s="28" t="s">
        <v>363</v>
      </c>
      <c r="C15" s="28" t="s">
        <v>352</v>
      </c>
      <c r="D15" s="40" t="s">
        <v>11</v>
      </c>
      <c r="E15" s="6">
        <v>156</v>
      </c>
      <c r="F15" s="6">
        <v>6</v>
      </c>
      <c r="G15" s="175"/>
      <c r="H15" s="30">
        <v>39</v>
      </c>
      <c r="I15" s="30">
        <v>0</v>
      </c>
      <c r="J15" s="30"/>
      <c r="K15" s="6">
        <v>19</v>
      </c>
      <c r="L15" s="6">
        <v>4</v>
      </c>
      <c r="M15" s="175"/>
      <c r="N15" s="30">
        <v>5</v>
      </c>
      <c r="O15" s="30">
        <v>0</v>
      </c>
      <c r="P15" s="30"/>
      <c r="Q15" s="6">
        <v>2</v>
      </c>
      <c r="R15" s="108">
        <v>0</v>
      </c>
      <c r="S15" s="108"/>
      <c r="T15" s="2">
        <v>221</v>
      </c>
      <c r="U15" s="2">
        <v>10</v>
      </c>
      <c r="V15" s="2">
        <v>30</v>
      </c>
    </row>
    <row r="16" spans="1:23" x14ac:dyDescent="0.25">
      <c r="A16" s="28">
        <v>9</v>
      </c>
      <c r="B16" s="28" t="s">
        <v>351</v>
      </c>
      <c r="C16" s="28" t="s">
        <v>354</v>
      </c>
      <c r="D16" s="37" t="s">
        <v>112</v>
      </c>
      <c r="E16" s="6">
        <v>158</v>
      </c>
      <c r="F16" s="6">
        <v>54</v>
      </c>
      <c r="G16" s="175"/>
      <c r="H16" s="31">
        <v>27</v>
      </c>
      <c r="I16" s="31">
        <v>13</v>
      </c>
      <c r="J16" s="31"/>
      <c r="K16" s="6">
        <v>9</v>
      </c>
      <c r="L16" s="6">
        <v>0</v>
      </c>
      <c r="M16" s="175"/>
      <c r="N16" s="31">
        <v>11</v>
      </c>
      <c r="O16" s="31">
        <v>4</v>
      </c>
      <c r="P16" s="31"/>
      <c r="Q16" s="6">
        <v>1</v>
      </c>
      <c r="R16" s="108">
        <v>0</v>
      </c>
      <c r="S16" s="108"/>
      <c r="T16" s="2">
        <v>206</v>
      </c>
      <c r="U16" s="2">
        <v>71</v>
      </c>
      <c r="V16" s="2">
        <v>23</v>
      </c>
    </row>
    <row r="17" spans="1:22" x14ac:dyDescent="0.25">
      <c r="A17" s="27">
        <v>15</v>
      </c>
      <c r="B17" s="27" t="s">
        <v>355</v>
      </c>
      <c r="C17" s="27" t="s">
        <v>353</v>
      </c>
      <c r="D17" s="39" t="s">
        <v>20</v>
      </c>
      <c r="E17" s="6">
        <v>132</v>
      </c>
      <c r="F17" s="6">
        <v>9</v>
      </c>
      <c r="G17" s="175"/>
      <c r="H17" s="29">
        <v>31</v>
      </c>
      <c r="I17" s="29">
        <v>4</v>
      </c>
      <c r="J17" s="29"/>
      <c r="K17" s="6">
        <v>21</v>
      </c>
      <c r="L17" s="6">
        <v>1</v>
      </c>
      <c r="M17" s="175"/>
      <c r="N17" s="29">
        <v>11</v>
      </c>
      <c r="O17" s="29">
        <v>5</v>
      </c>
      <c r="P17" s="29"/>
      <c r="Q17" s="6">
        <v>3</v>
      </c>
      <c r="R17" s="108">
        <v>1</v>
      </c>
      <c r="S17" s="108"/>
      <c r="T17" s="2">
        <v>198</v>
      </c>
      <c r="U17" s="2">
        <v>20</v>
      </c>
      <c r="V17" s="2">
        <v>22</v>
      </c>
    </row>
    <row r="18" spans="1:22" x14ac:dyDescent="0.25">
      <c r="A18" s="28">
        <v>10</v>
      </c>
      <c r="B18" s="28" t="s">
        <v>355</v>
      </c>
      <c r="C18" s="28" t="s">
        <v>353</v>
      </c>
      <c r="D18" s="40" t="s">
        <v>16</v>
      </c>
      <c r="E18" s="6">
        <v>125</v>
      </c>
      <c r="F18" s="6">
        <v>7</v>
      </c>
      <c r="G18" s="175"/>
      <c r="H18" s="30">
        <v>40</v>
      </c>
      <c r="I18" s="30">
        <v>5</v>
      </c>
      <c r="J18" s="30"/>
      <c r="K18" s="6">
        <v>13</v>
      </c>
      <c r="L18" s="6">
        <v>1</v>
      </c>
      <c r="M18" s="175"/>
      <c r="N18" s="30">
        <v>18</v>
      </c>
      <c r="O18" s="30">
        <v>1</v>
      </c>
      <c r="P18" s="30"/>
      <c r="Q18" s="6">
        <v>1</v>
      </c>
      <c r="R18" s="108">
        <v>0</v>
      </c>
      <c r="S18" s="108"/>
      <c r="T18" s="2">
        <v>197</v>
      </c>
      <c r="U18" s="2">
        <v>14</v>
      </c>
      <c r="V18" s="2">
        <v>0</v>
      </c>
    </row>
    <row r="19" spans="1:22" x14ac:dyDescent="0.25">
      <c r="A19" s="27">
        <v>1</v>
      </c>
      <c r="B19" s="27" t="s">
        <v>368</v>
      </c>
      <c r="C19" s="27" t="s">
        <v>350</v>
      </c>
      <c r="D19" s="35" t="s">
        <v>111</v>
      </c>
      <c r="E19" s="6">
        <v>132</v>
      </c>
      <c r="F19" s="6">
        <v>0</v>
      </c>
      <c r="G19" s="175"/>
      <c r="H19" s="31">
        <v>29</v>
      </c>
      <c r="I19" s="31">
        <v>0</v>
      </c>
      <c r="J19" s="31"/>
      <c r="K19" s="6">
        <v>12</v>
      </c>
      <c r="L19" s="6">
        <v>0</v>
      </c>
      <c r="M19" s="175"/>
      <c r="N19" s="31">
        <v>7</v>
      </c>
      <c r="O19" s="31">
        <v>0</v>
      </c>
      <c r="P19" s="31"/>
      <c r="Q19" s="6">
        <v>1</v>
      </c>
      <c r="R19" s="108">
        <v>0</v>
      </c>
      <c r="S19" s="108"/>
      <c r="T19" s="2">
        <v>181</v>
      </c>
      <c r="U19" s="2">
        <v>0</v>
      </c>
      <c r="V19" s="2">
        <v>41</v>
      </c>
    </row>
    <row r="20" spans="1:22" x14ac:dyDescent="0.25">
      <c r="A20" s="28">
        <v>19</v>
      </c>
      <c r="B20" s="28" t="s">
        <v>349</v>
      </c>
      <c r="C20" s="28" t="s">
        <v>353</v>
      </c>
      <c r="D20" s="40" t="s">
        <v>296</v>
      </c>
      <c r="E20" s="6">
        <v>129</v>
      </c>
      <c r="F20" s="6">
        <v>25</v>
      </c>
      <c r="G20" s="175"/>
      <c r="H20" s="30">
        <v>32</v>
      </c>
      <c r="I20" s="30">
        <v>0</v>
      </c>
      <c r="J20" s="30"/>
      <c r="K20" s="6">
        <v>14</v>
      </c>
      <c r="L20" s="6">
        <v>3</v>
      </c>
      <c r="M20" s="175"/>
      <c r="N20" s="30">
        <v>3</v>
      </c>
      <c r="O20" s="30">
        <v>0</v>
      </c>
      <c r="P20" s="30"/>
      <c r="Q20" s="6">
        <v>2</v>
      </c>
      <c r="R20" s="108">
        <v>1</v>
      </c>
      <c r="S20" s="108"/>
      <c r="T20" s="2">
        <v>180</v>
      </c>
      <c r="U20" s="2">
        <v>29</v>
      </c>
      <c r="V20" s="2">
        <v>12</v>
      </c>
    </row>
    <row r="21" spans="1:22" x14ac:dyDescent="0.25">
      <c r="A21" s="27">
        <v>24</v>
      </c>
      <c r="B21" s="27" t="s">
        <v>351</v>
      </c>
      <c r="C21" s="27" t="s">
        <v>353</v>
      </c>
      <c r="D21" s="145" t="s">
        <v>29</v>
      </c>
      <c r="E21" s="6">
        <v>124</v>
      </c>
      <c r="F21" s="6">
        <v>14</v>
      </c>
      <c r="G21" s="175"/>
      <c r="H21" s="30">
        <v>29</v>
      </c>
      <c r="I21" s="30">
        <v>4</v>
      </c>
      <c r="J21" s="30"/>
      <c r="K21" s="6">
        <v>19</v>
      </c>
      <c r="L21" s="6">
        <v>1</v>
      </c>
      <c r="M21" s="175"/>
      <c r="N21" s="30">
        <v>8</v>
      </c>
      <c r="O21" s="30">
        <v>0</v>
      </c>
      <c r="P21" s="30"/>
      <c r="Q21" s="6">
        <v>0</v>
      </c>
      <c r="R21" s="108">
        <v>0</v>
      </c>
      <c r="S21" s="108"/>
      <c r="T21" s="2">
        <v>180</v>
      </c>
      <c r="U21" s="2">
        <v>19</v>
      </c>
      <c r="V21" s="2">
        <v>31</v>
      </c>
    </row>
    <row r="22" spans="1:22" x14ac:dyDescent="0.25">
      <c r="A22" s="28">
        <v>19</v>
      </c>
      <c r="B22" s="28" t="s">
        <v>369</v>
      </c>
      <c r="C22" s="28" t="s">
        <v>354</v>
      </c>
      <c r="D22" s="37" t="s">
        <v>271</v>
      </c>
      <c r="E22" s="6">
        <v>123</v>
      </c>
      <c r="F22" s="6">
        <v>27</v>
      </c>
      <c r="G22" s="175"/>
      <c r="H22" s="31">
        <v>35</v>
      </c>
      <c r="I22" s="31">
        <v>7</v>
      </c>
      <c r="J22" s="31"/>
      <c r="K22" s="6">
        <v>5</v>
      </c>
      <c r="L22" s="6">
        <v>0</v>
      </c>
      <c r="M22" s="175"/>
      <c r="N22" s="31">
        <v>10</v>
      </c>
      <c r="O22" s="31">
        <v>1</v>
      </c>
      <c r="P22" s="31"/>
      <c r="Q22" s="6">
        <v>1</v>
      </c>
      <c r="R22" s="108">
        <v>1</v>
      </c>
      <c r="S22" s="108"/>
      <c r="T22" s="2">
        <v>174</v>
      </c>
      <c r="U22" s="2">
        <v>36</v>
      </c>
      <c r="V22" s="2">
        <v>8</v>
      </c>
    </row>
    <row r="23" spans="1:22" x14ac:dyDescent="0.25">
      <c r="A23" s="28">
        <v>14</v>
      </c>
      <c r="B23" s="28" t="s">
        <v>355</v>
      </c>
      <c r="C23" s="28" t="s">
        <v>354</v>
      </c>
      <c r="D23" s="37" t="s">
        <v>123</v>
      </c>
      <c r="E23" s="6">
        <v>116</v>
      </c>
      <c r="F23" s="6">
        <v>19</v>
      </c>
      <c r="G23" s="6"/>
      <c r="H23" s="56">
        <v>27</v>
      </c>
      <c r="I23" s="56">
        <v>6</v>
      </c>
      <c r="J23" s="56"/>
      <c r="K23" s="6">
        <v>11</v>
      </c>
      <c r="L23" s="6">
        <v>4</v>
      </c>
      <c r="M23" s="6"/>
      <c r="N23" s="56">
        <v>12</v>
      </c>
      <c r="O23" s="56">
        <v>9</v>
      </c>
      <c r="P23" s="56"/>
      <c r="Q23" s="6">
        <v>2</v>
      </c>
      <c r="R23" s="108">
        <v>0</v>
      </c>
      <c r="S23" s="108"/>
      <c r="T23" s="2">
        <v>168</v>
      </c>
      <c r="U23" s="2">
        <v>38</v>
      </c>
      <c r="V23" s="2">
        <v>40</v>
      </c>
    </row>
    <row r="24" spans="1:22" x14ac:dyDescent="0.25">
      <c r="A24" s="27">
        <v>7</v>
      </c>
      <c r="B24" s="27" t="s">
        <v>370</v>
      </c>
      <c r="C24" s="27" t="s">
        <v>354</v>
      </c>
      <c r="D24" s="35" t="s">
        <v>23</v>
      </c>
      <c r="E24" s="6">
        <v>122</v>
      </c>
      <c r="F24" s="6">
        <v>60</v>
      </c>
      <c r="G24" s="6"/>
      <c r="H24" s="7">
        <v>25</v>
      </c>
      <c r="I24" s="7">
        <v>11</v>
      </c>
      <c r="J24" s="7"/>
      <c r="K24" s="6">
        <v>14</v>
      </c>
      <c r="L24" s="6">
        <v>8</v>
      </c>
      <c r="M24" s="6"/>
      <c r="N24" s="7">
        <v>3</v>
      </c>
      <c r="O24" s="7">
        <v>1</v>
      </c>
      <c r="P24" s="7"/>
      <c r="Q24" s="6">
        <v>1</v>
      </c>
      <c r="R24" s="108">
        <v>0</v>
      </c>
      <c r="S24" s="108"/>
      <c r="T24" s="2">
        <v>165</v>
      </c>
      <c r="U24" s="2">
        <v>80</v>
      </c>
      <c r="V24" s="2">
        <v>6</v>
      </c>
    </row>
    <row r="25" spans="1:22" x14ac:dyDescent="0.25">
      <c r="A25" s="28">
        <v>5</v>
      </c>
      <c r="B25" s="28" t="s">
        <v>371</v>
      </c>
      <c r="C25" s="28" t="s">
        <v>353</v>
      </c>
      <c r="D25" s="37" t="s">
        <v>204</v>
      </c>
      <c r="E25" s="6">
        <v>129</v>
      </c>
      <c r="F25" s="6">
        <v>9</v>
      </c>
      <c r="G25" s="6"/>
      <c r="H25" s="56">
        <v>25</v>
      </c>
      <c r="I25" s="56">
        <v>0</v>
      </c>
      <c r="J25" s="56"/>
      <c r="K25" s="6">
        <v>3</v>
      </c>
      <c r="L25" s="6">
        <v>0</v>
      </c>
      <c r="M25" s="6"/>
      <c r="N25" s="56">
        <v>6</v>
      </c>
      <c r="O25" s="56">
        <v>0</v>
      </c>
      <c r="P25" s="56"/>
      <c r="Q25" s="6">
        <v>1</v>
      </c>
      <c r="R25" s="108">
        <v>0</v>
      </c>
      <c r="S25" s="108"/>
      <c r="T25" s="2">
        <v>164</v>
      </c>
      <c r="U25" s="2">
        <v>9</v>
      </c>
      <c r="V25" s="2">
        <v>20</v>
      </c>
    </row>
    <row r="26" spans="1:22" x14ac:dyDescent="0.25">
      <c r="A26" s="28">
        <v>14</v>
      </c>
      <c r="B26" s="28" t="s">
        <v>372</v>
      </c>
      <c r="C26" s="28" t="s">
        <v>354</v>
      </c>
      <c r="D26" s="37" t="s">
        <v>131</v>
      </c>
      <c r="E26" s="6">
        <v>128</v>
      </c>
      <c r="F26" s="6">
        <v>68</v>
      </c>
      <c r="G26" s="6"/>
      <c r="H26" s="56">
        <v>26</v>
      </c>
      <c r="I26" s="56">
        <v>14</v>
      </c>
      <c r="J26" s="56"/>
      <c r="K26" s="6">
        <v>4</v>
      </c>
      <c r="L26" s="6">
        <v>6</v>
      </c>
      <c r="M26" s="6"/>
      <c r="N26" s="56">
        <v>4</v>
      </c>
      <c r="O26" s="56">
        <v>3</v>
      </c>
      <c r="P26" s="56"/>
      <c r="Q26" s="6">
        <v>1</v>
      </c>
      <c r="R26" s="108">
        <v>1</v>
      </c>
      <c r="S26" s="108"/>
      <c r="T26" s="2">
        <v>163</v>
      </c>
      <c r="U26" s="2">
        <v>92</v>
      </c>
      <c r="V26" s="2">
        <v>8</v>
      </c>
    </row>
    <row r="27" spans="1:22" x14ac:dyDescent="0.25">
      <c r="A27" s="28">
        <v>25</v>
      </c>
      <c r="B27" s="28" t="s">
        <v>373</v>
      </c>
      <c r="C27" s="28" t="s">
        <v>353</v>
      </c>
      <c r="D27" s="37" t="s">
        <v>100</v>
      </c>
      <c r="E27" s="6">
        <v>91</v>
      </c>
      <c r="F27" s="6">
        <v>1</v>
      </c>
      <c r="G27" s="6"/>
      <c r="H27" s="56">
        <v>39</v>
      </c>
      <c r="I27" s="56">
        <v>4</v>
      </c>
      <c r="J27" s="56"/>
      <c r="K27" s="6">
        <v>11</v>
      </c>
      <c r="L27" s="6">
        <v>1</v>
      </c>
      <c r="M27" s="6"/>
      <c r="N27" s="56">
        <v>17</v>
      </c>
      <c r="O27" s="56">
        <v>0</v>
      </c>
      <c r="P27" s="56"/>
      <c r="Q27" s="6">
        <v>2</v>
      </c>
      <c r="R27" s="108">
        <v>0</v>
      </c>
      <c r="S27" s="108"/>
      <c r="T27" s="2">
        <v>161</v>
      </c>
      <c r="U27" s="2">
        <v>6</v>
      </c>
      <c r="V27" s="2">
        <v>1</v>
      </c>
    </row>
    <row r="28" spans="1:22" x14ac:dyDescent="0.25">
      <c r="A28" s="28">
        <v>16</v>
      </c>
      <c r="B28" s="28" t="s">
        <v>355</v>
      </c>
      <c r="C28" s="28" t="s">
        <v>352</v>
      </c>
      <c r="D28" s="37" t="s">
        <v>103</v>
      </c>
      <c r="E28" s="6">
        <v>98</v>
      </c>
      <c r="F28" s="6">
        <v>2</v>
      </c>
      <c r="G28" s="6"/>
      <c r="H28" s="56">
        <v>29</v>
      </c>
      <c r="I28" s="56">
        <v>2</v>
      </c>
      <c r="J28" s="56"/>
      <c r="K28" s="6">
        <v>14</v>
      </c>
      <c r="L28" s="6">
        <v>0</v>
      </c>
      <c r="M28" s="6"/>
      <c r="N28" s="56">
        <v>18</v>
      </c>
      <c r="O28" s="56">
        <v>1</v>
      </c>
      <c r="P28" s="56"/>
      <c r="Q28" s="6">
        <v>2</v>
      </c>
      <c r="R28" s="108">
        <v>0</v>
      </c>
      <c r="S28" s="108"/>
      <c r="T28" s="2">
        <v>161</v>
      </c>
      <c r="U28" s="2">
        <v>5</v>
      </c>
      <c r="V28" s="2">
        <v>2</v>
      </c>
    </row>
    <row r="29" spans="1:22" x14ac:dyDescent="0.25">
      <c r="A29" s="27">
        <v>34</v>
      </c>
      <c r="B29" s="27" t="s">
        <v>351</v>
      </c>
      <c r="C29" s="27" t="s">
        <v>353</v>
      </c>
      <c r="D29" s="39" t="s">
        <v>33</v>
      </c>
      <c r="E29" s="6">
        <v>105</v>
      </c>
      <c r="F29" s="6">
        <v>0</v>
      </c>
      <c r="G29" s="6"/>
      <c r="H29" s="4">
        <v>25</v>
      </c>
      <c r="I29" s="4">
        <v>0</v>
      </c>
      <c r="J29" s="4"/>
      <c r="K29" s="6">
        <v>16</v>
      </c>
      <c r="L29" s="6">
        <v>0</v>
      </c>
      <c r="M29" s="6"/>
      <c r="N29" s="4">
        <v>13</v>
      </c>
      <c r="O29" s="4">
        <v>0</v>
      </c>
      <c r="P29" s="4"/>
      <c r="Q29" s="6">
        <v>1</v>
      </c>
      <c r="R29" s="108">
        <v>0</v>
      </c>
      <c r="S29" s="108"/>
      <c r="T29" s="2">
        <v>160</v>
      </c>
      <c r="U29" s="2">
        <v>0</v>
      </c>
      <c r="V29" s="2">
        <v>4</v>
      </c>
    </row>
    <row r="30" spans="1:22" x14ac:dyDescent="0.25">
      <c r="A30" s="27">
        <v>20</v>
      </c>
      <c r="B30" s="27" t="s">
        <v>363</v>
      </c>
      <c r="C30" s="27" t="s">
        <v>352</v>
      </c>
      <c r="D30" s="39" t="s">
        <v>107</v>
      </c>
      <c r="E30" s="6">
        <v>102</v>
      </c>
      <c r="F30" s="6">
        <v>7</v>
      </c>
      <c r="G30" s="6"/>
      <c r="H30" s="4">
        <v>33</v>
      </c>
      <c r="I30" s="4">
        <v>2</v>
      </c>
      <c r="J30" s="4"/>
      <c r="K30" s="6">
        <v>8</v>
      </c>
      <c r="L30" s="6">
        <v>0</v>
      </c>
      <c r="M30" s="6"/>
      <c r="N30" s="4">
        <v>8</v>
      </c>
      <c r="O30" s="4">
        <v>0</v>
      </c>
      <c r="P30" s="4"/>
      <c r="Q30" s="6">
        <v>0</v>
      </c>
      <c r="R30" s="108">
        <v>0</v>
      </c>
      <c r="S30" s="108"/>
      <c r="T30" s="2">
        <v>151</v>
      </c>
      <c r="U30" s="2">
        <v>9</v>
      </c>
      <c r="V30" s="2">
        <v>7</v>
      </c>
    </row>
    <row r="31" spans="1:22" x14ac:dyDescent="0.25">
      <c r="A31" s="27">
        <v>8</v>
      </c>
      <c r="B31" s="27" t="s">
        <v>349</v>
      </c>
      <c r="C31" s="27" t="s">
        <v>353</v>
      </c>
      <c r="D31" s="39" t="s">
        <v>14</v>
      </c>
      <c r="E31" s="6">
        <v>110</v>
      </c>
      <c r="F31" s="6">
        <v>14</v>
      </c>
      <c r="G31" s="6"/>
      <c r="H31" s="7">
        <v>24</v>
      </c>
      <c r="I31" s="7">
        <v>1</v>
      </c>
      <c r="J31" s="7"/>
      <c r="K31" s="6">
        <v>10</v>
      </c>
      <c r="L31" s="6">
        <v>1</v>
      </c>
      <c r="M31" s="6"/>
      <c r="N31" s="7">
        <v>5</v>
      </c>
      <c r="O31" s="7">
        <v>0</v>
      </c>
      <c r="P31" s="7"/>
      <c r="Q31" s="6">
        <v>0</v>
      </c>
      <c r="R31" s="108">
        <v>0</v>
      </c>
      <c r="S31" s="108"/>
      <c r="T31" s="2">
        <v>149</v>
      </c>
      <c r="U31" s="2">
        <v>16</v>
      </c>
      <c r="V31" s="2">
        <v>22</v>
      </c>
    </row>
    <row r="32" spans="1:22" x14ac:dyDescent="0.25">
      <c r="A32" s="28">
        <v>17</v>
      </c>
      <c r="B32" s="28" t="s">
        <v>374</v>
      </c>
      <c r="C32" s="28" t="s">
        <v>353</v>
      </c>
      <c r="D32" s="40" t="s">
        <v>95</v>
      </c>
      <c r="E32" s="6">
        <v>100</v>
      </c>
      <c r="F32" s="6">
        <v>11</v>
      </c>
      <c r="G32" s="6"/>
      <c r="H32" s="4">
        <v>26</v>
      </c>
      <c r="I32" s="4">
        <v>3</v>
      </c>
      <c r="J32" s="4"/>
      <c r="K32" s="6">
        <v>11</v>
      </c>
      <c r="L32" s="6">
        <v>0</v>
      </c>
      <c r="M32" s="6"/>
      <c r="N32" s="4">
        <v>11</v>
      </c>
      <c r="O32" s="4">
        <v>0</v>
      </c>
      <c r="P32" s="4"/>
      <c r="Q32" s="6">
        <v>1</v>
      </c>
      <c r="R32" s="108">
        <v>0</v>
      </c>
      <c r="S32" s="108"/>
      <c r="T32" s="2">
        <v>149</v>
      </c>
      <c r="U32" s="2">
        <v>14</v>
      </c>
      <c r="V32" s="2">
        <v>14</v>
      </c>
    </row>
    <row r="33" spans="1:22" x14ac:dyDescent="0.25">
      <c r="A33" s="28">
        <v>3</v>
      </c>
      <c r="B33" s="28" t="s">
        <v>375</v>
      </c>
      <c r="C33" s="28" t="s">
        <v>352</v>
      </c>
      <c r="D33" s="37" t="s">
        <v>191</v>
      </c>
      <c r="E33" s="6">
        <v>104</v>
      </c>
      <c r="F33" s="6">
        <v>4</v>
      </c>
      <c r="G33" s="6"/>
      <c r="H33" s="56">
        <v>24</v>
      </c>
      <c r="I33" s="56">
        <v>2</v>
      </c>
      <c r="J33" s="56"/>
      <c r="K33" s="6">
        <v>8</v>
      </c>
      <c r="L33" s="6">
        <v>0</v>
      </c>
      <c r="M33" s="6"/>
      <c r="N33" s="56">
        <v>6</v>
      </c>
      <c r="O33" s="56">
        <v>0</v>
      </c>
      <c r="P33" s="56"/>
      <c r="Q33" s="6">
        <v>2</v>
      </c>
      <c r="R33" s="108">
        <v>0</v>
      </c>
      <c r="S33" s="108"/>
      <c r="T33" s="2">
        <v>144</v>
      </c>
      <c r="U33" s="2">
        <v>6</v>
      </c>
      <c r="V33" s="2">
        <v>0</v>
      </c>
    </row>
    <row r="34" spans="1:22" x14ac:dyDescent="0.25">
      <c r="A34" s="28">
        <v>1</v>
      </c>
      <c r="B34" s="28" t="s">
        <v>367</v>
      </c>
      <c r="C34" s="28" t="s">
        <v>350</v>
      </c>
      <c r="D34" s="40" t="s">
        <v>92</v>
      </c>
      <c r="E34" s="6">
        <v>110</v>
      </c>
      <c r="F34" s="6">
        <v>0</v>
      </c>
      <c r="G34" s="6"/>
      <c r="H34" s="4">
        <v>19</v>
      </c>
      <c r="I34" s="4">
        <v>0</v>
      </c>
      <c r="J34" s="4"/>
      <c r="K34" s="6">
        <v>5</v>
      </c>
      <c r="L34" s="6">
        <v>0</v>
      </c>
      <c r="M34" s="6"/>
      <c r="N34" s="4">
        <v>3</v>
      </c>
      <c r="O34" s="4">
        <v>0</v>
      </c>
      <c r="P34" s="4"/>
      <c r="Q34" s="6">
        <v>2</v>
      </c>
      <c r="R34" s="108">
        <v>0</v>
      </c>
      <c r="S34" s="108"/>
      <c r="T34" s="2">
        <v>139</v>
      </c>
      <c r="U34" s="2">
        <v>0</v>
      </c>
      <c r="V34" s="2">
        <v>7</v>
      </c>
    </row>
    <row r="35" spans="1:22" x14ac:dyDescent="0.25">
      <c r="A35" s="28">
        <v>15</v>
      </c>
      <c r="B35" s="28" t="s">
        <v>355</v>
      </c>
      <c r="C35" s="28" t="s">
        <v>352</v>
      </c>
      <c r="D35" s="37" t="s">
        <v>43</v>
      </c>
      <c r="E35" s="6">
        <v>72</v>
      </c>
      <c r="F35" s="6">
        <v>1</v>
      </c>
      <c r="G35" s="6"/>
      <c r="H35" s="56">
        <v>31</v>
      </c>
      <c r="I35" s="56">
        <v>1</v>
      </c>
      <c r="J35" s="56"/>
      <c r="K35" s="6">
        <v>13</v>
      </c>
      <c r="L35" s="6">
        <v>0</v>
      </c>
      <c r="M35" s="6"/>
      <c r="N35" s="56">
        <v>15</v>
      </c>
      <c r="O35" s="56">
        <v>1</v>
      </c>
      <c r="P35" s="56"/>
      <c r="Q35" s="6">
        <v>1</v>
      </c>
      <c r="R35" s="108">
        <v>0</v>
      </c>
      <c r="S35" s="108"/>
      <c r="T35" s="2">
        <v>132</v>
      </c>
      <c r="U35" s="2">
        <v>3</v>
      </c>
      <c r="V35" s="2">
        <v>0</v>
      </c>
    </row>
    <row r="36" spans="1:22" x14ac:dyDescent="0.25">
      <c r="A36" s="28">
        <v>1</v>
      </c>
      <c r="B36" s="28" t="s">
        <v>363</v>
      </c>
      <c r="C36" s="28" t="s">
        <v>350</v>
      </c>
      <c r="D36" s="37" t="s">
        <v>171</v>
      </c>
      <c r="E36" s="6">
        <v>101</v>
      </c>
      <c r="F36" s="6">
        <v>0</v>
      </c>
      <c r="G36" s="6"/>
      <c r="H36" s="56">
        <v>15</v>
      </c>
      <c r="I36" s="56">
        <v>0</v>
      </c>
      <c r="J36" s="56"/>
      <c r="K36" s="6">
        <v>3</v>
      </c>
      <c r="L36" s="6">
        <v>0</v>
      </c>
      <c r="M36" s="6"/>
      <c r="N36" s="56">
        <v>6</v>
      </c>
      <c r="O36" s="56">
        <v>0</v>
      </c>
      <c r="P36" s="56"/>
      <c r="Q36" s="6">
        <v>0</v>
      </c>
      <c r="R36" s="108">
        <v>0</v>
      </c>
      <c r="S36" s="108"/>
      <c r="T36" s="2">
        <v>125</v>
      </c>
      <c r="U36" s="2">
        <v>0</v>
      </c>
      <c r="V36" s="2">
        <v>14</v>
      </c>
    </row>
    <row r="37" spans="1:22" x14ac:dyDescent="0.25">
      <c r="A37" s="28">
        <v>23</v>
      </c>
      <c r="B37" s="28" t="s">
        <v>355</v>
      </c>
      <c r="C37" s="28" t="s">
        <v>354</v>
      </c>
      <c r="D37" s="40" t="s">
        <v>28</v>
      </c>
      <c r="E37" s="6">
        <v>88</v>
      </c>
      <c r="F37" s="6">
        <v>16</v>
      </c>
      <c r="G37" s="6"/>
      <c r="H37" s="4">
        <v>20</v>
      </c>
      <c r="I37" s="4">
        <v>8</v>
      </c>
      <c r="J37" s="4"/>
      <c r="K37" s="6">
        <v>10</v>
      </c>
      <c r="L37" s="6">
        <v>5</v>
      </c>
      <c r="M37" s="6"/>
      <c r="N37" s="4">
        <v>5</v>
      </c>
      <c r="O37" s="4">
        <v>3</v>
      </c>
      <c r="P37" s="4"/>
      <c r="Q37" s="6">
        <v>1</v>
      </c>
      <c r="R37" s="108">
        <v>0</v>
      </c>
      <c r="S37" s="108"/>
      <c r="T37" s="2">
        <v>124</v>
      </c>
      <c r="U37" s="2">
        <v>32</v>
      </c>
      <c r="V37" s="2">
        <v>8</v>
      </c>
    </row>
    <row r="38" spans="1:22" x14ac:dyDescent="0.25">
      <c r="A38" s="28">
        <v>21</v>
      </c>
      <c r="B38" s="28" t="s">
        <v>355</v>
      </c>
      <c r="C38" s="28" t="s">
        <v>352</v>
      </c>
      <c r="D38" s="37" t="s">
        <v>26</v>
      </c>
      <c r="E38" s="6">
        <v>74</v>
      </c>
      <c r="F38" s="6">
        <v>3</v>
      </c>
      <c r="G38" s="6"/>
      <c r="H38" s="56">
        <v>27</v>
      </c>
      <c r="I38" s="56">
        <v>0</v>
      </c>
      <c r="J38" s="56"/>
      <c r="K38" s="6">
        <v>10</v>
      </c>
      <c r="L38" s="6">
        <v>1</v>
      </c>
      <c r="M38" s="6"/>
      <c r="N38" s="56">
        <v>11</v>
      </c>
      <c r="O38" s="56">
        <v>1</v>
      </c>
      <c r="P38" s="56"/>
      <c r="Q38" s="6">
        <v>1</v>
      </c>
      <c r="R38" s="108">
        <v>0</v>
      </c>
      <c r="S38" s="108"/>
      <c r="T38" s="2">
        <v>123</v>
      </c>
      <c r="U38" s="2">
        <v>5</v>
      </c>
      <c r="V38" s="2">
        <v>13</v>
      </c>
    </row>
    <row r="39" spans="1:22" x14ac:dyDescent="0.25">
      <c r="A39" s="28">
        <v>9</v>
      </c>
      <c r="B39" s="28" t="s">
        <v>357</v>
      </c>
      <c r="C39" s="28" t="s">
        <v>354</v>
      </c>
      <c r="D39" s="37" t="s">
        <v>259</v>
      </c>
      <c r="E39" s="6">
        <v>84</v>
      </c>
      <c r="F39" s="6">
        <v>21</v>
      </c>
      <c r="G39" s="6">
        <v>11</v>
      </c>
      <c r="H39" s="56">
        <v>25</v>
      </c>
      <c r="I39" s="56">
        <v>6</v>
      </c>
      <c r="J39" s="56">
        <v>5</v>
      </c>
      <c r="K39" s="6">
        <v>5</v>
      </c>
      <c r="L39" s="6">
        <v>1</v>
      </c>
      <c r="M39" s="6">
        <v>1</v>
      </c>
      <c r="N39" s="56">
        <v>9</v>
      </c>
      <c r="O39" s="56">
        <v>4</v>
      </c>
      <c r="P39" s="56">
        <v>1</v>
      </c>
      <c r="Q39" s="6">
        <v>0</v>
      </c>
      <c r="R39" s="108">
        <v>0</v>
      </c>
      <c r="S39" s="108">
        <v>0</v>
      </c>
      <c r="T39" s="2">
        <v>123</v>
      </c>
      <c r="U39" s="2">
        <v>32</v>
      </c>
      <c r="V39" s="2">
        <v>12</v>
      </c>
    </row>
    <row r="40" spans="1:22" x14ac:dyDescent="0.25">
      <c r="A40" s="28">
        <v>31</v>
      </c>
      <c r="B40" s="28" t="s">
        <v>376</v>
      </c>
      <c r="C40" s="28" t="s">
        <v>352</v>
      </c>
      <c r="D40" s="37" t="s">
        <v>114</v>
      </c>
      <c r="E40" s="6">
        <v>80</v>
      </c>
      <c r="F40" s="6">
        <v>2</v>
      </c>
      <c r="G40" s="6"/>
      <c r="H40" s="56">
        <v>20</v>
      </c>
      <c r="I40" s="56">
        <v>2</v>
      </c>
      <c r="J40" s="56"/>
      <c r="K40" s="6">
        <v>7</v>
      </c>
      <c r="L40" s="6">
        <v>0</v>
      </c>
      <c r="M40" s="6"/>
      <c r="N40" s="56">
        <v>9</v>
      </c>
      <c r="O40" s="56">
        <v>0</v>
      </c>
      <c r="P40" s="56"/>
      <c r="Q40" s="6">
        <v>2</v>
      </c>
      <c r="R40" s="108">
        <v>1</v>
      </c>
      <c r="S40" s="108"/>
      <c r="T40" s="2">
        <v>118</v>
      </c>
      <c r="U40" s="2">
        <v>5</v>
      </c>
      <c r="V40" s="2">
        <v>21</v>
      </c>
    </row>
    <row r="41" spans="1:22" x14ac:dyDescent="0.25">
      <c r="A41" s="28">
        <v>10</v>
      </c>
      <c r="B41" s="28" t="s">
        <v>355</v>
      </c>
      <c r="C41" s="28" t="s">
        <v>353</v>
      </c>
      <c r="D41" s="37" t="s">
        <v>174</v>
      </c>
      <c r="E41" s="6">
        <v>81</v>
      </c>
      <c r="F41" s="6">
        <v>12</v>
      </c>
      <c r="G41" s="6"/>
      <c r="H41" s="56">
        <v>22</v>
      </c>
      <c r="I41" s="56">
        <v>3</v>
      </c>
      <c r="J41" s="56"/>
      <c r="K41" s="6">
        <v>4</v>
      </c>
      <c r="L41" s="6">
        <v>1</v>
      </c>
      <c r="M41" s="6"/>
      <c r="N41" s="56">
        <v>9</v>
      </c>
      <c r="O41" s="56">
        <v>2</v>
      </c>
      <c r="P41" s="56"/>
      <c r="Q41" s="6">
        <v>1</v>
      </c>
      <c r="R41" s="108">
        <v>0</v>
      </c>
      <c r="S41" s="108"/>
      <c r="T41" s="2">
        <v>117</v>
      </c>
      <c r="U41" s="2">
        <v>18</v>
      </c>
      <c r="V41" s="2">
        <v>5</v>
      </c>
    </row>
    <row r="42" spans="1:22" x14ac:dyDescent="0.25">
      <c r="A42" s="28">
        <v>19</v>
      </c>
      <c r="B42" s="28" t="s">
        <v>377</v>
      </c>
      <c r="C42" s="28" t="s">
        <v>354</v>
      </c>
      <c r="D42" s="37" t="s">
        <v>189</v>
      </c>
      <c r="E42" s="6">
        <v>80</v>
      </c>
      <c r="F42" s="6">
        <v>16</v>
      </c>
      <c r="G42" s="6"/>
      <c r="H42" s="56">
        <v>19</v>
      </c>
      <c r="I42" s="56">
        <v>8</v>
      </c>
      <c r="J42" s="56"/>
      <c r="K42" s="6">
        <v>7</v>
      </c>
      <c r="L42" s="6">
        <v>1</v>
      </c>
      <c r="M42" s="6"/>
      <c r="N42" s="56">
        <v>6</v>
      </c>
      <c r="O42" s="56">
        <v>2</v>
      </c>
      <c r="P42" s="56"/>
      <c r="Q42" s="6">
        <v>0</v>
      </c>
      <c r="R42" s="108">
        <v>0</v>
      </c>
      <c r="S42" s="108"/>
      <c r="T42" s="2">
        <v>112</v>
      </c>
      <c r="U42" s="2">
        <v>27</v>
      </c>
      <c r="V42" s="2">
        <v>0</v>
      </c>
    </row>
    <row r="43" spans="1:22" x14ac:dyDescent="0.25">
      <c r="A43" s="28">
        <v>17</v>
      </c>
      <c r="B43" s="28" t="s">
        <v>378</v>
      </c>
      <c r="C43" s="28" t="s">
        <v>352</v>
      </c>
      <c r="D43" s="37" t="s">
        <v>261</v>
      </c>
      <c r="E43" s="6">
        <v>69</v>
      </c>
      <c r="F43" s="6">
        <v>2</v>
      </c>
      <c r="G43" s="6"/>
      <c r="H43" s="56">
        <v>15</v>
      </c>
      <c r="I43" s="56">
        <v>1</v>
      </c>
      <c r="J43" s="56"/>
      <c r="K43" s="6">
        <v>2</v>
      </c>
      <c r="L43" s="6">
        <v>0</v>
      </c>
      <c r="M43" s="6"/>
      <c r="N43" s="56">
        <v>5</v>
      </c>
      <c r="O43" s="56">
        <v>0</v>
      </c>
      <c r="P43" s="56"/>
      <c r="Q43" s="6">
        <v>0</v>
      </c>
      <c r="R43" s="108">
        <v>0</v>
      </c>
      <c r="S43" s="108"/>
      <c r="T43" s="2">
        <v>91</v>
      </c>
      <c r="U43" s="2">
        <v>3</v>
      </c>
      <c r="V43" s="2">
        <v>5</v>
      </c>
    </row>
    <row r="44" spans="1:22" x14ac:dyDescent="0.25">
      <c r="A44" s="28">
        <v>24</v>
      </c>
      <c r="B44" s="28" t="s">
        <v>355</v>
      </c>
      <c r="C44" s="28" t="s">
        <v>354</v>
      </c>
      <c r="D44" s="37" t="s">
        <v>115</v>
      </c>
      <c r="E44" s="6">
        <v>50</v>
      </c>
      <c r="F44" s="6">
        <v>4</v>
      </c>
      <c r="G44" s="6">
        <v>2</v>
      </c>
      <c r="H44" s="56">
        <v>25</v>
      </c>
      <c r="I44" s="56">
        <v>1</v>
      </c>
      <c r="J44" s="56">
        <v>4</v>
      </c>
      <c r="K44" s="6">
        <v>5</v>
      </c>
      <c r="L44" s="6">
        <v>1</v>
      </c>
      <c r="M44" s="6">
        <v>1</v>
      </c>
      <c r="N44" s="56">
        <v>8</v>
      </c>
      <c r="O44" s="56">
        <v>2</v>
      </c>
      <c r="P44" s="56">
        <v>1</v>
      </c>
      <c r="Q44" s="6">
        <v>2</v>
      </c>
      <c r="R44" s="108">
        <v>0</v>
      </c>
      <c r="S44" s="108">
        <v>0</v>
      </c>
      <c r="T44" s="2">
        <v>90</v>
      </c>
      <c r="U44" s="2">
        <v>8</v>
      </c>
      <c r="V44" s="2">
        <v>6</v>
      </c>
    </row>
    <row r="45" spans="1:22" x14ac:dyDescent="0.25">
      <c r="A45" s="28">
        <v>1</v>
      </c>
      <c r="B45" s="28" t="s">
        <v>355</v>
      </c>
      <c r="C45" s="28" t="s">
        <v>350</v>
      </c>
      <c r="D45" s="37" t="s">
        <v>224</v>
      </c>
      <c r="E45" s="6">
        <v>78</v>
      </c>
      <c r="F45" s="6">
        <v>0</v>
      </c>
      <c r="G45" s="6"/>
      <c r="H45" s="56">
        <v>4</v>
      </c>
      <c r="I45" s="56">
        <v>0</v>
      </c>
      <c r="J45" s="56"/>
      <c r="K45" s="6">
        <v>1</v>
      </c>
      <c r="L45" s="6">
        <v>0</v>
      </c>
      <c r="M45" s="6"/>
      <c r="N45" s="56">
        <v>5</v>
      </c>
      <c r="O45" s="56">
        <v>0</v>
      </c>
      <c r="P45" s="56"/>
      <c r="Q45" s="6">
        <v>1</v>
      </c>
      <c r="R45" s="108">
        <v>0</v>
      </c>
      <c r="S45" s="108"/>
      <c r="T45" s="2">
        <v>89</v>
      </c>
      <c r="U45" s="2">
        <v>0</v>
      </c>
      <c r="V45" s="2">
        <v>4</v>
      </c>
    </row>
    <row r="46" spans="1:22" x14ac:dyDescent="0.25">
      <c r="A46" s="28">
        <v>11</v>
      </c>
      <c r="B46" s="28" t="s">
        <v>379</v>
      </c>
      <c r="C46" s="28" t="s">
        <v>352</v>
      </c>
      <c r="D46" s="37" t="s">
        <v>169</v>
      </c>
      <c r="E46" s="6">
        <v>63</v>
      </c>
      <c r="F46" s="6">
        <v>3</v>
      </c>
      <c r="G46" s="6"/>
      <c r="H46" s="56">
        <v>18</v>
      </c>
      <c r="I46" s="56">
        <v>0</v>
      </c>
      <c r="J46" s="56"/>
      <c r="K46" s="6">
        <v>2</v>
      </c>
      <c r="L46" s="6">
        <v>0</v>
      </c>
      <c r="M46" s="6"/>
      <c r="N46" s="56">
        <v>5</v>
      </c>
      <c r="O46" s="56">
        <v>1</v>
      </c>
      <c r="P46" s="56"/>
      <c r="Q46" s="6">
        <v>0</v>
      </c>
      <c r="R46" s="108">
        <v>0</v>
      </c>
      <c r="S46" s="108"/>
      <c r="T46" s="2">
        <v>88</v>
      </c>
      <c r="U46" s="2">
        <v>4</v>
      </c>
      <c r="V46" s="61">
        <v>12</v>
      </c>
    </row>
    <row r="47" spans="1:22" x14ac:dyDescent="0.25">
      <c r="A47" s="28">
        <v>18</v>
      </c>
      <c r="B47" s="28" t="s">
        <v>391</v>
      </c>
      <c r="C47" s="28" t="s">
        <v>352</v>
      </c>
      <c r="D47" s="37" t="s">
        <v>225</v>
      </c>
      <c r="E47" s="6">
        <v>65</v>
      </c>
      <c r="F47" s="6">
        <v>2</v>
      </c>
      <c r="G47" s="6"/>
      <c r="H47" s="56">
        <v>13</v>
      </c>
      <c r="I47" s="56">
        <v>1</v>
      </c>
      <c r="J47" s="56"/>
      <c r="K47" s="6">
        <v>2</v>
      </c>
      <c r="L47" s="6">
        <v>0</v>
      </c>
      <c r="M47" s="6"/>
      <c r="N47" s="56">
        <v>3</v>
      </c>
      <c r="O47" s="56">
        <v>0</v>
      </c>
      <c r="P47" s="56"/>
      <c r="Q47" s="6">
        <v>0</v>
      </c>
      <c r="R47" s="108">
        <v>0</v>
      </c>
      <c r="S47" s="108"/>
      <c r="T47" s="2">
        <v>83</v>
      </c>
      <c r="U47" s="2">
        <v>3</v>
      </c>
      <c r="V47" s="2">
        <v>5</v>
      </c>
    </row>
    <row r="48" spans="1:22" x14ac:dyDescent="0.25">
      <c r="A48" s="28">
        <v>29</v>
      </c>
      <c r="B48" s="28" t="s">
        <v>351</v>
      </c>
      <c r="C48" s="28" t="s">
        <v>353</v>
      </c>
      <c r="D48" s="37" t="s">
        <v>172</v>
      </c>
      <c r="E48" s="6">
        <v>57</v>
      </c>
      <c r="F48" s="6">
        <v>0</v>
      </c>
      <c r="G48" s="6"/>
      <c r="H48" s="56">
        <v>17</v>
      </c>
      <c r="I48" s="56">
        <v>1</v>
      </c>
      <c r="J48" s="56"/>
      <c r="K48" s="6">
        <v>4</v>
      </c>
      <c r="L48" s="6">
        <v>0</v>
      </c>
      <c r="M48" s="6"/>
      <c r="N48" s="56">
        <v>4</v>
      </c>
      <c r="O48" s="56">
        <v>0</v>
      </c>
      <c r="P48" s="56"/>
      <c r="Q48" s="6">
        <v>0</v>
      </c>
      <c r="R48" s="6">
        <v>0</v>
      </c>
      <c r="S48" s="6"/>
      <c r="T48" s="2">
        <v>82</v>
      </c>
      <c r="U48" s="2">
        <v>1</v>
      </c>
      <c r="V48" s="2">
        <v>2</v>
      </c>
    </row>
    <row r="49" spans="1:22" x14ac:dyDescent="0.25">
      <c r="A49" s="27">
        <v>9</v>
      </c>
      <c r="B49" s="27" t="s">
        <v>363</v>
      </c>
      <c r="C49" s="27" t="s">
        <v>354</v>
      </c>
      <c r="D49" s="145" t="s">
        <v>15</v>
      </c>
      <c r="E49" s="6">
        <v>60</v>
      </c>
      <c r="F49" s="6">
        <v>19</v>
      </c>
      <c r="G49" s="6"/>
      <c r="H49" s="7">
        <v>14</v>
      </c>
      <c r="I49" s="7">
        <v>8</v>
      </c>
      <c r="J49" s="7"/>
      <c r="K49" s="6">
        <v>3</v>
      </c>
      <c r="L49" s="6">
        <v>2</v>
      </c>
      <c r="M49" s="6"/>
      <c r="N49" s="7">
        <v>3</v>
      </c>
      <c r="O49" s="7">
        <v>2</v>
      </c>
      <c r="P49" s="7"/>
      <c r="Q49" s="6">
        <v>2</v>
      </c>
      <c r="R49" s="6">
        <v>0</v>
      </c>
      <c r="S49" s="6"/>
      <c r="T49" s="61">
        <v>82</v>
      </c>
      <c r="U49" s="61">
        <v>31</v>
      </c>
      <c r="V49" s="2">
        <v>4</v>
      </c>
    </row>
    <row r="50" spans="1:22" x14ac:dyDescent="0.25">
      <c r="A50" s="28">
        <v>8</v>
      </c>
      <c r="B50" s="28" t="s">
        <v>349</v>
      </c>
      <c r="C50" s="28" t="s">
        <v>353</v>
      </c>
      <c r="D50" s="37" t="s">
        <v>187</v>
      </c>
      <c r="E50" s="6">
        <v>48</v>
      </c>
      <c r="F50" s="6">
        <v>0</v>
      </c>
      <c r="G50" s="6"/>
      <c r="H50" s="56">
        <v>18</v>
      </c>
      <c r="I50" s="56">
        <v>1</v>
      </c>
      <c r="J50" s="56"/>
      <c r="K50" s="6">
        <v>5</v>
      </c>
      <c r="L50" s="6">
        <v>1</v>
      </c>
      <c r="M50" s="6"/>
      <c r="N50" s="56">
        <v>5</v>
      </c>
      <c r="O50" s="56">
        <v>0</v>
      </c>
      <c r="P50" s="56"/>
      <c r="Q50" s="6">
        <v>0</v>
      </c>
      <c r="R50" s="6">
        <v>0</v>
      </c>
      <c r="S50" s="6"/>
      <c r="T50" s="2">
        <v>76</v>
      </c>
      <c r="U50" s="2">
        <v>2</v>
      </c>
      <c r="V50" s="2">
        <v>1</v>
      </c>
    </row>
    <row r="51" spans="1:22" x14ac:dyDescent="0.25">
      <c r="A51" s="56">
        <v>20</v>
      </c>
      <c r="B51" s="56" t="s">
        <v>364</v>
      </c>
      <c r="C51" s="56" t="s">
        <v>353</v>
      </c>
      <c r="D51" s="37" t="s">
        <v>272</v>
      </c>
      <c r="E51" s="6">
        <v>53</v>
      </c>
      <c r="F51" s="6">
        <v>0</v>
      </c>
      <c r="G51" s="6"/>
      <c r="H51" s="56">
        <v>14</v>
      </c>
      <c r="I51" s="56">
        <v>1</v>
      </c>
      <c r="J51" s="56"/>
      <c r="K51" s="6">
        <v>2</v>
      </c>
      <c r="L51" s="6">
        <v>0</v>
      </c>
      <c r="M51" s="6"/>
      <c r="N51" s="56">
        <v>7</v>
      </c>
      <c r="O51" s="56">
        <v>0</v>
      </c>
      <c r="P51" s="56"/>
      <c r="Q51" s="6">
        <v>0</v>
      </c>
      <c r="R51" s="6">
        <v>0</v>
      </c>
      <c r="S51" s="6"/>
      <c r="T51" s="2">
        <v>76</v>
      </c>
      <c r="U51" s="2">
        <v>1</v>
      </c>
      <c r="V51" s="2">
        <v>4</v>
      </c>
    </row>
    <row r="52" spans="1:22" x14ac:dyDescent="0.25">
      <c r="A52" s="56">
        <v>28</v>
      </c>
      <c r="B52" s="56" t="s">
        <v>355</v>
      </c>
      <c r="C52" s="56" t="s">
        <v>353</v>
      </c>
      <c r="D52" s="37" t="s">
        <v>117</v>
      </c>
      <c r="E52" s="6">
        <v>40</v>
      </c>
      <c r="F52" s="6">
        <v>1</v>
      </c>
      <c r="G52" s="6"/>
      <c r="H52" s="56">
        <v>20</v>
      </c>
      <c r="I52" s="56">
        <v>6</v>
      </c>
      <c r="J52" s="56"/>
      <c r="K52" s="6">
        <v>7</v>
      </c>
      <c r="L52" s="6">
        <v>2</v>
      </c>
      <c r="M52" s="6"/>
      <c r="N52" s="56">
        <v>8</v>
      </c>
      <c r="O52" s="56">
        <v>2</v>
      </c>
      <c r="P52" s="56"/>
      <c r="Q52" s="6">
        <v>1</v>
      </c>
      <c r="R52" s="6">
        <v>0</v>
      </c>
      <c r="S52" s="6"/>
      <c r="T52" s="2">
        <v>76</v>
      </c>
      <c r="U52" s="2">
        <v>11</v>
      </c>
      <c r="V52" s="2">
        <v>0</v>
      </c>
    </row>
    <row r="53" spans="1:22" x14ac:dyDescent="0.25">
      <c r="A53" s="56">
        <v>23</v>
      </c>
      <c r="B53" s="56" t="s">
        <v>357</v>
      </c>
      <c r="C53" s="56" t="s">
        <v>352</v>
      </c>
      <c r="D53" s="37" t="s">
        <v>190</v>
      </c>
      <c r="E53" s="6">
        <v>53</v>
      </c>
      <c r="F53" s="6">
        <v>3</v>
      </c>
      <c r="G53" s="6"/>
      <c r="H53" s="56">
        <v>12</v>
      </c>
      <c r="I53" s="56">
        <v>1</v>
      </c>
      <c r="J53" s="56"/>
      <c r="K53" s="6">
        <v>6</v>
      </c>
      <c r="L53" s="6">
        <v>0</v>
      </c>
      <c r="M53" s="6"/>
      <c r="N53" s="56">
        <v>1</v>
      </c>
      <c r="O53" s="56">
        <v>0</v>
      </c>
      <c r="P53" s="56"/>
      <c r="Q53" s="6">
        <v>1</v>
      </c>
      <c r="R53" s="6">
        <v>0</v>
      </c>
      <c r="S53" s="6"/>
      <c r="T53" s="2">
        <v>73</v>
      </c>
      <c r="U53" s="2">
        <v>4</v>
      </c>
      <c r="V53" s="2">
        <v>2</v>
      </c>
    </row>
    <row r="54" spans="1:22" x14ac:dyDescent="0.25">
      <c r="A54" s="56">
        <v>25</v>
      </c>
      <c r="B54" s="56" t="s">
        <v>355</v>
      </c>
      <c r="C54" s="56" t="s">
        <v>352</v>
      </c>
      <c r="D54" s="40" t="s">
        <v>41</v>
      </c>
      <c r="E54" s="6">
        <v>41</v>
      </c>
      <c r="F54" s="6">
        <v>1</v>
      </c>
      <c r="G54" s="6"/>
      <c r="H54" s="4">
        <v>17</v>
      </c>
      <c r="I54" s="4">
        <v>0</v>
      </c>
      <c r="J54" s="4"/>
      <c r="K54" s="6">
        <v>5</v>
      </c>
      <c r="L54" s="6">
        <v>0</v>
      </c>
      <c r="M54" s="6"/>
      <c r="N54" s="4">
        <v>7</v>
      </c>
      <c r="O54" s="4">
        <v>0</v>
      </c>
      <c r="P54" s="4"/>
      <c r="Q54" s="6">
        <v>0</v>
      </c>
      <c r="R54" s="6">
        <v>0</v>
      </c>
      <c r="S54" s="6"/>
      <c r="T54" s="2">
        <v>70</v>
      </c>
      <c r="U54" s="2">
        <v>1</v>
      </c>
      <c r="V54" s="2">
        <v>5</v>
      </c>
    </row>
    <row r="55" spans="1:22" x14ac:dyDescent="0.25">
      <c r="A55" s="56">
        <v>13</v>
      </c>
      <c r="B55" s="56" t="s">
        <v>380</v>
      </c>
      <c r="C55" s="56" t="s">
        <v>350</v>
      </c>
      <c r="D55" s="40" t="s">
        <v>21</v>
      </c>
      <c r="E55" s="6">
        <v>29</v>
      </c>
      <c r="F55" s="6">
        <v>0</v>
      </c>
      <c r="G55" s="6"/>
      <c r="H55" s="4">
        <v>24</v>
      </c>
      <c r="I55" s="4">
        <v>0</v>
      </c>
      <c r="J55" s="4"/>
      <c r="K55" s="6">
        <v>10</v>
      </c>
      <c r="L55" s="6">
        <v>0</v>
      </c>
      <c r="M55" s="6"/>
      <c r="N55" s="4">
        <v>7</v>
      </c>
      <c r="O55" s="4">
        <v>0</v>
      </c>
      <c r="P55" s="4"/>
      <c r="Q55" s="6">
        <v>0</v>
      </c>
      <c r="R55" s="6">
        <v>0</v>
      </c>
      <c r="S55" s="6"/>
      <c r="T55" s="2">
        <v>70</v>
      </c>
      <c r="U55" s="2">
        <v>0</v>
      </c>
      <c r="V55" s="2">
        <v>0</v>
      </c>
    </row>
    <row r="56" spans="1:22" x14ac:dyDescent="0.25">
      <c r="A56" s="4">
        <v>5</v>
      </c>
      <c r="B56" s="4" t="s">
        <v>361</v>
      </c>
      <c r="C56" s="4" t="s">
        <v>352</v>
      </c>
      <c r="D56" s="39" t="s">
        <v>203</v>
      </c>
      <c r="E56" s="6">
        <v>44</v>
      </c>
      <c r="F56" s="6">
        <v>3</v>
      </c>
      <c r="G56" s="6"/>
      <c r="H56" s="4">
        <v>17</v>
      </c>
      <c r="I56" s="4">
        <v>2</v>
      </c>
      <c r="J56" s="4"/>
      <c r="K56" s="6">
        <v>7</v>
      </c>
      <c r="L56" s="6">
        <v>1</v>
      </c>
      <c r="M56" s="6"/>
      <c r="N56" s="4">
        <v>1</v>
      </c>
      <c r="O56" s="4">
        <v>0</v>
      </c>
      <c r="P56" s="4"/>
      <c r="Q56" s="6">
        <v>0</v>
      </c>
      <c r="R56" s="6">
        <v>0</v>
      </c>
      <c r="S56" s="6"/>
      <c r="T56" s="2">
        <v>69</v>
      </c>
      <c r="U56" s="2">
        <v>6</v>
      </c>
      <c r="V56" s="2">
        <v>5</v>
      </c>
    </row>
    <row r="57" spans="1:22" x14ac:dyDescent="0.25">
      <c r="A57" s="56">
        <v>15</v>
      </c>
      <c r="B57" s="56" t="s">
        <v>368</v>
      </c>
      <c r="C57" s="56" t="s">
        <v>352</v>
      </c>
      <c r="D57" s="37" t="s">
        <v>273</v>
      </c>
      <c r="E57" s="6">
        <v>44</v>
      </c>
      <c r="F57" s="6">
        <v>3</v>
      </c>
      <c r="G57" s="6"/>
      <c r="H57" s="56">
        <v>18</v>
      </c>
      <c r="I57" s="56">
        <v>0</v>
      </c>
      <c r="J57" s="56"/>
      <c r="K57" s="6">
        <v>1</v>
      </c>
      <c r="L57" s="6">
        <v>0</v>
      </c>
      <c r="M57" s="6"/>
      <c r="N57" s="56">
        <v>5</v>
      </c>
      <c r="O57" s="56">
        <v>0</v>
      </c>
      <c r="P57" s="56"/>
      <c r="Q57" s="6">
        <v>0</v>
      </c>
      <c r="R57" s="6">
        <v>0</v>
      </c>
      <c r="S57" s="6"/>
      <c r="T57" s="2">
        <v>68</v>
      </c>
      <c r="U57" s="2">
        <v>3</v>
      </c>
      <c r="V57" s="2">
        <v>12</v>
      </c>
    </row>
    <row r="58" spans="1:22" x14ac:dyDescent="0.25">
      <c r="A58" s="4">
        <v>5</v>
      </c>
      <c r="B58" s="4" t="s">
        <v>357</v>
      </c>
      <c r="C58" s="4" t="s">
        <v>352</v>
      </c>
      <c r="D58" s="34" t="s">
        <v>84</v>
      </c>
      <c r="E58" s="6">
        <v>46</v>
      </c>
      <c r="F58" s="6">
        <v>1</v>
      </c>
      <c r="G58" s="6"/>
      <c r="H58" s="7">
        <v>6</v>
      </c>
      <c r="I58" s="7">
        <v>0</v>
      </c>
      <c r="J58" s="7"/>
      <c r="K58" s="6">
        <v>9</v>
      </c>
      <c r="L58" s="6">
        <v>0</v>
      </c>
      <c r="M58" s="6"/>
      <c r="N58" s="7">
        <v>3</v>
      </c>
      <c r="O58" s="7">
        <v>0</v>
      </c>
      <c r="P58" s="7"/>
      <c r="Q58" s="6">
        <v>0</v>
      </c>
      <c r="R58" s="6">
        <v>0</v>
      </c>
      <c r="S58" s="6"/>
      <c r="T58" s="2">
        <v>64</v>
      </c>
      <c r="U58" s="2">
        <v>1</v>
      </c>
      <c r="V58" s="2">
        <v>5</v>
      </c>
    </row>
    <row r="59" spans="1:22" x14ac:dyDescent="0.25">
      <c r="A59" s="56">
        <v>17</v>
      </c>
      <c r="B59" s="56" t="s">
        <v>362</v>
      </c>
      <c r="C59" s="56" t="s">
        <v>352</v>
      </c>
      <c r="D59" s="37" t="s">
        <v>192</v>
      </c>
      <c r="E59" s="6">
        <v>41</v>
      </c>
      <c r="F59" s="6">
        <v>2</v>
      </c>
      <c r="G59" s="6"/>
      <c r="H59" s="56">
        <v>11</v>
      </c>
      <c r="I59" s="56">
        <v>0</v>
      </c>
      <c r="J59" s="56"/>
      <c r="K59" s="6">
        <v>3</v>
      </c>
      <c r="L59" s="6">
        <v>0</v>
      </c>
      <c r="M59" s="6"/>
      <c r="N59" s="56">
        <v>8</v>
      </c>
      <c r="O59" s="56">
        <v>0</v>
      </c>
      <c r="P59" s="56"/>
      <c r="Q59" s="6">
        <v>1</v>
      </c>
      <c r="R59" s="6">
        <v>0</v>
      </c>
      <c r="S59" s="6"/>
      <c r="T59" s="2">
        <v>64</v>
      </c>
      <c r="U59" s="2">
        <v>2</v>
      </c>
      <c r="V59" s="2">
        <v>0</v>
      </c>
    </row>
    <row r="60" spans="1:22" x14ac:dyDescent="0.25">
      <c r="A60" s="56">
        <v>7</v>
      </c>
      <c r="B60" s="56" t="s">
        <v>381</v>
      </c>
      <c r="C60" s="56" t="s">
        <v>354</v>
      </c>
      <c r="D60" s="40" t="s">
        <v>130</v>
      </c>
      <c r="E60" s="6">
        <v>38</v>
      </c>
      <c r="F60" s="6">
        <v>8</v>
      </c>
      <c r="G60" s="6"/>
      <c r="H60" s="4">
        <v>17</v>
      </c>
      <c r="I60" s="4">
        <v>1</v>
      </c>
      <c r="J60" s="4"/>
      <c r="K60" s="6">
        <v>0</v>
      </c>
      <c r="L60" s="6">
        <v>0</v>
      </c>
      <c r="M60" s="6"/>
      <c r="N60" s="4">
        <v>3</v>
      </c>
      <c r="O60" s="4">
        <v>0</v>
      </c>
      <c r="P60" s="4"/>
      <c r="Q60" s="6">
        <v>0</v>
      </c>
      <c r="R60" s="6">
        <v>0</v>
      </c>
      <c r="S60" s="6"/>
      <c r="T60" s="2">
        <v>58</v>
      </c>
      <c r="U60" s="2">
        <v>9</v>
      </c>
      <c r="V60" s="2">
        <v>0</v>
      </c>
    </row>
    <row r="61" spans="1:22" x14ac:dyDescent="0.25">
      <c r="A61" s="56">
        <v>21</v>
      </c>
      <c r="B61" s="56" t="s">
        <v>362</v>
      </c>
      <c r="C61" s="56" t="s">
        <v>353</v>
      </c>
      <c r="D61" s="37" t="s">
        <v>258</v>
      </c>
      <c r="E61" s="6">
        <v>33</v>
      </c>
      <c r="F61" s="6">
        <v>2</v>
      </c>
      <c r="G61" s="6">
        <v>4</v>
      </c>
      <c r="H61" s="56">
        <v>11</v>
      </c>
      <c r="I61" s="56">
        <v>1</v>
      </c>
      <c r="J61" s="56">
        <v>2</v>
      </c>
      <c r="K61" s="6">
        <v>2</v>
      </c>
      <c r="L61" s="6">
        <v>0</v>
      </c>
      <c r="M61" s="6">
        <v>2</v>
      </c>
      <c r="N61" s="56">
        <v>2</v>
      </c>
      <c r="O61" s="56">
        <v>0</v>
      </c>
      <c r="P61" s="56">
        <v>1</v>
      </c>
      <c r="Q61" s="6">
        <v>1</v>
      </c>
      <c r="R61" s="6">
        <v>0</v>
      </c>
      <c r="S61" s="6">
        <v>0</v>
      </c>
      <c r="T61" s="2">
        <v>49</v>
      </c>
      <c r="U61" s="2">
        <v>3</v>
      </c>
      <c r="V61" s="2">
        <v>7</v>
      </c>
    </row>
    <row r="62" spans="1:22" x14ac:dyDescent="0.25">
      <c r="A62" s="56">
        <v>28</v>
      </c>
      <c r="B62" s="56" t="s">
        <v>382</v>
      </c>
      <c r="C62" s="56" t="s">
        <v>354</v>
      </c>
      <c r="D62" s="40" t="s">
        <v>32</v>
      </c>
      <c r="E62" s="6">
        <v>23</v>
      </c>
      <c r="F62" s="6">
        <v>3</v>
      </c>
      <c r="G62" s="6"/>
      <c r="H62" s="4">
        <v>8</v>
      </c>
      <c r="I62" s="4">
        <v>0</v>
      </c>
      <c r="J62" s="4"/>
      <c r="K62" s="6">
        <v>4</v>
      </c>
      <c r="L62" s="6">
        <v>1</v>
      </c>
      <c r="M62" s="6"/>
      <c r="N62" s="4">
        <v>3</v>
      </c>
      <c r="O62" s="4">
        <v>0</v>
      </c>
      <c r="P62" s="4"/>
      <c r="Q62" s="6">
        <v>1</v>
      </c>
      <c r="R62" s="6">
        <v>0</v>
      </c>
      <c r="S62" s="6"/>
      <c r="T62" s="2">
        <v>39</v>
      </c>
      <c r="U62" s="2">
        <v>4</v>
      </c>
      <c r="V62" s="2">
        <v>1</v>
      </c>
    </row>
    <row r="63" spans="1:22" x14ac:dyDescent="0.25">
      <c r="A63" s="56">
        <v>28</v>
      </c>
      <c r="B63" s="56" t="s">
        <v>369</v>
      </c>
      <c r="C63" s="56" t="s">
        <v>353</v>
      </c>
      <c r="D63" s="37" t="s">
        <v>223</v>
      </c>
      <c r="E63" s="6">
        <v>25</v>
      </c>
      <c r="F63" s="6">
        <v>0</v>
      </c>
      <c r="G63" s="6"/>
      <c r="H63" s="56">
        <v>6</v>
      </c>
      <c r="I63" s="56">
        <v>0</v>
      </c>
      <c r="J63" s="56"/>
      <c r="K63" s="6">
        <v>3</v>
      </c>
      <c r="L63" s="6">
        <v>0</v>
      </c>
      <c r="M63" s="6"/>
      <c r="N63" s="56">
        <v>5</v>
      </c>
      <c r="O63" s="56">
        <v>0</v>
      </c>
      <c r="P63" s="56"/>
      <c r="Q63" s="6">
        <v>0</v>
      </c>
      <c r="R63" s="6">
        <v>0</v>
      </c>
      <c r="S63" s="6"/>
      <c r="T63" s="2">
        <v>39</v>
      </c>
      <c r="U63" s="2">
        <v>0</v>
      </c>
      <c r="V63" s="2">
        <v>5</v>
      </c>
    </row>
    <row r="64" spans="1:22" x14ac:dyDescent="0.25">
      <c r="A64" s="56">
        <v>26</v>
      </c>
      <c r="B64" s="56" t="s">
        <v>383</v>
      </c>
      <c r="C64" s="56" t="s">
        <v>350</v>
      </c>
      <c r="D64" s="37" t="s">
        <v>30</v>
      </c>
      <c r="E64" s="6">
        <v>15</v>
      </c>
      <c r="F64" s="6">
        <v>0</v>
      </c>
      <c r="G64" s="6"/>
      <c r="H64" s="56">
        <v>9</v>
      </c>
      <c r="I64" s="56">
        <v>0</v>
      </c>
      <c r="J64" s="56"/>
      <c r="K64" s="6">
        <v>6</v>
      </c>
      <c r="L64" s="6">
        <v>0</v>
      </c>
      <c r="M64" s="6"/>
      <c r="N64" s="56">
        <v>7</v>
      </c>
      <c r="O64" s="56">
        <v>0</v>
      </c>
      <c r="P64" s="56"/>
      <c r="Q64" s="6">
        <v>1</v>
      </c>
      <c r="R64" s="6">
        <v>0</v>
      </c>
      <c r="S64" s="6"/>
      <c r="T64" s="2">
        <v>38</v>
      </c>
      <c r="U64" s="2">
        <v>0</v>
      </c>
      <c r="V64" s="2">
        <v>2</v>
      </c>
    </row>
    <row r="65" spans="1:22" x14ac:dyDescent="0.25">
      <c r="A65" s="56">
        <v>12</v>
      </c>
      <c r="B65" s="56" t="s">
        <v>357</v>
      </c>
      <c r="C65" s="56" t="s">
        <v>354</v>
      </c>
      <c r="D65" s="37" t="s">
        <v>197</v>
      </c>
      <c r="E65" s="6">
        <v>25</v>
      </c>
      <c r="F65" s="6">
        <v>1</v>
      </c>
      <c r="G65" s="6"/>
      <c r="H65" s="56">
        <v>9</v>
      </c>
      <c r="I65" s="56">
        <v>0</v>
      </c>
      <c r="J65" s="56"/>
      <c r="K65" s="6">
        <v>2</v>
      </c>
      <c r="L65" s="6">
        <v>0</v>
      </c>
      <c r="M65" s="6"/>
      <c r="N65" s="56">
        <v>1</v>
      </c>
      <c r="O65" s="56">
        <v>0</v>
      </c>
      <c r="P65" s="56"/>
      <c r="Q65" s="6">
        <v>0</v>
      </c>
      <c r="R65" s="6">
        <v>0</v>
      </c>
      <c r="S65" s="6"/>
      <c r="T65" s="2">
        <v>37</v>
      </c>
      <c r="U65" s="2">
        <v>1</v>
      </c>
      <c r="V65" s="2">
        <v>1</v>
      </c>
    </row>
    <row r="66" spans="1:22" x14ac:dyDescent="0.25">
      <c r="A66" s="56">
        <v>2</v>
      </c>
      <c r="B66" s="56" t="s">
        <v>351</v>
      </c>
      <c r="C66" s="56" t="s">
        <v>352</v>
      </c>
      <c r="D66" s="40" t="s">
        <v>9</v>
      </c>
      <c r="E66" s="6">
        <v>13</v>
      </c>
      <c r="F66" s="6">
        <v>1</v>
      </c>
      <c r="G66" s="6"/>
      <c r="H66" s="4">
        <v>10</v>
      </c>
      <c r="I66" s="4">
        <v>1</v>
      </c>
      <c r="J66" s="4"/>
      <c r="K66" s="6">
        <v>2</v>
      </c>
      <c r="L66" s="6">
        <v>0</v>
      </c>
      <c r="M66" s="6"/>
      <c r="N66" s="4">
        <v>4</v>
      </c>
      <c r="O66" s="4">
        <v>0</v>
      </c>
      <c r="P66" s="4"/>
      <c r="Q66" s="6">
        <v>1</v>
      </c>
      <c r="R66" s="6">
        <v>0</v>
      </c>
      <c r="S66" s="6"/>
      <c r="T66" s="2">
        <v>30</v>
      </c>
      <c r="U66" s="2">
        <v>2</v>
      </c>
      <c r="V66" s="2">
        <v>0</v>
      </c>
    </row>
    <row r="67" spans="1:22" x14ac:dyDescent="0.25">
      <c r="A67" s="56">
        <v>30</v>
      </c>
      <c r="B67" s="56" t="s">
        <v>355</v>
      </c>
      <c r="C67" s="56" t="s">
        <v>354</v>
      </c>
      <c r="D67" s="37" t="s">
        <v>294</v>
      </c>
      <c r="E67" s="6">
        <v>17</v>
      </c>
      <c r="F67" s="6">
        <v>0</v>
      </c>
      <c r="G67" s="6"/>
      <c r="H67" s="56">
        <v>5</v>
      </c>
      <c r="I67" s="56">
        <v>0</v>
      </c>
      <c r="J67" s="56"/>
      <c r="K67" s="6">
        <v>1</v>
      </c>
      <c r="L67" s="6">
        <v>0</v>
      </c>
      <c r="M67" s="6"/>
      <c r="N67" s="56">
        <v>4</v>
      </c>
      <c r="O67" s="56">
        <v>1</v>
      </c>
      <c r="P67" s="56"/>
      <c r="Q67" s="6">
        <v>0</v>
      </c>
      <c r="R67" s="6">
        <v>0</v>
      </c>
      <c r="S67" s="6"/>
      <c r="T67" s="2">
        <v>28</v>
      </c>
      <c r="U67" s="2">
        <v>1</v>
      </c>
      <c r="V67" s="2">
        <v>5</v>
      </c>
    </row>
    <row r="68" spans="1:22" x14ac:dyDescent="0.25">
      <c r="A68" s="56">
        <v>20</v>
      </c>
      <c r="B68" s="56" t="s">
        <v>362</v>
      </c>
      <c r="C68" s="56" t="s">
        <v>352</v>
      </c>
      <c r="D68" s="37" t="s">
        <v>222</v>
      </c>
      <c r="E68" s="6">
        <v>22</v>
      </c>
      <c r="F68" s="6">
        <v>1</v>
      </c>
      <c r="G68" s="6"/>
      <c r="H68" s="56">
        <v>0</v>
      </c>
      <c r="I68" s="56">
        <v>0</v>
      </c>
      <c r="J68" s="56"/>
      <c r="K68" s="6">
        <v>1</v>
      </c>
      <c r="L68" s="6">
        <v>0</v>
      </c>
      <c r="M68" s="6"/>
      <c r="N68" s="56">
        <v>5</v>
      </c>
      <c r="O68" s="56">
        <v>0</v>
      </c>
      <c r="P68" s="56"/>
      <c r="Q68" s="6">
        <v>0</v>
      </c>
      <c r="R68" s="6">
        <v>0</v>
      </c>
      <c r="S68" s="6"/>
      <c r="T68" s="2">
        <v>28</v>
      </c>
      <c r="U68" s="2">
        <v>1</v>
      </c>
      <c r="V68" s="2">
        <v>1</v>
      </c>
    </row>
    <row r="69" spans="1:22" x14ac:dyDescent="0.25">
      <c r="A69" s="56">
        <v>12</v>
      </c>
      <c r="B69" s="56" t="s">
        <v>366</v>
      </c>
      <c r="C69" s="56" t="s">
        <v>352</v>
      </c>
      <c r="D69" s="40" t="s">
        <v>170</v>
      </c>
      <c r="E69" s="6">
        <v>14</v>
      </c>
      <c r="F69" s="6">
        <v>0</v>
      </c>
      <c r="G69" s="6"/>
      <c r="H69" s="4">
        <v>6</v>
      </c>
      <c r="I69" s="4">
        <v>0</v>
      </c>
      <c r="J69" s="4"/>
      <c r="K69" s="6">
        <v>1</v>
      </c>
      <c r="L69" s="6">
        <v>0</v>
      </c>
      <c r="M69" s="6"/>
      <c r="N69" s="4">
        <v>2</v>
      </c>
      <c r="O69" s="4">
        <v>1</v>
      </c>
      <c r="P69" s="4"/>
      <c r="Q69" s="6">
        <v>0</v>
      </c>
      <c r="R69" s="6">
        <v>0</v>
      </c>
      <c r="S69" s="6"/>
      <c r="T69" s="2">
        <v>23</v>
      </c>
      <c r="U69" s="2">
        <v>1</v>
      </c>
      <c r="V69" s="2">
        <v>2</v>
      </c>
    </row>
    <row r="70" spans="1:22" x14ac:dyDescent="0.25">
      <c r="A70" s="56">
        <v>22</v>
      </c>
      <c r="B70" s="56" t="s">
        <v>349</v>
      </c>
      <c r="C70" s="56" t="s">
        <v>352</v>
      </c>
      <c r="D70" s="37" t="s">
        <v>193</v>
      </c>
      <c r="E70" s="6">
        <v>14</v>
      </c>
      <c r="F70" s="6">
        <v>0</v>
      </c>
      <c r="G70" s="6"/>
      <c r="H70" s="56">
        <v>5</v>
      </c>
      <c r="I70" s="56">
        <v>1</v>
      </c>
      <c r="J70" s="56"/>
      <c r="K70" s="6">
        <v>3</v>
      </c>
      <c r="L70" s="6">
        <v>0</v>
      </c>
      <c r="M70" s="6"/>
      <c r="N70" s="56">
        <v>1</v>
      </c>
      <c r="O70" s="56">
        <v>0</v>
      </c>
      <c r="P70" s="56"/>
      <c r="Q70" s="6">
        <v>0</v>
      </c>
      <c r="R70" s="6">
        <v>0</v>
      </c>
      <c r="S70" s="6"/>
      <c r="T70" s="2">
        <v>22</v>
      </c>
      <c r="U70" s="2">
        <v>1</v>
      </c>
      <c r="V70" s="2">
        <v>1</v>
      </c>
    </row>
    <row r="71" spans="1:22" x14ac:dyDescent="0.25">
      <c r="A71" s="56">
        <v>28</v>
      </c>
      <c r="B71" s="56" t="s">
        <v>349</v>
      </c>
      <c r="C71" s="56" t="s">
        <v>354</v>
      </c>
      <c r="D71" s="40" t="s">
        <v>106</v>
      </c>
      <c r="E71" s="6">
        <v>12</v>
      </c>
      <c r="F71" s="6">
        <v>1</v>
      </c>
      <c r="G71" s="6"/>
      <c r="H71" s="4">
        <v>3</v>
      </c>
      <c r="I71" s="4">
        <v>3</v>
      </c>
      <c r="J71" s="4"/>
      <c r="K71" s="6">
        <v>4</v>
      </c>
      <c r="L71" s="6">
        <v>1</v>
      </c>
      <c r="M71" s="6"/>
      <c r="N71" s="4">
        <v>3</v>
      </c>
      <c r="O71" s="4">
        <v>2</v>
      </c>
      <c r="P71" s="4"/>
      <c r="Q71" s="6">
        <v>0</v>
      </c>
      <c r="R71" s="6">
        <v>0</v>
      </c>
      <c r="S71" s="6"/>
      <c r="T71" s="2">
        <v>22</v>
      </c>
      <c r="U71" s="2">
        <v>7</v>
      </c>
      <c r="V71" s="2">
        <v>0</v>
      </c>
    </row>
    <row r="72" spans="1:22" x14ac:dyDescent="0.25">
      <c r="A72" s="4">
        <v>22</v>
      </c>
      <c r="B72" s="4" t="s">
        <v>351</v>
      </c>
      <c r="C72" s="4" t="s">
        <v>354</v>
      </c>
      <c r="D72" s="35" t="s">
        <v>27</v>
      </c>
      <c r="E72" s="6">
        <v>11</v>
      </c>
      <c r="F72" s="6">
        <v>0</v>
      </c>
      <c r="G72" s="6"/>
      <c r="H72" s="4">
        <v>4</v>
      </c>
      <c r="I72" s="4">
        <v>1</v>
      </c>
      <c r="J72" s="4"/>
      <c r="K72" s="6">
        <v>4</v>
      </c>
      <c r="L72" s="6">
        <v>0</v>
      </c>
      <c r="M72" s="6"/>
      <c r="N72" s="4">
        <v>0</v>
      </c>
      <c r="O72" s="4">
        <v>0</v>
      </c>
      <c r="P72" s="4"/>
      <c r="Q72" s="6">
        <v>1</v>
      </c>
      <c r="R72" s="6">
        <v>0</v>
      </c>
      <c r="S72" s="6"/>
      <c r="T72" s="2">
        <v>20</v>
      </c>
      <c r="U72" s="2">
        <v>1</v>
      </c>
      <c r="V72" s="2">
        <v>1</v>
      </c>
    </row>
    <row r="73" spans="1:22" x14ac:dyDescent="0.25">
      <c r="A73" s="56">
        <v>16</v>
      </c>
      <c r="B73" s="56" t="s">
        <v>384</v>
      </c>
      <c r="C73" s="56" t="s">
        <v>353</v>
      </c>
      <c r="D73" s="37" t="s">
        <v>314</v>
      </c>
      <c r="E73" s="6">
        <v>7</v>
      </c>
      <c r="F73" s="6">
        <v>0</v>
      </c>
      <c r="G73" s="6"/>
      <c r="H73" s="56">
        <v>6</v>
      </c>
      <c r="I73" s="56">
        <v>0</v>
      </c>
      <c r="J73" s="56"/>
      <c r="K73" s="6">
        <v>4</v>
      </c>
      <c r="L73" s="6">
        <v>0</v>
      </c>
      <c r="M73" s="6"/>
      <c r="N73" s="56">
        <v>3</v>
      </c>
      <c r="O73" s="56">
        <v>0</v>
      </c>
      <c r="P73" s="56"/>
      <c r="Q73" s="6">
        <v>0</v>
      </c>
      <c r="R73" s="6">
        <v>0</v>
      </c>
      <c r="S73" s="6"/>
      <c r="T73" s="2">
        <v>20</v>
      </c>
      <c r="U73" s="2">
        <v>0</v>
      </c>
      <c r="V73" s="2">
        <v>0</v>
      </c>
    </row>
    <row r="74" spans="1:22" x14ac:dyDescent="0.25">
      <c r="A74" s="4">
        <v>27</v>
      </c>
      <c r="B74" s="4" t="s">
        <v>363</v>
      </c>
      <c r="C74" s="4" t="s">
        <v>354</v>
      </c>
      <c r="D74" s="35" t="s">
        <v>31</v>
      </c>
      <c r="E74" s="6">
        <v>10</v>
      </c>
      <c r="F74" s="6">
        <v>1</v>
      </c>
      <c r="G74" s="6"/>
      <c r="H74" s="4">
        <v>3</v>
      </c>
      <c r="I74" s="4">
        <v>0</v>
      </c>
      <c r="J74" s="4"/>
      <c r="K74" s="6">
        <v>2</v>
      </c>
      <c r="L74" s="6">
        <v>0</v>
      </c>
      <c r="M74" s="6"/>
      <c r="N74" s="4">
        <v>3</v>
      </c>
      <c r="O74" s="4">
        <v>0</v>
      </c>
      <c r="P74" s="4"/>
      <c r="Q74" s="6">
        <v>0</v>
      </c>
      <c r="R74" s="6">
        <v>0</v>
      </c>
      <c r="S74" s="6"/>
      <c r="T74" s="2">
        <v>18</v>
      </c>
      <c r="U74" s="2">
        <v>1</v>
      </c>
      <c r="V74" s="2">
        <v>0</v>
      </c>
    </row>
    <row r="75" spans="1:22" x14ac:dyDescent="0.25">
      <c r="A75" s="56">
        <v>32</v>
      </c>
      <c r="B75" s="28" t="s">
        <v>355</v>
      </c>
      <c r="C75" s="56" t="s">
        <v>354</v>
      </c>
      <c r="D75" s="40" t="s">
        <v>35</v>
      </c>
      <c r="E75" s="6">
        <v>4</v>
      </c>
      <c r="F75" s="6">
        <v>0</v>
      </c>
      <c r="G75" s="6"/>
      <c r="H75" s="4">
        <v>0</v>
      </c>
      <c r="I75" s="4">
        <v>0</v>
      </c>
      <c r="J75" s="4"/>
      <c r="K75" s="6">
        <v>4</v>
      </c>
      <c r="L75" s="6">
        <v>0</v>
      </c>
      <c r="M75" s="6"/>
      <c r="N75" s="4">
        <v>4</v>
      </c>
      <c r="O75" s="4">
        <v>0</v>
      </c>
      <c r="P75" s="4"/>
      <c r="Q75" s="6">
        <v>0</v>
      </c>
      <c r="R75" s="6">
        <v>0</v>
      </c>
      <c r="S75" s="6"/>
      <c r="T75" s="2">
        <v>12</v>
      </c>
      <c r="U75" s="2">
        <v>0</v>
      </c>
      <c r="V75" s="2">
        <v>0</v>
      </c>
    </row>
    <row r="76" spans="1:22" x14ac:dyDescent="0.25">
      <c r="A76" s="56">
        <v>26</v>
      </c>
      <c r="B76" s="56" t="s">
        <v>385</v>
      </c>
      <c r="C76" s="56" t="s">
        <v>354</v>
      </c>
      <c r="D76" s="37" t="s">
        <v>206</v>
      </c>
      <c r="E76" s="6">
        <v>2</v>
      </c>
      <c r="F76" s="6">
        <v>0</v>
      </c>
      <c r="G76" s="6"/>
      <c r="H76" s="56">
        <v>5</v>
      </c>
      <c r="I76" s="56">
        <v>2</v>
      </c>
      <c r="J76" s="56"/>
      <c r="K76" s="6">
        <v>1</v>
      </c>
      <c r="L76" s="6">
        <v>0</v>
      </c>
      <c r="M76" s="6"/>
      <c r="N76" s="56">
        <v>3</v>
      </c>
      <c r="O76" s="56">
        <v>0</v>
      </c>
      <c r="P76" s="56"/>
      <c r="Q76" s="6">
        <v>0</v>
      </c>
      <c r="R76" s="6">
        <v>0</v>
      </c>
      <c r="S76" s="6"/>
      <c r="T76" s="2">
        <v>11</v>
      </c>
      <c r="U76" s="2">
        <v>2</v>
      </c>
      <c r="V76" s="2">
        <v>0</v>
      </c>
    </row>
    <row r="77" spans="1:22" x14ac:dyDescent="0.25">
      <c r="A77" s="56">
        <v>27</v>
      </c>
      <c r="B77" s="56" t="s">
        <v>361</v>
      </c>
      <c r="C77" s="56" t="s">
        <v>352</v>
      </c>
      <c r="D77" s="37" t="s">
        <v>167</v>
      </c>
      <c r="E77" s="6">
        <v>7</v>
      </c>
      <c r="F77" s="6">
        <v>0</v>
      </c>
      <c r="G77" s="6"/>
      <c r="H77" s="56">
        <v>1</v>
      </c>
      <c r="I77" s="56">
        <v>0</v>
      </c>
      <c r="J77" s="56"/>
      <c r="K77" s="6">
        <v>0</v>
      </c>
      <c r="L77" s="6">
        <v>0</v>
      </c>
      <c r="M77" s="6"/>
      <c r="N77" s="56">
        <v>0</v>
      </c>
      <c r="O77" s="56">
        <v>0</v>
      </c>
      <c r="P77" s="56"/>
      <c r="Q77" s="6">
        <v>0</v>
      </c>
      <c r="R77" s="6">
        <v>0</v>
      </c>
      <c r="S77" s="6"/>
      <c r="T77" s="2">
        <v>8</v>
      </c>
      <c r="U77" s="2">
        <v>0</v>
      </c>
      <c r="V77" s="2">
        <v>1</v>
      </c>
    </row>
    <row r="78" spans="1:22" x14ac:dyDescent="0.25">
      <c r="A78" s="56">
        <v>22</v>
      </c>
      <c r="B78" s="56" t="s">
        <v>351</v>
      </c>
      <c r="C78" s="56" t="s">
        <v>353</v>
      </c>
      <c r="D78" s="40" t="s">
        <v>105</v>
      </c>
      <c r="E78" s="6">
        <v>0</v>
      </c>
      <c r="F78" s="6">
        <v>0</v>
      </c>
      <c r="G78" s="6"/>
      <c r="H78" s="4">
        <v>0</v>
      </c>
      <c r="I78" s="4">
        <v>0</v>
      </c>
      <c r="J78" s="4"/>
      <c r="K78" s="6">
        <v>5</v>
      </c>
      <c r="L78" s="6">
        <v>0</v>
      </c>
      <c r="M78" s="6"/>
      <c r="N78" s="4">
        <v>3</v>
      </c>
      <c r="O78" s="4">
        <v>0</v>
      </c>
      <c r="P78" s="4"/>
      <c r="Q78" s="6">
        <v>0</v>
      </c>
      <c r="R78" s="6">
        <v>0</v>
      </c>
      <c r="S78" s="6"/>
      <c r="T78" s="2">
        <v>8</v>
      </c>
      <c r="U78" s="2">
        <v>0</v>
      </c>
      <c r="V78" s="2">
        <v>0</v>
      </c>
    </row>
    <row r="79" spans="1:22" x14ac:dyDescent="0.25">
      <c r="A79" s="4">
        <v>31</v>
      </c>
      <c r="B79" s="56" t="s">
        <v>391</v>
      </c>
      <c r="C79" s="4" t="s">
        <v>354</v>
      </c>
      <c r="D79" s="145" t="s">
        <v>40</v>
      </c>
      <c r="E79" s="6">
        <v>1</v>
      </c>
      <c r="F79" s="6">
        <v>0</v>
      </c>
      <c r="G79" s="6"/>
      <c r="H79" s="4">
        <v>2</v>
      </c>
      <c r="I79" s="4">
        <v>0</v>
      </c>
      <c r="J79" s="4"/>
      <c r="K79" s="6">
        <v>0</v>
      </c>
      <c r="L79" s="6">
        <v>0</v>
      </c>
      <c r="M79" s="6"/>
      <c r="N79" s="4">
        <v>2</v>
      </c>
      <c r="O79" s="4">
        <v>0</v>
      </c>
      <c r="P79" s="4"/>
      <c r="Q79" s="6">
        <v>0</v>
      </c>
      <c r="R79" s="6">
        <v>0</v>
      </c>
      <c r="S79" s="6"/>
      <c r="T79" s="2">
        <v>7</v>
      </c>
      <c r="U79" s="2">
        <v>0</v>
      </c>
      <c r="V79" s="2">
        <v>0</v>
      </c>
    </row>
    <row r="80" spans="1:22" x14ac:dyDescent="0.25">
      <c r="A80" s="56">
        <v>30</v>
      </c>
      <c r="B80" s="56" t="s">
        <v>385</v>
      </c>
      <c r="C80" s="56" t="s">
        <v>350</v>
      </c>
      <c r="D80" s="37" t="s">
        <v>260</v>
      </c>
      <c r="E80" s="6">
        <v>0</v>
      </c>
      <c r="F80" s="6">
        <v>0</v>
      </c>
      <c r="G80" s="6"/>
      <c r="H80" s="56">
        <v>5</v>
      </c>
      <c r="I80" s="56">
        <v>0</v>
      </c>
      <c r="J80" s="56"/>
      <c r="K80" s="6">
        <v>2</v>
      </c>
      <c r="L80" s="6">
        <v>0</v>
      </c>
      <c r="M80" s="6"/>
      <c r="N80" s="56">
        <v>0</v>
      </c>
      <c r="O80" s="56">
        <v>0</v>
      </c>
      <c r="P80" s="56"/>
      <c r="Q80" s="6">
        <v>0</v>
      </c>
      <c r="R80" s="6">
        <v>0</v>
      </c>
      <c r="S80" s="6"/>
      <c r="T80" s="2">
        <v>7</v>
      </c>
      <c r="U80" s="2">
        <v>0</v>
      </c>
      <c r="V80" s="2">
        <v>0</v>
      </c>
    </row>
    <row r="81" spans="1:22" x14ac:dyDescent="0.25">
      <c r="A81" s="56">
        <v>27</v>
      </c>
      <c r="B81" s="56" t="s">
        <v>357</v>
      </c>
      <c r="C81" s="56" t="s">
        <v>354</v>
      </c>
      <c r="D81" s="37" t="s">
        <v>262</v>
      </c>
      <c r="E81" s="6">
        <v>1</v>
      </c>
      <c r="F81" s="6">
        <v>0</v>
      </c>
      <c r="G81" s="6"/>
      <c r="H81" s="56">
        <v>3</v>
      </c>
      <c r="I81" s="56">
        <v>1</v>
      </c>
      <c r="J81" s="56"/>
      <c r="K81" s="6">
        <v>1</v>
      </c>
      <c r="L81" s="6">
        <v>0</v>
      </c>
      <c r="M81" s="6"/>
      <c r="N81" s="56">
        <v>1</v>
      </c>
      <c r="O81" s="56">
        <v>0</v>
      </c>
      <c r="P81" s="56"/>
      <c r="Q81" s="6">
        <v>0</v>
      </c>
      <c r="R81" s="6">
        <v>0</v>
      </c>
      <c r="S81" s="6"/>
      <c r="T81" s="2">
        <v>6</v>
      </c>
      <c r="U81" s="2">
        <v>1</v>
      </c>
      <c r="V81" s="2">
        <v>0</v>
      </c>
    </row>
    <row r="82" spans="1:22" x14ac:dyDescent="0.25">
      <c r="A82" s="56">
        <v>13</v>
      </c>
      <c r="B82" s="56" t="s">
        <v>386</v>
      </c>
      <c r="C82" s="56" t="s">
        <v>350</v>
      </c>
      <c r="D82" s="37" t="s">
        <v>205</v>
      </c>
      <c r="E82" s="6">
        <v>1</v>
      </c>
      <c r="F82" s="6">
        <v>0</v>
      </c>
      <c r="G82" s="6"/>
      <c r="H82" s="56">
        <v>4</v>
      </c>
      <c r="I82" s="56">
        <v>0</v>
      </c>
      <c r="J82" s="56"/>
      <c r="K82" s="6">
        <v>0</v>
      </c>
      <c r="L82" s="6">
        <v>0</v>
      </c>
      <c r="M82" s="6"/>
      <c r="N82" s="56">
        <v>1</v>
      </c>
      <c r="O82" s="56">
        <v>0</v>
      </c>
      <c r="P82" s="56"/>
      <c r="Q82" s="6">
        <v>0</v>
      </c>
      <c r="R82" s="6">
        <v>0</v>
      </c>
      <c r="S82" s="6"/>
      <c r="T82" s="2">
        <v>6</v>
      </c>
      <c r="U82" s="2">
        <v>0</v>
      </c>
      <c r="V82" s="2">
        <v>0</v>
      </c>
    </row>
    <row r="83" spans="1:22" x14ac:dyDescent="0.25">
      <c r="A83" s="56">
        <v>22</v>
      </c>
      <c r="B83" s="56" t="s">
        <v>349</v>
      </c>
      <c r="C83" s="56" t="s">
        <v>353</v>
      </c>
      <c r="D83" s="40" t="s">
        <v>185</v>
      </c>
      <c r="E83" s="6">
        <v>4</v>
      </c>
      <c r="F83" s="6">
        <v>0</v>
      </c>
      <c r="G83" s="6"/>
      <c r="H83" s="4">
        <v>2</v>
      </c>
      <c r="I83" s="4">
        <v>0</v>
      </c>
      <c r="J83" s="4"/>
      <c r="K83" s="6">
        <v>0</v>
      </c>
      <c r="L83" s="6">
        <v>0</v>
      </c>
      <c r="M83" s="6"/>
      <c r="N83" s="4">
        <v>0</v>
      </c>
      <c r="O83" s="4">
        <v>0</v>
      </c>
      <c r="P83" s="4"/>
      <c r="Q83" s="6">
        <v>0</v>
      </c>
      <c r="R83" s="6">
        <v>0</v>
      </c>
      <c r="S83" s="6"/>
      <c r="T83" s="2">
        <v>6</v>
      </c>
      <c r="U83" s="2">
        <v>0</v>
      </c>
      <c r="V83" s="2">
        <v>0</v>
      </c>
    </row>
    <row r="84" spans="1:22" x14ac:dyDescent="0.25">
      <c r="A84" s="56">
        <v>40</v>
      </c>
      <c r="B84" s="56" t="s">
        <v>385</v>
      </c>
      <c r="C84" s="56" t="s">
        <v>353</v>
      </c>
      <c r="D84" s="37" t="s">
        <v>34</v>
      </c>
      <c r="E84" s="6">
        <v>0</v>
      </c>
      <c r="F84" s="6">
        <v>0</v>
      </c>
      <c r="G84" s="6"/>
      <c r="H84" s="56">
        <v>1</v>
      </c>
      <c r="I84" s="56">
        <v>0</v>
      </c>
      <c r="J84" s="56"/>
      <c r="K84" s="6">
        <v>1</v>
      </c>
      <c r="L84" s="6">
        <v>0</v>
      </c>
      <c r="M84" s="6"/>
      <c r="N84" s="56">
        <v>2</v>
      </c>
      <c r="O84" s="56">
        <v>0</v>
      </c>
      <c r="P84" s="56"/>
      <c r="Q84" s="6">
        <v>0</v>
      </c>
      <c r="R84" s="6">
        <v>0</v>
      </c>
      <c r="S84" s="6"/>
      <c r="T84" s="2">
        <v>4</v>
      </c>
      <c r="U84" s="2">
        <v>0</v>
      </c>
      <c r="V84" s="2">
        <v>0</v>
      </c>
    </row>
    <row r="85" spans="1:22" x14ac:dyDescent="0.25">
      <c r="A85" s="56">
        <v>43</v>
      </c>
      <c r="B85" s="56" t="s">
        <v>355</v>
      </c>
      <c r="C85" s="56" t="s">
        <v>353</v>
      </c>
      <c r="D85" s="40" t="s">
        <v>118</v>
      </c>
      <c r="E85" s="6">
        <v>0</v>
      </c>
      <c r="F85" s="6">
        <v>0</v>
      </c>
      <c r="G85" s="6"/>
      <c r="H85" s="4">
        <v>0</v>
      </c>
      <c r="I85" s="4">
        <v>0</v>
      </c>
      <c r="J85" s="4"/>
      <c r="K85" s="6">
        <v>0</v>
      </c>
      <c r="L85" s="6">
        <v>0</v>
      </c>
      <c r="M85" s="6"/>
      <c r="N85" s="4">
        <v>3</v>
      </c>
      <c r="O85" s="4">
        <v>0</v>
      </c>
      <c r="P85" s="4"/>
      <c r="Q85" s="6">
        <v>0</v>
      </c>
      <c r="R85" s="6">
        <v>0</v>
      </c>
      <c r="S85" s="6"/>
      <c r="T85" s="2">
        <v>3</v>
      </c>
      <c r="U85" s="2">
        <v>0</v>
      </c>
      <c r="V85" s="2">
        <v>0</v>
      </c>
    </row>
    <row r="86" spans="1:22" x14ac:dyDescent="0.25">
      <c r="A86" s="56">
        <v>58</v>
      </c>
      <c r="B86" s="56" t="s">
        <v>355</v>
      </c>
      <c r="C86" s="56" t="s">
        <v>353</v>
      </c>
      <c r="D86" s="40" t="s">
        <v>122</v>
      </c>
      <c r="E86" s="6">
        <v>0</v>
      </c>
      <c r="F86" s="6">
        <v>0</v>
      </c>
      <c r="G86" s="6"/>
      <c r="H86" s="4">
        <v>3</v>
      </c>
      <c r="I86" s="4">
        <v>0</v>
      </c>
      <c r="J86" s="4"/>
      <c r="K86" s="6">
        <v>0</v>
      </c>
      <c r="L86" s="6">
        <v>0</v>
      </c>
      <c r="M86" s="6"/>
      <c r="N86" s="4">
        <v>0</v>
      </c>
      <c r="O86" s="4">
        <v>0</v>
      </c>
      <c r="P86" s="4"/>
      <c r="Q86" s="6">
        <v>0</v>
      </c>
      <c r="R86" s="6">
        <v>0</v>
      </c>
      <c r="S86" s="6"/>
      <c r="T86" s="2">
        <v>3</v>
      </c>
      <c r="U86" s="2">
        <v>0</v>
      </c>
      <c r="V86" s="2">
        <v>0</v>
      </c>
    </row>
    <row r="87" spans="1:22" x14ac:dyDescent="0.25">
      <c r="A87" s="56">
        <v>47</v>
      </c>
      <c r="B87" s="56" t="s">
        <v>355</v>
      </c>
      <c r="C87" s="56" t="s">
        <v>352</v>
      </c>
      <c r="D87" s="37" t="s">
        <v>178</v>
      </c>
      <c r="E87" s="6">
        <v>0</v>
      </c>
      <c r="F87" s="6">
        <v>0</v>
      </c>
      <c r="G87" s="6"/>
      <c r="H87" s="56">
        <v>2</v>
      </c>
      <c r="I87" s="56">
        <v>0</v>
      </c>
      <c r="J87" s="56"/>
      <c r="K87" s="6">
        <v>1</v>
      </c>
      <c r="L87" s="6">
        <v>0</v>
      </c>
      <c r="M87" s="6"/>
      <c r="N87" s="56">
        <v>0</v>
      </c>
      <c r="O87" s="56">
        <v>0</v>
      </c>
      <c r="P87" s="56"/>
      <c r="Q87" s="6">
        <v>0</v>
      </c>
      <c r="R87" s="6">
        <v>0</v>
      </c>
      <c r="S87" s="6"/>
      <c r="T87" s="2">
        <v>3</v>
      </c>
      <c r="U87" s="2">
        <v>0</v>
      </c>
      <c r="V87" s="2">
        <v>0</v>
      </c>
    </row>
    <row r="88" spans="1:22" x14ac:dyDescent="0.25">
      <c r="A88" s="56">
        <v>33</v>
      </c>
      <c r="B88" s="56" t="s">
        <v>392</v>
      </c>
      <c r="C88" s="56" t="s">
        <v>350</v>
      </c>
      <c r="D88" s="37" t="s">
        <v>217</v>
      </c>
      <c r="E88" s="6">
        <v>3</v>
      </c>
      <c r="F88" s="6">
        <v>0</v>
      </c>
      <c r="G88" s="6"/>
      <c r="H88" s="56">
        <v>0</v>
      </c>
      <c r="I88" s="56">
        <v>0</v>
      </c>
      <c r="J88" s="56"/>
      <c r="K88" s="6">
        <v>0</v>
      </c>
      <c r="L88" s="6">
        <v>0</v>
      </c>
      <c r="M88" s="6"/>
      <c r="N88" s="56">
        <v>0</v>
      </c>
      <c r="O88" s="56">
        <v>0</v>
      </c>
      <c r="P88" s="56"/>
      <c r="Q88" s="6">
        <v>0</v>
      </c>
      <c r="R88" s="6">
        <v>0</v>
      </c>
      <c r="S88" s="6"/>
      <c r="T88" s="2">
        <v>3</v>
      </c>
      <c r="U88" s="2">
        <v>0</v>
      </c>
      <c r="V88" s="2">
        <v>0</v>
      </c>
    </row>
    <row r="89" spans="1:22" x14ac:dyDescent="0.25">
      <c r="A89" s="56">
        <v>37</v>
      </c>
      <c r="B89" s="56" t="s">
        <v>368</v>
      </c>
      <c r="C89" s="56" t="s">
        <v>352</v>
      </c>
      <c r="D89" s="40" t="s">
        <v>85</v>
      </c>
      <c r="E89" s="6">
        <v>0</v>
      </c>
      <c r="F89" s="6">
        <v>0</v>
      </c>
      <c r="G89" s="6"/>
      <c r="H89" s="4">
        <v>0</v>
      </c>
      <c r="I89" s="4">
        <v>0</v>
      </c>
      <c r="J89" s="4"/>
      <c r="K89" s="6">
        <v>0</v>
      </c>
      <c r="L89" s="6">
        <v>0</v>
      </c>
      <c r="M89" s="6"/>
      <c r="N89" s="4">
        <v>2</v>
      </c>
      <c r="O89" s="4">
        <v>0</v>
      </c>
      <c r="P89" s="4"/>
      <c r="Q89" s="6">
        <v>0</v>
      </c>
      <c r="R89" s="6">
        <v>0</v>
      </c>
      <c r="S89" s="6"/>
      <c r="T89" s="2">
        <v>2</v>
      </c>
      <c r="U89" s="2">
        <v>0</v>
      </c>
      <c r="V89" s="2">
        <v>0</v>
      </c>
    </row>
    <row r="90" spans="1:22" x14ac:dyDescent="0.25">
      <c r="A90" s="56">
        <v>43</v>
      </c>
      <c r="B90" s="56" t="s">
        <v>375</v>
      </c>
      <c r="C90" s="56" t="s">
        <v>353</v>
      </c>
      <c r="D90" s="40" t="s">
        <v>179</v>
      </c>
      <c r="E90" s="6">
        <v>0</v>
      </c>
      <c r="F90" s="6">
        <v>0</v>
      </c>
      <c r="G90" s="6"/>
      <c r="H90" s="4">
        <v>2</v>
      </c>
      <c r="I90" s="4">
        <v>0</v>
      </c>
      <c r="J90" s="4"/>
      <c r="K90" s="6">
        <v>0</v>
      </c>
      <c r="L90" s="6">
        <v>0</v>
      </c>
      <c r="M90" s="6"/>
      <c r="N90" s="4">
        <v>0</v>
      </c>
      <c r="O90" s="4">
        <v>0</v>
      </c>
      <c r="P90" s="4"/>
      <c r="Q90" s="6">
        <v>0</v>
      </c>
      <c r="R90" s="6">
        <v>0</v>
      </c>
      <c r="S90" s="6"/>
      <c r="T90" s="2">
        <v>2</v>
      </c>
      <c r="U90" s="2">
        <v>0</v>
      </c>
      <c r="V90" s="2">
        <v>0</v>
      </c>
    </row>
    <row r="91" spans="1:22" x14ac:dyDescent="0.25">
      <c r="A91" s="56">
        <v>42</v>
      </c>
      <c r="B91" s="56" t="s">
        <v>355</v>
      </c>
      <c r="C91" s="56" t="s">
        <v>353</v>
      </c>
      <c r="D91" s="37" t="s">
        <v>37</v>
      </c>
      <c r="E91" s="6">
        <v>0</v>
      </c>
      <c r="F91" s="6">
        <v>0</v>
      </c>
      <c r="G91" s="6"/>
      <c r="H91" s="56">
        <v>0</v>
      </c>
      <c r="I91" s="56">
        <v>0</v>
      </c>
      <c r="J91" s="56"/>
      <c r="K91" s="6">
        <v>0</v>
      </c>
      <c r="L91" s="6">
        <v>0</v>
      </c>
      <c r="M91" s="6"/>
      <c r="N91" s="56">
        <v>2</v>
      </c>
      <c r="O91" s="56">
        <v>0</v>
      </c>
      <c r="P91" s="56"/>
      <c r="Q91" s="6">
        <v>0</v>
      </c>
      <c r="R91" s="6">
        <v>0</v>
      </c>
      <c r="S91" s="6"/>
      <c r="T91" s="2">
        <v>2</v>
      </c>
      <c r="U91" s="2">
        <v>0</v>
      </c>
      <c r="V91" s="2">
        <v>0</v>
      </c>
    </row>
    <row r="92" spans="1:22" x14ac:dyDescent="0.25">
      <c r="A92" s="56">
        <v>87</v>
      </c>
      <c r="B92" s="56" t="s">
        <v>355</v>
      </c>
      <c r="C92" s="56" t="s">
        <v>353</v>
      </c>
      <c r="D92" s="37" t="s">
        <v>226</v>
      </c>
      <c r="E92" s="6">
        <v>0</v>
      </c>
      <c r="F92" s="6">
        <v>0</v>
      </c>
      <c r="G92" s="6"/>
      <c r="H92" s="56">
        <v>0</v>
      </c>
      <c r="I92" s="56">
        <v>0</v>
      </c>
      <c r="J92" s="56"/>
      <c r="K92" s="6">
        <v>1</v>
      </c>
      <c r="L92" s="6">
        <v>0</v>
      </c>
      <c r="M92" s="6"/>
      <c r="N92" s="56">
        <v>1</v>
      </c>
      <c r="O92" s="56">
        <v>1</v>
      </c>
      <c r="P92" s="56"/>
      <c r="Q92" s="6">
        <v>0</v>
      </c>
      <c r="R92" s="6">
        <v>0</v>
      </c>
      <c r="S92" s="6"/>
      <c r="T92" s="2">
        <v>2</v>
      </c>
      <c r="U92" s="2">
        <v>1</v>
      </c>
      <c r="V92" s="2">
        <v>0</v>
      </c>
    </row>
    <row r="93" spans="1:22" x14ac:dyDescent="0.25">
      <c r="A93" s="56">
        <v>65</v>
      </c>
      <c r="B93" s="56" t="s">
        <v>355</v>
      </c>
      <c r="C93" s="56" t="s">
        <v>353</v>
      </c>
      <c r="D93" s="37" t="s">
        <v>121</v>
      </c>
      <c r="E93" s="6">
        <v>0</v>
      </c>
      <c r="F93" s="6">
        <v>0</v>
      </c>
      <c r="G93" s="6"/>
      <c r="H93" s="56">
        <v>1</v>
      </c>
      <c r="I93" s="56">
        <v>0</v>
      </c>
      <c r="J93" s="56"/>
      <c r="K93" s="6">
        <v>0</v>
      </c>
      <c r="L93" s="6">
        <v>0</v>
      </c>
      <c r="M93" s="6"/>
      <c r="N93" s="56">
        <v>1</v>
      </c>
      <c r="O93" s="56">
        <v>0</v>
      </c>
      <c r="P93" s="56"/>
      <c r="Q93" s="6">
        <v>0</v>
      </c>
      <c r="R93" s="6">
        <v>0</v>
      </c>
      <c r="S93" s="6"/>
      <c r="T93" s="2">
        <v>2</v>
      </c>
      <c r="U93" s="2">
        <v>0</v>
      </c>
      <c r="V93" s="2">
        <v>0</v>
      </c>
    </row>
    <row r="94" spans="1:22" x14ac:dyDescent="0.25">
      <c r="A94" s="56">
        <v>68</v>
      </c>
      <c r="B94" s="56" t="s">
        <v>355</v>
      </c>
      <c r="C94" s="56" t="s">
        <v>354</v>
      </c>
      <c r="D94" s="37" t="s">
        <v>109</v>
      </c>
      <c r="E94" s="6">
        <v>0</v>
      </c>
      <c r="F94" s="6">
        <v>0</v>
      </c>
      <c r="G94" s="6"/>
      <c r="H94" s="56">
        <v>0</v>
      </c>
      <c r="I94" s="56">
        <v>0</v>
      </c>
      <c r="J94" s="56"/>
      <c r="K94" s="6">
        <v>0</v>
      </c>
      <c r="L94" s="6">
        <v>0</v>
      </c>
      <c r="M94" s="6"/>
      <c r="N94" s="56">
        <v>2</v>
      </c>
      <c r="O94" s="56">
        <v>0</v>
      </c>
      <c r="P94" s="56"/>
      <c r="Q94" s="6">
        <v>0</v>
      </c>
      <c r="R94" s="6">
        <v>0</v>
      </c>
      <c r="S94" s="6"/>
      <c r="T94" s="2">
        <v>2</v>
      </c>
      <c r="U94" s="2">
        <v>0</v>
      </c>
      <c r="V94" s="2">
        <v>0</v>
      </c>
    </row>
    <row r="95" spans="1:22" x14ac:dyDescent="0.25">
      <c r="A95" s="56">
        <v>37</v>
      </c>
      <c r="B95" s="56" t="s">
        <v>355</v>
      </c>
      <c r="C95" s="56" t="s">
        <v>354</v>
      </c>
      <c r="D95" s="37" t="s">
        <v>307</v>
      </c>
      <c r="E95" s="6">
        <v>1</v>
      </c>
      <c r="F95" s="6">
        <v>0</v>
      </c>
      <c r="G95" s="6"/>
      <c r="H95" s="56">
        <v>1</v>
      </c>
      <c r="I95" s="56">
        <v>0</v>
      </c>
      <c r="J95" s="56"/>
      <c r="K95" s="6">
        <v>0</v>
      </c>
      <c r="L95" s="6">
        <v>0</v>
      </c>
      <c r="M95" s="6"/>
      <c r="N95" s="56">
        <v>0</v>
      </c>
      <c r="O95" s="56">
        <v>0</v>
      </c>
      <c r="P95" s="56"/>
      <c r="Q95" s="6">
        <v>0</v>
      </c>
      <c r="R95" s="6">
        <v>0</v>
      </c>
      <c r="S95" s="6"/>
      <c r="T95" s="2">
        <v>2</v>
      </c>
      <c r="U95" s="2">
        <v>0</v>
      </c>
      <c r="V95" s="2">
        <v>0</v>
      </c>
    </row>
    <row r="96" spans="1:22" x14ac:dyDescent="0.25">
      <c r="A96" s="56">
        <v>66</v>
      </c>
      <c r="B96" s="56" t="s">
        <v>355</v>
      </c>
      <c r="C96" s="56" t="s">
        <v>353</v>
      </c>
      <c r="D96" s="37" t="s">
        <v>208</v>
      </c>
      <c r="E96" s="6">
        <v>0</v>
      </c>
      <c r="F96" s="6">
        <v>0</v>
      </c>
      <c r="G96" s="6"/>
      <c r="H96" s="56">
        <v>1</v>
      </c>
      <c r="I96" s="56">
        <v>0</v>
      </c>
      <c r="J96" s="56"/>
      <c r="K96" s="6">
        <v>0</v>
      </c>
      <c r="L96" s="6">
        <v>0</v>
      </c>
      <c r="M96" s="6"/>
      <c r="N96" s="56">
        <v>0</v>
      </c>
      <c r="O96" s="56">
        <v>0</v>
      </c>
      <c r="P96" s="56"/>
      <c r="Q96" s="6">
        <v>0</v>
      </c>
      <c r="R96" s="6">
        <v>0</v>
      </c>
      <c r="S96" s="6"/>
      <c r="T96" s="2">
        <v>1</v>
      </c>
      <c r="U96" s="2">
        <v>0</v>
      </c>
      <c r="V96" s="2">
        <v>0</v>
      </c>
    </row>
    <row r="97" spans="1:22" x14ac:dyDescent="0.25">
      <c r="A97" s="56">
        <v>36</v>
      </c>
      <c r="B97" s="56" t="s">
        <v>387</v>
      </c>
      <c r="C97" s="56" t="s">
        <v>353</v>
      </c>
      <c r="D97" s="40" t="s">
        <v>94</v>
      </c>
      <c r="E97" s="6">
        <v>0</v>
      </c>
      <c r="F97" s="6">
        <v>0</v>
      </c>
      <c r="G97" s="6"/>
      <c r="H97" s="56">
        <v>0</v>
      </c>
      <c r="I97" s="56">
        <v>0</v>
      </c>
      <c r="J97" s="56"/>
      <c r="K97" s="6">
        <v>0</v>
      </c>
      <c r="L97" s="6">
        <v>0</v>
      </c>
      <c r="M97" s="6"/>
      <c r="N97" s="56">
        <v>1</v>
      </c>
      <c r="O97" s="56">
        <v>0</v>
      </c>
      <c r="P97" s="56"/>
      <c r="Q97" s="6">
        <v>0</v>
      </c>
      <c r="R97" s="6">
        <v>0</v>
      </c>
      <c r="S97" s="6"/>
      <c r="T97" s="2">
        <v>1</v>
      </c>
      <c r="U97" s="2">
        <v>0</v>
      </c>
      <c r="V97" s="2">
        <v>0</v>
      </c>
    </row>
    <row r="98" spans="1:22" x14ac:dyDescent="0.25">
      <c r="A98" s="56">
        <v>42</v>
      </c>
      <c r="B98" s="56" t="s">
        <v>355</v>
      </c>
      <c r="C98" s="56" t="s">
        <v>353</v>
      </c>
      <c r="D98" s="37" t="s">
        <v>207</v>
      </c>
      <c r="E98" s="6">
        <v>0</v>
      </c>
      <c r="F98" s="6">
        <v>0</v>
      </c>
      <c r="G98" s="6"/>
      <c r="H98" s="56">
        <v>1</v>
      </c>
      <c r="I98" s="56">
        <v>0</v>
      </c>
      <c r="J98" s="56"/>
      <c r="K98" s="6">
        <v>0</v>
      </c>
      <c r="L98" s="6">
        <v>0</v>
      </c>
      <c r="M98" s="6"/>
      <c r="N98" s="56">
        <v>0</v>
      </c>
      <c r="O98" s="56">
        <v>0</v>
      </c>
      <c r="P98" s="56"/>
      <c r="Q98" s="6">
        <v>0</v>
      </c>
      <c r="R98" s="6">
        <v>0</v>
      </c>
      <c r="S98" s="6"/>
      <c r="T98" s="2">
        <v>1</v>
      </c>
      <c r="U98" s="2">
        <v>0</v>
      </c>
      <c r="V98" s="2">
        <v>0</v>
      </c>
    </row>
    <row r="99" spans="1:22" x14ac:dyDescent="0.25">
      <c r="A99" s="56">
        <v>47</v>
      </c>
      <c r="B99" s="56" t="s">
        <v>388</v>
      </c>
      <c r="C99" s="56" t="s">
        <v>353</v>
      </c>
      <c r="D99" s="37" t="s">
        <v>96</v>
      </c>
      <c r="E99" s="6">
        <v>0</v>
      </c>
      <c r="F99" s="6">
        <v>0</v>
      </c>
      <c r="G99" s="6"/>
      <c r="H99" s="56">
        <v>0</v>
      </c>
      <c r="I99" s="56">
        <v>0</v>
      </c>
      <c r="J99" s="56"/>
      <c r="K99" s="6">
        <v>0</v>
      </c>
      <c r="L99" s="6">
        <v>0</v>
      </c>
      <c r="M99" s="6"/>
      <c r="N99" s="56">
        <v>1</v>
      </c>
      <c r="O99" s="56">
        <v>0</v>
      </c>
      <c r="P99" s="56"/>
      <c r="Q99" s="6">
        <v>0</v>
      </c>
      <c r="R99" s="6">
        <v>0</v>
      </c>
      <c r="S99" s="6"/>
      <c r="T99" s="2">
        <v>1</v>
      </c>
      <c r="U99" s="2">
        <v>0</v>
      </c>
      <c r="V99" s="2">
        <v>0</v>
      </c>
    </row>
    <row r="100" spans="1:22" x14ac:dyDescent="0.25">
      <c r="A100" s="56">
        <v>33</v>
      </c>
      <c r="B100" s="56" t="s">
        <v>355</v>
      </c>
      <c r="C100" s="56" t="s">
        <v>350</v>
      </c>
      <c r="D100" s="37" t="s">
        <v>124</v>
      </c>
      <c r="E100" s="6">
        <v>0</v>
      </c>
      <c r="F100" s="6">
        <v>0</v>
      </c>
      <c r="G100" s="6"/>
      <c r="H100" s="56">
        <v>0</v>
      </c>
      <c r="I100" s="56">
        <v>0</v>
      </c>
      <c r="J100" s="56"/>
      <c r="K100" s="6">
        <v>0</v>
      </c>
      <c r="L100" s="6">
        <v>0</v>
      </c>
      <c r="M100" s="6"/>
      <c r="N100" s="56">
        <v>1</v>
      </c>
      <c r="O100" s="56">
        <v>0</v>
      </c>
      <c r="P100" s="56"/>
      <c r="Q100" s="6">
        <v>0</v>
      </c>
      <c r="R100" s="6">
        <v>0</v>
      </c>
      <c r="S100" s="6"/>
      <c r="T100" s="2">
        <v>1</v>
      </c>
      <c r="U100" s="2">
        <v>0</v>
      </c>
      <c r="V100" s="2">
        <v>0</v>
      </c>
    </row>
    <row r="101" spans="1:22" x14ac:dyDescent="0.25">
      <c r="A101" s="56">
        <v>73</v>
      </c>
      <c r="B101" s="56" t="s">
        <v>355</v>
      </c>
      <c r="C101" s="56" t="s">
        <v>352</v>
      </c>
      <c r="D101" s="37" t="s">
        <v>42</v>
      </c>
      <c r="E101" s="6">
        <v>0</v>
      </c>
      <c r="F101" s="6">
        <v>0</v>
      </c>
      <c r="G101" s="6"/>
      <c r="H101" s="56">
        <v>0</v>
      </c>
      <c r="I101" s="56">
        <v>0</v>
      </c>
      <c r="J101" s="56"/>
      <c r="K101" s="6">
        <v>0</v>
      </c>
      <c r="L101" s="6">
        <v>0</v>
      </c>
      <c r="M101" s="6"/>
      <c r="N101" s="56">
        <v>0</v>
      </c>
      <c r="O101" s="56">
        <v>0</v>
      </c>
      <c r="P101" s="56"/>
      <c r="Q101" s="6">
        <v>1</v>
      </c>
      <c r="R101" s="6">
        <v>0</v>
      </c>
      <c r="S101" s="6"/>
      <c r="T101" s="2">
        <v>1</v>
      </c>
      <c r="U101" s="2">
        <v>0</v>
      </c>
      <c r="V101" s="2">
        <v>0</v>
      </c>
    </row>
    <row r="102" spans="1:22" x14ac:dyDescent="0.25">
      <c r="A102" s="56">
        <v>76</v>
      </c>
      <c r="B102" s="56" t="s">
        <v>355</v>
      </c>
      <c r="C102" s="56" t="s">
        <v>352</v>
      </c>
      <c r="D102" s="37" t="s">
        <v>304</v>
      </c>
      <c r="E102" s="6">
        <v>0</v>
      </c>
      <c r="F102" s="6">
        <v>0</v>
      </c>
      <c r="G102" s="6"/>
      <c r="H102" s="56">
        <v>0</v>
      </c>
      <c r="I102" s="56">
        <v>0</v>
      </c>
      <c r="J102" s="56"/>
      <c r="K102" s="6">
        <v>0</v>
      </c>
      <c r="L102" s="6">
        <v>0</v>
      </c>
      <c r="M102" s="6"/>
      <c r="N102" s="56">
        <v>1</v>
      </c>
      <c r="O102" s="56">
        <v>0</v>
      </c>
      <c r="P102" s="56"/>
      <c r="Q102" s="6">
        <v>0</v>
      </c>
      <c r="R102" s="6">
        <v>0</v>
      </c>
      <c r="S102" s="6"/>
      <c r="T102" s="2">
        <v>1</v>
      </c>
      <c r="U102" s="2">
        <v>0</v>
      </c>
      <c r="V102" s="2">
        <v>0</v>
      </c>
    </row>
    <row r="103" spans="1:22" x14ac:dyDescent="0.25">
      <c r="A103" s="56">
        <v>47</v>
      </c>
      <c r="B103" s="56" t="s">
        <v>389</v>
      </c>
      <c r="C103" s="56" t="s">
        <v>352</v>
      </c>
      <c r="D103" s="37" t="s">
        <v>299</v>
      </c>
      <c r="E103" s="6">
        <v>0</v>
      </c>
      <c r="F103" s="6">
        <v>0</v>
      </c>
      <c r="G103" s="6"/>
      <c r="H103" s="56">
        <v>0</v>
      </c>
      <c r="I103" s="56">
        <v>0</v>
      </c>
      <c r="J103" s="56"/>
      <c r="K103" s="6">
        <v>0</v>
      </c>
      <c r="L103" s="6">
        <v>0</v>
      </c>
      <c r="M103" s="6"/>
      <c r="N103" s="56">
        <v>1</v>
      </c>
      <c r="O103" s="56">
        <v>0</v>
      </c>
      <c r="P103" s="56"/>
      <c r="Q103" s="6">
        <v>0</v>
      </c>
      <c r="R103" s="6">
        <v>0</v>
      </c>
      <c r="S103" s="6"/>
      <c r="T103" s="2">
        <v>1</v>
      </c>
      <c r="U103" s="2">
        <v>0</v>
      </c>
      <c r="V103" s="2">
        <v>0</v>
      </c>
    </row>
    <row r="104" spans="1:22" x14ac:dyDescent="0.25">
      <c r="A104" s="56">
        <v>31</v>
      </c>
      <c r="B104" s="56" t="s">
        <v>390</v>
      </c>
      <c r="C104" s="56" t="s">
        <v>350</v>
      </c>
      <c r="D104" s="37" t="s">
        <v>270</v>
      </c>
      <c r="E104" s="6">
        <v>0</v>
      </c>
      <c r="F104" s="6">
        <v>0</v>
      </c>
      <c r="G104" s="6"/>
      <c r="H104" s="56">
        <v>0</v>
      </c>
      <c r="I104" s="56">
        <v>0</v>
      </c>
      <c r="J104" s="56"/>
      <c r="K104" s="6">
        <v>0</v>
      </c>
      <c r="L104" s="6">
        <v>0</v>
      </c>
      <c r="M104" s="6"/>
      <c r="N104" s="56">
        <v>1</v>
      </c>
      <c r="O104" s="56">
        <v>0</v>
      </c>
      <c r="P104" s="56"/>
      <c r="Q104" s="6">
        <v>0</v>
      </c>
      <c r="R104" s="6">
        <v>0</v>
      </c>
      <c r="S104" s="6"/>
      <c r="T104" s="2">
        <v>1</v>
      </c>
      <c r="U104" s="2">
        <v>0</v>
      </c>
      <c r="V104" s="2">
        <v>0</v>
      </c>
    </row>
    <row r="105" spans="1:22" x14ac:dyDescent="0.25">
      <c r="A105" s="56">
        <v>51</v>
      </c>
      <c r="B105" s="56" t="s">
        <v>355</v>
      </c>
      <c r="C105" s="56" t="s">
        <v>352</v>
      </c>
      <c r="D105" s="37" t="s">
        <v>300</v>
      </c>
      <c r="E105" s="6">
        <v>0</v>
      </c>
      <c r="F105" s="6">
        <v>0</v>
      </c>
      <c r="G105" s="6"/>
      <c r="H105" s="56">
        <v>0</v>
      </c>
      <c r="I105" s="56">
        <v>0</v>
      </c>
      <c r="J105" s="56"/>
      <c r="K105" s="6">
        <v>0</v>
      </c>
      <c r="L105" s="6">
        <v>0</v>
      </c>
      <c r="M105" s="6"/>
      <c r="N105" s="56">
        <v>1</v>
      </c>
      <c r="O105" s="56">
        <v>0</v>
      </c>
      <c r="P105" s="56"/>
      <c r="Q105" s="6">
        <v>0</v>
      </c>
      <c r="R105" s="6">
        <v>0</v>
      </c>
      <c r="S105" s="6"/>
      <c r="T105" s="2">
        <v>1</v>
      </c>
      <c r="U105" s="2">
        <v>0</v>
      </c>
      <c r="V105" s="2">
        <v>9</v>
      </c>
    </row>
    <row r="106" spans="1:22" x14ac:dyDescent="0.25">
      <c r="A106" s="56">
        <v>53</v>
      </c>
      <c r="B106" s="56" t="s">
        <v>349</v>
      </c>
      <c r="C106" s="56" t="s">
        <v>352</v>
      </c>
      <c r="D106" s="37" t="s">
        <v>177</v>
      </c>
      <c r="E106" s="6">
        <v>0</v>
      </c>
      <c r="F106" s="6">
        <v>0</v>
      </c>
      <c r="G106" s="6"/>
      <c r="H106" s="56">
        <v>0</v>
      </c>
      <c r="I106" s="56">
        <v>0</v>
      </c>
      <c r="J106" s="56"/>
      <c r="K106" s="6">
        <v>0</v>
      </c>
      <c r="L106" s="6">
        <v>0</v>
      </c>
      <c r="M106" s="6"/>
      <c r="N106" s="56">
        <v>1</v>
      </c>
      <c r="O106" s="56">
        <v>0</v>
      </c>
      <c r="P106" s="56"/>
      <c r="Q106" s="6">
        <v>0</v>
      </c>
      <c r="R106" s="6">
        <v>0</v>
      </c>
      <c r="S106" s="6"/>
      <c r="T106" s="2">
        <v>1</v>
      </c>
      <c r="U106" s="2">
        <v>0</v>
      </c>
      <c r="V106" s="2">
        <v>8</v>
      </c>
    </row>
    <row r="107" spans="1:22" x14ac:dyDescent="0.25">
      <c r="A107" s="56">
        <v>32</v>
      </c>
      <c r="B107" s="56" t="s">
        <v>357</v>
      </c>
      <c r="C107" s="56" t="s">
        <v>350</v>
      </c>
      <c r="D107" s="37" t="s">
        <v>295</v>
      </c>
      <c r="E107" s="6">
        <v>0</v>
      </c>
      <c r="F107" s="6">
        <v>0</v>
      </c>
      <c r="G107" s="6"/>
      <c r="H107" s="56">
        <v>0</v>
      </c>
      <c r="I107" s="56">
        <v>0</v>
      </c>
      <c r="J107" s="56"/>
      <c r="K107" s="6">
        <v>0</v>
      </c>
      <c r="L107" s="6">
        <v>0</v>
      </c>
      <c r="M107" s="6"/>
      <c r="N107" s="56">
        <v>0</v>
      </c>
      <c r="O107" s="56">
        <v>0</v>
      </c>
      <c r="P107" s="56"/>
      <c r="Q107" s="6">
        <v>0</v>
      </c>
      <c r="R107" s="6">
        <v>0</v>
      </c>
      <c r="S107" s="6"/>
      <c r="T107" s="2">
        <v>0</v>
      </c>
      <c r="U107" s="2">
        <v>0</v>
      </c>
      <c r="V107" s="2">
        <v>18</v>
      </c>
    </row>
    <row r="108" spans="1:22" x14ac:dyDescent="0.25">
      <c r="A108" s="56">
        <v>33</v>
      </c>
      <c r="B108" s="56" t="s">
        <v>374</v>
      </c>
      <c r="C108" s="56" t="s">
        <v>350</v>
      </c>
      <c r="D108" s="37" t="s">
        <v>221</v>
      </c>
      <c r="E108" s="6">
        <v>0</v>
      </c>
      <c r="F108" s="6">
        <v>0</v>
      </c>
      <c r="G108" s="6"/>
      <c r="H108" s="56">
        <v>0</v>
      </c>
      <c r="I108" s="56">
        <v>0</v>
      </c>
      <c r="J108" s="56"/>
      <c r="K108" s="6">
        <v>0</v>
      </c>
      <c r="L108" s="6">
        <v>0</v>
      </c>
      <c r="M108" s="6"/>
      <c r="N108" s="56">
        <v>0</v>
      </c>
      <c r="O108" s="56">
        <v>0</v>
      </c>
      <c r="P108" s="56"/>
      <c r="Q108" s="6">
        <v>0</v>
      </c>
      <c r="R108" s="6">
        <v>0</v>
      </c>
      <c r="S108" s="6"/>
      <c r="T108" s="2">
        <v>0</v>
      </c>
      <c r="U108" s="2">
        <v>0</v>
      </c>
      <c r="V108" s="2">
        <v>36</v>
      </c>
    </row>
    <row r="109" spans="1:22" x14ac:dyDescent="0.25">
      <c r="A109" s="56"/>
      <c r="B109" s="56"/>
      <c r="C109" s="56"/>
      <c r="D109" s="37"/>
      <c r="E109" s="6"/>
      <c r="F109" s="6"/>
      <c r="G109" s="6"/>
      <c r="H109" s="56"/>
      <c r="I109" s="56"/>
      <c r="J109" s="56"/>
      <c r="K109" s="6"/>
      <c r="L109" s="6"/>
      <c r="M109" s="6"/>
      <c r="N109" s="56"/>
      <c r="O109" s="56"/>
      <c r="P109" s="56"/>
      <c r="Q109" s="6"/>
      <c r="R109" s="6"/>
      <c r="S109" s="6"/>
      <c r="T109" s="2"/>
      <c r="U109" s="2"/>
      <c r="V109" s="2"/>
    </row>
    <row r="110" spans="1:22" x14ac:dyDescent="0.25">
      <c r="A110" s="56"/>
      <c r="B110" s="56"/>
      <c r="C110" s="56"/>
      <c r="D110" s="37"/>
      <c r="E110" s="6"/>
      <c r="F110" s="6"/>
      <c r="G110" s="6"/>
      <c r="H110" s="56"/>
      <c r="I110" s="56"/>
      <c r="J110" s="56"/>
      <c r="K110" s="6"/>
      <c r="L110" s="6"/>
      <c r="M110" s="6"/>
      <c r="N110" s="56"/>
      <c r="O110" s="56"/>
      <c r="P110" s="56"/>
      <c r="Q110" s="6"/>
      <c r="R110" s="6"/>
      <c r="S110" s="6"/>
      <c r="T110" s="2"/>
      <c r="U110" s="2"/>
      <c r="V110" s="2"/>
    </row>
    <row r="111" spans="1:22" x14ac:dyDescent="0.25">
      <c r="A111" s="56"/>
      <c r="B111" s="56"/>
      <c r="C111" s="56"/>
      <c r="D111" s="37"/>
      <c r="E111" s="6"/>
      <c r="F111" s="6"/>
      <c r="G111" s="6"/>
      <c r="H111" s="56"/>
      <c r="I111" s="56"/>
      <c r="J111" s="56"/>
      <c r="K111" s="6"/>
      <c r="L111" s="6"/>
      <c r="M111" s="6"/>
      <c r="N111" s="56"/>
      <c r="O111" s="56"/>
      <c r="P111" s="56"/>
      <c r="Q111" s="6"/>
      <c r="R111" s="6"/>
      <c r="S111" s="6"/>
      <c r="T111" s="2"/>
      <c r="U111" s="2"/>
      <c r="V111" s="2"/>
    </row>
    <row r="112" spans="1:22" x14ac:dyDescent="0.25">
      <c r="A112" s="56"/>
      <c r="B112" s="56"/>
      <c r="C112" s="56"/>
      <c r="D112" s="37"/>
      <c r="E112" s="6"/>
      <c r="F112" s="6"/>
      <c r="G112" s="6"/>
      <c r="H112" s="56"/>
      <c r="I112" s="56"/>
      <c r="J112" s="56"/>
      <c r="K112" s="6"/>
      <c r="L112" s="6"/>
      <c r="M112" s="6"/>
      <c r="N112" s="56"/>
      <c r="O112" s="56"/>
      <c r="P112" s="56"/>
      <c r="Q112" s="6"/>
      <c r="R112" s="6"/>
      <c r="S112" s="6"/>
      <c r="T112" s="2"/>
      <c r="U112" s="2"/>
      <c r="V112" s="2"/>
    </row>
    <row r="113" spans="1:22" x14ac:dyDescent="0.25">
      <c r="A113" s="56"/>
      <c r="B113" s="56"/>
      <c r="C113" s="56"/>
      <c r="D113" s="37"/>
      <c r="E113" s="6"/>
      <c r="F113" s="6"/>
      <c r="G113" s="6"/>
      <c r="H113" s="56"/>
      <c r="I113" s="56"/>
      <c r="J113" s="56"/>
      <c r="K113" s="6"/>
      <c r="L113" s="6"/>
      <c r="M113" s="6"/>
      <c r="N113" s="56"/>
      <c r="O113" s="56"/>
      <c r="P113" s="56"/>
      <c r="Q113" s="6"/>
      <c r="R113" s="6"/>
      <c r="S113" s="6"/>
      <c r="T113" s="2"/>
      <c r="U113" s="2"/>
      <c r="V113" s="2"/>
    </row>
    <row r="114" spans="1:22" x14ac:dyDescent="0.25">
      <c r="A114" s="56"/>
      <c r="B114" s="56"/>
      <c r="C114" s="56"/>
      <c r="D114" s="37"/>
      <c r="E114" s="6"/>
      <c r="F114" s="6"/>
      <c r="G114" s="6"/>
      <c r="H114" s="56"/>
      <c r="I114" s="56"/>
      <c r="J114" s="56"/>
      <c r="K114" s="6"/>
      <c r="L114" s="6"/>
      <c r="M114" s="6"/>
      <c r="N114" s="56"/>
      <c r="O114" s="56"/>
      <c r="P114" s="56"/>
      <c r="Q114" s="6"/>
      <c r="R114" s="6"/>
      <c r="S114" s="6"/>
      <c r="T114" s="2"/>
      <c r="U114" s="2"/>
      <c r="V114" s="2"/>
    </row>
    <row r="115" spans="1:22" x14ac:dyDescent="0.25">
      <c r="A115" s="56"/>
      <c r="B115" s="56"/>
      <c r="C115" s="56"/>
      <c r="D115" s="37"/>
      <c r="E115" s="6"/>
      <c r="F115" s="6"/>
      <c r="G115" s="6"/>
      <c r="H115" s="56"/>
      <c r="I115" s="56"/>
      <c r="J115" s="56"/>
      <c r="K115" s="6"/>
      <c r="L115" s="6"/>
      <c r="M115" s="6"/>
      <c r="N115" s="56"/>
      <c r="O115" s="56"/>
      <c r="P115" s="56"/>
      <c r="Q115" s="6"/>
      <c r="R115" s="6"/>
      <c r="S115" s="6"/>
      <c r="T115" s="2"/>
      <c r="U115" s="2"/>
      <c r="V115" s="2"/>
    </row>
    <row r="116" spans="1:22" x14ac:dyDescent="0.25">
      <c r="A116" s="56"/>
      <c r="B116" s="56"/>
      <c r="C116" s="56"/>
      <c r="D116" s="37"/>
      <c r="E116" s="6"/>
      <c r="F116" s="6"/>
      <c r="G116" s="6"/>
      <c r="H116" s="56"/>
      <c r="I116" s="56"/>
      <c r="J116" s="56"/>
      <c r="K116" s="6"/>
      <c r="L116" s="6"/>
      <c r="M116" s="6"/>
      <c r="N116" s="56"/>
      <c r="O116" s="56"/>
      <c r="P116" s="56"/>
      <c r="Q116" s="6"/>
      <c r="R116" s="6"/>
      <c r="S116" s="6"/>
      <c r="T116" s="2"/>
      <c r="U116" s="2"/>
      <c r="V116" s="2"/>
    </row>
    <row r="117" spans="1:22" x14ac:dyDescent="0.25">
      <c r="A117" s="56"/>
      <c r="B117" s="56"/>
      <c r="C117" s="56"/>
      <c r="D117" s="37"/>
      <c r="E117" s="6"/>
      <c r="F117" s="6"/>
      <c r="G117" s="6"/>
      <c r="H117" s="56"/>
      <c r="I117" s="56"/>
      <c r="J117" s="56"/>
      <c r="K117" s="6"/>
      <c r="L117" s="6"/>
      <c r="M117" s="6"/>
      <c r="N117" s="56"/>
      <c r="O117" s="56"/>
      <c r="P117" s="56"/>
      <c r="Q117" s="6"/>
      <c r="R117" s="6"/>
      <c r="S117" s="6"/>
      <c r="T117" s="2"/>
      <c r="U117" s="2"/>
      <c r="V117" s="2"/>
    </row>
    <row r="118" spans="1:22" x14ac:dyDescent="0.25">
      <c r="A118" s="56"/>
      <c r="B118" s="56"/>
      <c r="C118" s="56"/>
      <c r="D118" s="37"/>
      <c r="E118" s="6"/>
      <c r="F118" s="6"/>
      <c r="G118" s="6"/>
      <c r="H118" s="56"/>
      <c r="I118" s="56"/>
      <c r="J118" s="56"/>
      <c r="K118" s="6"/>
      <c r="L118" s="6"/>
      <c r="M118" s="6"/>
      <c r="N118" s="56"/>
      <c r="O118" s="56"/>
      <c r="P118" s="56"/>
      <c r="Q118" s="6"/>
      <c r="R118" s="6"/>
      <c r="S118" s="6"/>
      <c r="T118" s="2"/>
      <c r="U118" s="2"/>
      <c r="V118" s="2"/>
    </row>
    <row r="119" spans="1:22" x14ac:dyDescent="0.25">
      <c r="A119" s="56"/>
      <c r="B119" s="56"/>
      <c r="C119" s="56"/>
      <c r="D119" s="37"/>
      <c r="E119" s="6"/>
      <c r="F119" s="6"/>
      <c r="G119" s="6"/>
      <c r="H119" s="56"/>
      <c r="I119" s="56"/>
      <c r="J119" s="56"/>
      <c r="K119" s="6"/>
      <c r="L119" s="6"/>
      <c r="M119" s="6"/>
      <c r="N119" s="56"/>
      <c r="O119" s="56"/>
      <c r="P119" s="56"/>
      <c r="Q119" s="6"/>
      <c r="R119" s="6"/>
      <c r="S119" s="6"/>
      <c r="T119" s="2"/>
      <c r="U119" s="2"/>
      <c r="V119" s="2"/>
    </row>
    <row r="120" spans="1:22" x14ac:dyDescent="0.25">
      <c r="A120" s="56"/>
      <c r="B120" s="56"/>
      <c r="C120" s="56"/>
      <c r="D120" s="37"/>
      <c r="E120" s="6"/>
      <c r="F120" s="6"/>
      <c r="G120" s="6"/>
      <c r="H120" s="56"/>
      <c r="I120" s="56"/>
      <c r="J120" s="56"/>
      <c r="K120" s="6"/>
      <c r="L120" s="6"/>
      <c r="M120" s="6"/>
      <c r="N120" s="56"/>
      <c r="O120" s="56"/>
      <c r="P120" s="56"/>
      <c r="Q120" s="6"/>
      <c r="R120" s="6"/>
      <c r="S120" s="6"/>
      <c r="T120" s="2"/>
      <c r="U120" s="2"/>
      <c r="V120" s="2"/>
    </row>
    <row r="121" spans="1:22" x14ac:dyDescent="0.25">
      <c r="A121" s="56"/>
      <c r="B121" s="56"/>
      <c r="C121" s="56"/>
      <c r="D121" s="37"/>
      <c r="E121" s="6"/>
      <c r="F121" s="6"/>
      <c r="G121" s="6"/>
      <c r="H121" s="56"/>
      <c r="I121" s="56"/>
      <c r="J121" s="56"/>
      <c r="K121" s="6"/>
      <c r="L121" s="6"/>
      <c r="M121" s="6"/>
      <c r="N121" s="56"/>
      <c r="O121" s="56"/>
      <c r="P121" s="56"/>
      <c r="Q121" s="6"/>
      <c r="R121" s="6"/>
      <c r="S121" s="6"/>
      <c r="T121" s="2"/>
      <c r="U121" s="2"/>
      <c r="V121" s="2"/>
    </row>
    <row r="122" spans="1:22" x14ac:dyDescent="0.25">
      <c r="A122" s="56"/>
      <c r="B122" s="56"/>
      <c r="C122" s="56"/>
      <c r="D122" s="37"/>
      <c r="E122" s="6"/>
      <c r="F122" s="6"/>
      <c r="G122" s="6"/>
      <c r="H122" s="56"/>
      <c r="I122" s="56"/>
      <c r="J122" s="56"/>
      <c r="K122" s="6"/>
      <c r="L122" s="6"/>
      <c r="M122" s="6"/>
      <c r="N122" s="56"/>
      <c r="O122" s="56"/>
      <c r="P122" s="56"/>
      <c r="Q122" s="6"/>
      <c r="R122" s="6"/>
      <c r="S122" s="6"/>
      <c r="T122" s="2"/>
      <c r="U122" s="2"/>
      <c r="V122" s="2"/>
    </row>
    <row r="123" spans="1:22" x14ac:dyDescent="0.25">
      <c r="A123" s="56"/>
      <c r="B123" s="56"/>
      <c r="C123" s="56"/>
      <c r="D123" s="37"/>
      <c r="E123" s="6"/>
      <c r="F123" s="6"/>
      <c r="G123" s="6"/>
      <c r="H123" s="56"/>
      <c r="I123" s="56"/>
      <c r="J123" s="56"/>
      <c r="K123" s="6"/>
      <c r="L123" s="6"/>
      <c r="M123" s="6"/>
      <c r="N123" s="56"/>
      <c r="O123" s="56"/>
      <c r="P123" s="56"/>
      <c r="Q123" s="6"/>
      <c r="R123" s="6"/>
      <c r="S123" s="6"/>
      <c r="T123" s="2"/>
      <c r="U123" s="2"/>
      <c r="V123" s="2"/>
    </row>
    <row r="124" spans="1:22" x14ac:dyDescent="0.25">
      <c r="A124" s="56"/>
      <c r="B124" s="56"/>
      <c r="C124" s="56"/>
      <c r="D124" s="37"/>
      <c r="E124" s="6"/>
      <c r="F124" s="6"/>
      <c r="G124" s="6"/>
      <c r="H124" s="56"/>
      <c r="I124" s="56"/>
      <c r="J124" s="56"/>
      <c r="K124" s="6"/>
      <c r="L124" s="6"/>
      <c r="M124" s="6"/>
      <c r="N124" s="56"/>
      <c r="O124" s="56"/>
      <c r="P124" s="56"/>
      <c r="Q124" s="6"/>
      <c r="R124" s="6"/>
      <c r="S124" s="6"/>
      <c r="T124" s="2"/>
      <c r="U124" s="2"/>
      <c r="V124" s="2"/>
    </row>
    <row r="125" spans="1:22" x14ac:dyDescent="0.25">
      <c r="A125" s="56"/>
      <c r="B125" s="56"/>
      <c r="C125" s="56"/>
      <c r="D125" s="37"/>
      <c r="E125" s="6"/>
      <c r="F125" s="6"/>
      <c r="G125" s="6"/>
      <c r="H125" s="56"/>
      <c r="I125" s="56"/>
      <c r="J125" s="56"/>
      <c r="K125" s="6"/>
      <c r="L125" s="6"/>
      <c r="M125" s="6"/>
      <c r="N125" s="56"/>
      <c r="O125" s="56"/>
      <c r="P125" s="56"/>
      <c r="Q125" s="6"/>
      <c r="R125" s="6"/>
      <c r="S125" s="6"/>
      <c r="T125" s="2"/>
      <c r="U125" s="2"/>
      <c r="V125" s="2"/>
    </row>
    <row r="126" spans="1:22" x14ac:dyDescent="0.25">
      <c r="A126" s="56"/>
      <c r="B126" s="56"/>
      <c r="C126" s="56"/>
      <c r="D126" s="37"/>
      <c r="E126" s="6"/>
      <c r="F126" s="6"/>
      <c r="G126" s="6"/>
      <c r="H126" s="56"/>
      <c r="I126" s="56"/>
      <c r="J126" s="56"/>
      <c r="K126" s="6"/>
      <c r="L126" s="6"/>
      <c r="M126" s="6"/>
      <c r="N126" s="56"/>
      <c r="O126" s="56"/>
      <c r="P126" s="56"/>
      <c r="Q126" s="6"/>
      <c r="R126" s="6"/>
      <c r="S126" s="6"/>
      <c r="T126" s="2"/>
      <c r="U126" s="2"/>
      <c r="V126" s="2"/>
    </row>
    <row r="127" spans="1:22" x14ac:dyDescent="0.25">
      <c r="A127" s="56"/>
      <c r="B127" s="56"/>
      <c r="C127" s="56"/>
      <c r="D127" s="37"/>
      <c r="E127" s="6"/>
      <c r="F127" s="6"/>
      <c r="G127" s="6"/>
      <c r="H127" s="56"/>
      <c r="I127" s="56"/>
      <c r="J127" s="56"/>
      <c r="K127" s="6"/>
      <c r="L127" s="6"/>
      <c r="M127" s="6"/>
      <c r="N127" s="56"/>
      <c r="O127" s="56"/>
      <c r="P127" s="56"/>
      <c r="Q127" s="6"/>
      <c r="R127" s="6"/>
      <c r="S127" s="6"/>
      <c r="T127" s="2"/>
      <c r="U127" s="2"/>
      <c r="V127" s="2"/>
    </row>
    <row r="128" spans="1:22" x14ac:dyDescent="0.25">
      <c r="A128" s="56"/>
      <c r="B128" s="56"/>
      <c r="C128" s="56"/>
      <c r="D128" s="37"/>
      <c r="E128" s="6"/>
      <c r="F128" s="6"/>
      <c r="G128" s="6"/>
      <c r="H128" s="56"/>
      <c r="I128" s="56"/>
      <c r="J128" s="56"/>
      <c r="K128" s="6"/>
      <c r="L128" s="6"/>
      <c r="M128" s="6"/>
      <c r="N128" s="56"/>
      <c r="O128" s="56"/>
      <c r="P128" s="56"/>
      <c r="Q128" s="6"/>
      <c r="R128" s="6"/>
      <c r="S128" s="6"/>
      <c r="T128" s="2"/>
      <c r="U128" s="2"/>
      <c r="V128" s="2"/>
    </row>
    <row r="129" spans="1:22" x14ac:dyDescent="0.25">
      <c r="A129" s="56"/>
      <c r="B129" s="56"/>
      <c r="C129" s="56"/>
      <c r="D129" s="37"/>
      <c r="E129" s="6"/>
      <c r="F129" s="6"/>
      <c r="G129" s="6"/>
      <c r="H129" s="56"/>
      <c r="I129" s="56"/>
      <c r="J129" s="56"/>
      <c r="K129" s="6"/>
      <c r="L129" s="6"/>
      <c r="M129" s="6"/>
      <c r="N129" s="56"/>
      <c r="O129" s="56"/>
      <c r="P129" s="56"/>
      <c r="Q129" s="6"/>
      <c r="R129" s="6"/>
      <c r="S129" s="6"/>
      <c r="T129" s="2"/>
      <c r="U129" s="2"/>
      <c r="V129" s="2"/>
    </row>
    <row r="130" spans="1:22" x14ac:dyDescent="0.25">
      <c r="A130" s="56"/>
      <c r="B130" s="56"/>
      <c r="C130" s="56"/>
      <c r="D130" s="37"/>
      <c r="E130" s="6"/>
      <c r="F130" s="6"/>
      <c r="G130" s="6"/>
      <c r="H130" s="56"/>
      <c r="I130" s="56"/>
      <c r="J130" s="56"/>
      <c r="K130" s="6"/>
      <c r="L130" s="6"/>
      <c r="M130" s="6"/>
      <c r="N130" s="56"/>
      <c r="O130" s="56"/>
      <c r="P130" s="56"/>
      <c r="Q130" s="6"/>
      <c r="R130" s="6"/>
      <c r="S130" s="6"/>
      <c r="T130" s="2"/>
      <c r="U130" s="2"/>
      <c r="V130" s="2"/>
    </row>
    <row r="131" spans="1:22" x14ac:dyDescent="0.25">
      <c r="A131" s="56"/>
      <c r="B131" s="56"/>
      <c r="C131" s="56"/>
      <c r="D131" s="37"/>
      <c r="E131" s="6"/>
      <c r="F131" s="6"/>
      <c r="G131" s="6"/>
      <c r="H131" s="56"/>
      <c r="I131" s="56"/>
      <c r="J131" s="56"/>
      <c r="K131" s="6"/>
      <c r="L131" s="6"/>
      <c r="M131" s="6"/>
      <c r="N131" s="56"/>
      <c r="O131" s="56"/>
      <c r="P131" s="56"/>
      <c r="Q131" s="6"/>
      <c r="R131" s="6"/>
      <c r="S131" s="6"/>
      <c r="T131" s="2"/>
      <c r="U131" s="2"/>
      <c r="V131" s="2"/>
    </row>
    <row r="132" spans="1:22" x14ac:dyDescent="0.25">
      <c r="A132" s="56"/>
      <c r="B132" s="56"/>
      <c r="C132" s="56"/>
      <c r="D132" s="37"/>
      <c r="E132" s="6"/>
      <c r="F132" s="6"/>
      <c r="G132" s="6"/>
      <c r="H132" s="56"/>
      <c r="I132" s="56"/>
      <c r="J132" s="56"/>
      <c r="K132" s="6"/>
      <c r="L132" s="6"/>
      <c r="M132" s="6"/>
      <c r="N132" s="56"/>
      <c r="O132" s="56"/>
      <c r="P132" s="56"/>
      <c r="Q132" s="6"/>
      <c r="R132" s="6"/>
      <c r="S132" s="6"/>
      <c r="T132" s="2"/>
      <c r="U132" s="2"/>
      <c r="V132" s="2"/>
    </row>
    <row r="133" spans="1:22" x14ac:dyDescent="0.25">
      <c r="A133" s="56"/>
      <c r="B133" s="56"/>
      <c r="C133" s="56"/>
      <c r="D133" s="37"/>
      <c r="E133" s="6"/>
      <c r="F133" s="6"/>
      <c r="G133" s="6"/>
      <c r="H133" s="56"/>
      <c r="I133" s="56"/>
      <c r="J133" s="56"/>
      <c r="K133" s="6"/>
      <c r="L133" s="6"/>
      <c r="M133" s="6"/>
      <c r="N133" s="56"/>
      <c r="O133" s="56"/>
      <c r="P133" s="56"/>
      <c r="Q133" s="6"/>
      <c r="R133" s="6"/>
      <c r="S133" s="6"/>
      <c r="T133" s="2"/>
      <c r="U133" s="2"/>
      <c r="V133" s="2"/>
    </row>
    <row r="134" spans="1:22" x14ac:dyDescent="0.25">
      <c r="A134" s="56"/>
      <c r="B134" s="56"/>
      <c r="C134" s="56"/>
      <c r="D134" s="37"/>
      <c r="E134" s="6"/>
      <c r="F134" s="6"/>
      <c r="G134" s="6"/>
      <c r="H134" s="56"/>
      <c r="I134" s="56"/>
      <c r="J134" s="56"/>
      <c r="K134" s="6"/>
      <c r="L134" s="6"/>
      <c r="M134" s="6"/>
      <c r="N134" s="56"/>
      <c r="O134" s="56"/>
      <c r="P134" s="56"/>
      <c r="Q134" s="6"/>
      <c r="R134" s="6"/>
      <c r="S134" s="6"/>
      <c r="T134" s="2"/>
      <c r="U134" s="2"/>
      <c r="V134" s="2"/>
    </row>
    <row r="135" spans="1:22" x14ac:dyDescent="0.25">
      <c r="A135" s="56"/>
      <c r="B135" s="56"/>
      <c r="C135" s="56"/>
      <c r="D135" s="37"/>
      <c r="E135" s="6"/>
      <c r="F135" s="6"/>
      <c r="G135" s="6"/>
      <c r="H135" s="56"/>
      <c r="I135" s="56"/>
      <c r="J135" s="56"/>
      <c r="K135" s="6"/>
      <c r="L135" s="6"/>
      <c r="M135" s="6"/>
      <c r="N135" s="56"/>
      <c r="O135" s="56"/>
      <c r="P135" s="56"/>
      <c r="Q135" s="6"/>
      <c r="R135" s="6"/>
      <c r="S135" s="6"/>
      <c r="T135" s="2"/>
      <c r="U135" s="2"/>
      <c r="V135" s="2"/>
    </row>
    <row r="136" spans="1:22" x14ac:dyDescent="0.25">
      <c r="A136" s="56"/>
      <c r="B136" s="56"/>
      <c r="C136" s="56"/>
      <c r="D136" s="37"/>
      <c r="E136" s="6"/>
      <c r="F136" s="6"/>
      <c r="G136" s="6"/>
      <c r="H136" s="56"/>
      <c r="I136" s="56"/>
      <c r="J136" s="56"/>
      <c r="K136" s="6"/>
      <c r="L136" s="6"/>
      <c r="M136" s="6"/>
      <c r="N136" s="56"/>
      <c r="O136" s="56"/>
      <c r="P136" s="56"/>
      <c r="Q136" s="6"/>
      <c r="R136" s="6"/>
      <c r="S136" s="6"/>
      <c r="T136" s="2"/>
      <c r="U136" s="2"/>
      <c r="V136" s="2"/>
    </row>
    <row r="137" spans="1:22" x14ac:dyDescent="0.25">
      <c r="A137" s="56"/>
      <c r="B137" s="56"/>
      <c r="C137" s="56"/>
      <c r="D137" s="37"/>
      <c r="E137" s="6"/>
      <c r="F137" s="6"/>
      <c r="G137" s="6"/>
      <c r="H137" s="56"/>
      <c r="I137" s="56"/>
      <c r="J137" s="56"/>
      <c r="K137" s="6"/>
      <c r="L137" s="6"/>
      <c r="M137" s="6"/>
      <c r="N137" s="56"/>
      <c r="O137" s="56"/>
      <c r="P137" s="56"/>
      <c r="Q137" s="6"/>
      <c r="R137" s="6"/>
      <c r="S137" s="6"/>
      <c r="T137" s="2"/>
      <c r="U137" s="2"/>
      <c r="V137" s="2"/>
    </row>
    <row r="138" spans="1:22" x14ac:dyDescent="0.25">
      <c r="A138" s="56"/>
      <c r="B138" s="56"/>
      <c r="C138" s="56"/>
      <c r="D138" s="37"/>
      <c r="E138" s="6"/>
      <c r="F138" s="6"/>
      <c r="G138" s="6"/>
      <c r="H138" s="56"/>
      <c r="I138" s="56"/>
      <c r="J138" s="56"/>
      <c r="K138" s="6"/>
      <c r="L138" s="6"/>
      <c r="M138" s="6"/>
      <c r="N138" s="56"/>
      <c r="O138" s="56"/>
      <c r="P138" s="56"/>
      <c r="Q138" s="6"/>
      <c r="R138" s="6"/>
      <c r="S138" s="6"/>
      <c r="T138" s="2"/>
      <c r="U138" s="2"/>
      <c r="V138" s="2"/>
    </row>
    <row r="139" spans="1:22" x14ac:dyDescent="0.25">
      <c r="A139" s="56"/>
      <c r="B139" s="56"/>
      <c r="C139" s="56"/>
      <c r="D139" s="37"/>
      <c r="E139" s="6"/>
      <c r="F139" s="6"/>
      <c r="G139" s="6"/>
      <c r="H139" s="56"/>
      <c r="I139" s="56"/>
      <c r="J139" s="56"/>
      <c r="K139" s="6"/>
      <c r="L139" s="6"/>
      <c r="M139" s="6"/>
      <c r="N139" s="56"/>
      <c r="O139" s="56"/>
      <c r="P139" s="56"/>
      <c r="Q139" s="6"/>
      <c r="R139" s="6"/>
      <c r="S139" s="6"/>
      <c r="T139" s="2"/>
      <c r="U139" s="2"/>
      <c r="V139" s="2"/>
    </row>
    <row r="140" spans="1:22" x14ac:dyDescent="0.25">
      <c r="A140" s="56"/>
      <c r="B140" s="56"/>
      <c r="C140" s="56"/>
      <c r="D140" s="37"/>
      <c r="E140" s="6"/>
      <c r="F140" s="6"/>
      <c r="G140" s="6"/>
      <c r="H140" s="56"/>
      <c r="I140" s="56"/>
      <c r="J140" s="56"/>
      <c r="K140" s="6"/>
      <c r="L140" s="6"/>
      <c r="M140" s="6"/>
      <c r="N140" s="56"/>
      <c r="O140" s="56"/>
      <c r="P140" s="56"/>
      <c r="Q140" s="6"/>
      <c r="R140" s="6"/>
      <c r="S140" s="6"/>
      <c r="T140" s="2"/>
      <c r="U140" s="2"/>
      <c r="V140" s="2"/>
    </row>
    <row r="141" spans="1:22" x14ac:dyDescent="0.25">
      <c r="A141" s="56"/>
      <c r="B141" s="56"/>
      <c r="C141" s="56"/>
      <c r="D141" s="37"/>
      <c r="E141" s="6"/>
      <c r="F141" s="6"/>
      <c r="G141" s="6"/>
      <c r="H141" s="56"/>
      <c r="I141" s="56"/>
      <c r="J141" s="56"/>
      <c r="K141" s="6"/>
      <c r="L141" s="6"/>
      <c r="M141" s="6"/>
      <c r="N141" s="56"/>
      <c r="O141" s="56"/>
      <c r="P141" s="56"/>
      <c r="Q141" s="6"/>
      <c r="R141" s="6"/>
      <c r="S141" s="6"/>
      <c r="T141" s="2"/>
      <c r="U141" s="2"/>
      <c r="V141" s="2"/>
    </row>
    <row r="142" spans="1:22" x14ac:dyDescent="0.25">
      <c r="A142" s="56"/>
      <c r="B142" s="56"/>
      <c r="C142" s="56"/>
      <c r="D142" s="37"/>
      <c r="E142" s="6"/>
      <c r="F142" s="6"/>
      <c r="G142" s="6"/>
      <c r="H142" s="56"/>
      <c r="I142" s="56"/>
      <c r="J142" s="56"/>
      <c r="K142" s="6"/>
      <c r="L142" s="6"/>
      <c r="M142" s="6"/>
      <c r="N142" s="56"/>
      <c r="O142" s="56"/>
      <c r="P142" s="56"/>
      <c r="Q142" s="6"/>
      <c r="R142" s="6"/>
      <c r="S142" s="6"/>
      <c r="T142" s="2"/>
      <c r="U142" s="2"/>
      <c r="V142" s="2"/>
    </row>
    <row r="143" spans="1:22" x14ac:dyDescent="0.25">
      <c r="A143" s="56"/>
      <c r="B143" s="56"/>
      <c r="C143" s="56"/>
      <c r="D143" s="37"/>
      <c r="E143" s="6"/>
      <c r="F143" s="6"/>
      <c r="G143" s="6"/>
      <c r="H143" s="56"/>
      <c r="I143" s="56"/>
      <c r="J143" s="56"/>
      <c r="K143" s="6"/>
      <c r="L143" s="6"/>
      <c r="M143" s="6"/>
      <c r="N143" s="56"/>
      <c r="O143" s="56"/>
      <c r="P143" s="56"/>
      <c r="Q143" s="6"/>
      <c r="R143" s="6"/>
      <c r="S143" s="6"/>
      <c r="T143" s="2"/>
      <c r="U143" s="2"/>
      <c r="V143" s="2"/>
    </row>
    <row r="144" spans="1:22" x14ac:dyDescent="0.25">
      <c r="A144" s="56"/>
      <c r="B144" s="56"/>
      <c r="C144" s="56"/>
      <c r="D144" s="37"/>
      <c r="E144" s="6"/>
      <c r="F144" s="6"/>
      <c r="G144" s="6"/>
      <c r="H144" s="56"/>
      <c r="I144" s="56"/>
      <c r="J144" s="56"/>
      <c r="K144" s="6"/>
      <c r="L144" s="6"/>
      <c r="M144" s="6"/>
      <c r="N144" s="56"/>
      <c r="O144" s="56"/>
      <c r="P144" s="56"/>
      <c r="Q144" s="6"/>
      <c r="R144" s="6"/>
      <c r="S144" s="6"/>
      <c r="T144" s="2"/>
      <c r="U144" s="2"/>
      <c r="V144" s="2"/>
    </row>
    <row r="145" spans="1:22" x14ac:dyDescent="0.25">
      <c r="A145" s="56"/>
      <c r="B145" s="56"/>
      <c r="C145" s="56"/>
      <c r="D145" s="37"/>
      <c r="E145" s="6"/>
      <c r="F145" s="6"/>
      <c r="G145" s="6"/>
      <c r="H145" s="56"/>
      <c r="I145" s="56"/>
      <c r="J145" s="56"/>
      <c r="K145" s="6"/>
      <c r="L145" s="6"/>
      <c r="M145" s="6"/>
      <c r="N145" s="56"/>
      <c r="O145" s="56"/>
      <c r="P145" s="56"/>
      <c r="Q145" s="6"/>
      <c r="R145" s="6"/>
      <c r="S145" s="6"/>
      <c r="T145" s="2"/>
      <c r="U145" s="2"/>
      <c r="V145" s="2"/>
    </row>
    <row r="146" spans="1:22" x14ac:dyDescent="0.25">
      <c r="A146" s="56"/>
      <c r="B146" s="56"/>
      <c r="C146" s="56"/>
      <c r="D146" s="37"/>
      <c r="E146" s="6"/>
      <c r="F146" s="6"/>
      <c r="G146" s="6"/>
      <c r="H146" s="56"/>
      <c r="I146" s="56"/>
      <c r="J146" s="56"/>
      <c r="K146" s="6"/>
      <c r="L146" s="6"/>
      <c r="M146" s="6"/>
      <c r="N146" s="56"/>
      <c r="O146" s="56"/>
      <c r="P146" s="56"/>
      <c r="Q146" s="6"/>
      <c r="R146" s="6"/>
      <c r="S146" s="6"/>
      <c r="T146" s="2"/>
      <c r="U146" s="2"/>
      <c r="V146" s="2"/>
    </row>
    <row r="147" spans="1:22" x14ac:dyDescent="0.25">
      <c r="A147" s="56"/>
      <c r="B147" s="56"/>
      <c r="C147" s="56"/>
      <c r="D147" s="37"/>
      <c r="E147" s="6"/>
      <c r="F147" s="6"/>
      <c r="G147" s="6"/>
      <c r="H147" s="56"/>
      <c r="I147" s="56"/>
      <c r="J147" s="56"/>
      <c r="K147" s="6"/>
      <c r="L147" s="6"/>
      <c r="M147" s="6"/>
      <c r="N147" s="56"/>
      <c r="O147" s="56"/>
      <c r="P147" s="56"/>
      <c r="Q147" s="6"/>
      <c r="R147" s="6"/>
      <c r="S147" s="6"/>
      <c r="T147" s="2"/>
      <c r="U147" s="2"/>
      <c r="V147" s="2"/>
    </row>
    <row r="148" spans="1:22" x14ac:dyDescent="0.25">
      <c r="A148" s="56"/>
      <c r="B148" s="56"/>
      <c r="C148" s="56"/>
      <c r="D148" s="37"/>
      <c r="E148" s="6"/>
      <c r="F148" s="6"/>
      <c r="G148" s="6"/>
      <c r="H148" s="56"/>
      <c r="I148" s="56"/>
      <c r="J148" s="56"/>
      <c r="K148" s="6"/>
      <c r="L148" s="6"/>
      <c r="M148" s="6"/>
      <c r="N148" s="56"/>
      <c r="O148" s="56"/>
      <c r="P148" s="56"/>
      <c r="Q148" s="6"/>
      <c r="R148" s="6"/>
      <c r="S148" s="6"/>
      <c r="T148" s="2"/>
      <c r="U148" s="2"/>
      <c r="V148" s="2"/>
    </row>
    <row r="149" spans="1:22" x14ac:dyDescent="0.25">
      <c r="A149" s="56"/>
      <c r="B149" s="56"/>
      <c r="C149" s="56"/>
      <c r="D149" s="37"/>
      <c r="E149" s="6"/>
      <c r="F149" s="6"/>
      <c r="G149" s="6"/>
      <c r="H149" s="56"/>
      <c r="I149" s="56"/>
      <c r="J149" s="56"/>
      <c r="K149" s="6"/>
      <c r="L149" s="6"/>
      <c r="M149" s="6"/>
      <c r="N149" s="56"/>
      <c r="O149" s="56"/>
      <c r="P149" s="56"/>
      <c r="Q149" s="6"/>
      <c r="R149" s="6"/>
      <c r="S149" s="6"/>
      <c r="T149" s="2"/>
      <c r="U149" s="2"/>
      <c r="V149" s="2"/>
    </row>
    <row r="150" spans="1:22" x14ac:dyDescent="0.25">
      <c r="A150" s="56"/>
      <c r="B150" s="56"/>
      <c r="C150" s="56"/>
      <c r="D150" s="37"/>
      <c r="E150" s="6"/>
      <c r="F150" s="6"/>
      <c r="G150" s="6"/>
      <c r="H150" s="56"/>
      <c r="I150" s="56"/>
      <c r="J150" s="56"/>
      <c r="K150" s="6"/>
      <c r="L150" s="6"/>
      <c r="M150" s="6"/>
      <c r="N150" s="56"/>
      <c r="O150" s="56"/>
      <c r="P150" s="56"/>
      <c r="Q150" s="6"/>
      <c r="R150" s="6"/>
      <c r="S150" s="6"/>
      <c r="T150" s="2"/>
      <c r="U150" s="2"/>
      <c r="V150" s="2"/>
    </row>
    <row r="151" spans="1:22" x14ac:dyDescent="0.25">
      <c r="A151" s="56"/>
      <c r="B151" s="56"/>
      <c r="C151" s="56"/>
      <c r="D151" s="37"/>
      <c r="E151" s="6"/>
      <c r="F151" s="6"/>
      <c r="G151" s="6"/>
      <c r="H151" s="56"/>
      <c r="I151" s="56"/>
      <c r="J151" s="56"/>
      <c r="K151" s="6"/>
      <c r="L151" s="6"/>
      <c r="M151" s="6"/>
      <c r="N151" s="56"/>
      <c r="O151" s="56"/>
      <c r="P151" s="56"/>
      <c r="Q151" s="6"/>
      <c r="R151" s="6"/>
      <c r="S151" s="6"/>
      <c r="T151" s="2"/>
      <c r="U151" s="2"/>
      <c r="V151" s="2"/>
    </row>
    <row r="152" spans="1:22" x14ac:dyDescent="0.25">
      <c r="A152" s="56"/>
      <c r="B152" s="56"/>
      <c r="C152" s="56"/>
      <c r="D152" s="37"/>
      <c r="E152" s="6"/>
      <c r="F152" s="6"/>
      <c r="G152" s="6"/>
      <c r="H152" s="56"/>
      <c r="I152" s="56"/>
      <c r="J152" s="56"/>
      <c r="K152" s="6"/>
      <c r="L152" s="6"/>
      <c r="M152" s="6"/>
      <c r="N152" s="56"/>
      <c r="O152" s="56"/>
      <c r="P152" s="56"/>
      <c r="Q152" s="6"/>
      <c r="R152" s="6"/>
      <c r="S152" s="6"/>
      <c r="T152" s="2"/>
      <c r="U152" s="2"/>
      <c r="V152" s="2"/>
    </row>
    <row r="153" spans="1:22" x14ac:dyDescent="0.25">
      <c r="A153" s="56"/>
      <c r="B153" s="56"/>
      <c r="C153" s="56"/>
      <c r="D153" s="37"/>
      <c r="E153" s="6"/>
      <c r="F153" s="6"/>
      <c r="G153" s="6"/>
      <c r="H153" s="56"/>
      <c r="I153" s="56"/>
      <c r="J153" s="56"/>
      <c r="K153" s="6"/>
      <c r="L153" s="6"/>
      <c r="M153" s="6"/>
      <c r="N153" s="56"/>
      <c r="O153" s="56"/>
      <c r="P153" s="56"/>
      <c r="Q153" s="6"/>
      <c r="R153" s="6"/>
      <c r="S153" s="6"/>
      <c r="T153" s="2"/>
      <c r="U153" s="2"/>
      <c r="V153" s="2"/>
    </row>
    <row r="154" spans="1:22" x14ac:dyDescent="0.25">
      <c r="A154" s="56"/>
      <c r="B154" s="56"/>
      <c r="C154" s="56"/>
      <c r="D154" s="37"/>
      <c r="E154" s="6"/>
      <c r="F154" s="6"/>
      <c r="G154" s="6"/>
      <c r="H154" s="56"/>
      <c r="I154" s="56"/>
      <c r="J154" s="56"/>
      <c r="K154" s="6"/>
      <c r="L154" s="6"/>
      <c r="M154" s="6"/>
      <c r="N154" s="56"/>
      <c r="O154" s="56"/>
      <c r="P154" s="56"/>
      <c r="Q154" s="6"/>
      <c r="R154" s="6"/>
      <c r="S154" s="6"/>
      <c r="T154" s="2"/>
      <c r="U154" s="2"/>
      <c r="V154" s="2"/>
    </row>
    <row r="155" spans="1:22" x14ac:dyDescent="0.25">
      <c r="A155" s="56"/>
      <c r="B155" s="56"/>
      <c r="C155" s="56"/>
      <c r="D155" s="37"/>
      <c r="E155" s="6"/>
      <c r="F155" s="6"/>
      <c r="G155" s="6"/>
      <c r="H155" s="56"/>
      <c r="I155" s="56"/>
      <c r="J155" s="56"/>
      <c r="K155" s="6"/>
      <c r="L155" s="6"/>
      <c r="M155" s="6"/>
      <c r="N155" s="56"/>
      <c r="O155" s="56"/>
      <c r="P155" s="56"/>
      <c r="Q155" s="6"/>
      <c r="R155" s="6"/>
      <c r="S155" s="6"/>
      <c r="T155" s="2"/>
      <c r="U155" s="2"/>
      <c r="V155" s="2"/>
    </row>
    <row r="156" spans="1:22" x14ac:dyDescent="0.25">
      <c r="A156" s="56"/>
      <c r="B156" s="56"/>
      <c r="C156" s="56"/>
      <c r="D156" s="37"/>
      <c r="E156" s="6"/>
      <c r="F156" s="6"/>
      <c r="G156" s="6"/>
      <c r="H156" s="56"/>
      <c r="I156" s="56"/>
      <c r="J156" s="56"/>
      <c r="K156" s="6"/>
      <c r="L156" s="6"/>
      <c r="M156" s="6"/>
      <c r="N156" s="56"/>
      <c r="O156" s="56"/>
      <c r="P156" s="56"/>
      <c r="Q156" s="6"/>
      <c r="R156" s="6"/>
      <c r="S156" s="6"/>
      <c r="T156" s="2"/>
      <c r="U156" s="2"/>
      <c r="V156" s="2"/>
    </row>
    <row r="157" spans="1:22" x14ac:dyDescent="0.25">
      <c r="A157" s="56"/>
      <c r="B157" s="56"/>
      <c r="C157" s="56"/>
      <c r="D157" s="37"/>
      <c r="E157" s="6"/>
      <c r="F157" s="6"/>
      <c r="G157" s="6"/>
      <c r="H157" s="56"/>
      <c r="I157" s="56"/>
      <c r="J157" s="56"/>
      <c r="K157" s="6"/>
      <c r="L157" s="6"/>
      <c r="M157" s="6"/>
      <c r="N157" s="56"/>
      <c r="O157" s="56"/>
      <c r="P157" s="56"/>
      <c r="Q157" s="6"/>
      <c r="R157" s="6"/>
      <c r="S157" s="6"/>
      <c r="T157" s="2"/>
      <c r="U157" s="2"/>
      <c r="V157" s="2"/>
    </row>
    <row r="158" spans="1:22" x14ac:dyDescent="0.25">
      <c r="A158" s="56"/>
      <c r="B158" s="56"/>
      <c r="C158" s="56"/>
      <c r="D158" s="37"/>
      <c r="E158" s="6"/>
      <c r="F158" s="6"/>
      <c r="G158" s="6"/>
      <c r="H158" s="56"/>
      <c r="I158" s="56"/>
      <c r="J158" s="56"/>
      <c r="K158" s="6"/>
      <c r="L158" s="6"/>
      <c r="M158" s="6"/>
      <c r="N158" s="56"/>
      <c r="O158" s="56"/>
      <c r="P158" s="56"/>
      <c r="Q158" s="6"/>
      <c r="R158" s="6"/>
      <c r="S158" s="6"/>
      <c r="T158" s="2"/>
      <c r="U158" s="2"/>
      <c r="V158" s="2"/>
    </row>
    <row r="159" spans="1:22" x14ac:dyDescent="0.25">
      <c r="A159" s="56"/>
      <c r="B159" s="56"/>
      <c r="C159" s="56"/>
      <c r="D159" s="37"/>
      <c r="E159" s="6"/>
      <c r="F159" s="6"/>
      <c r="G159" s="6"/>
      <c r="H159" s="56"/>
      <c r="I159" s="56"/>
      <c r="J159" s="56"/>
      <c r="K159" s="6"/>
      <c r="L159" s="6"/>
      <c r="M159" s="6"/>
      <c r="N159" s="56"/>
      <c r="O159" s="56"/>
      <c r="P159" s="56"/>
      <c r="Q159" s="6"/>
      <c r="R159" s="6"/>
      <c r="S159" s="6"/>
      <c r="T159" s="2"/>
      <c r="U159" s="2"/>
      <c r="V159" s="2"/>
    </row>
    <row r="160" spans="1:22" x14ac:dyDescent="0.25">
      <c r="A160" s="56"/>
      <c r="B160" s="56"/>
      <c r="C160" s="56"/>
      <c r="D160" s="37"/>
      <c r="E160" s="6"/>
      <c r="F160" s="6"/>
      <c r="G160" s="6"/>
      <c r="H160" s="56"/>
      <c r="I160" s="56"/>
      <c r="J160" s="56"/>
      <c r="K160" s="6"/>
      <c r="L160" s="6"/>
      <c r="M160" s="6"/>
      <c r="N160" s="56"/>
      <c r="O160" s="56"/>
      <c r="P160" s="56"/>
      <c r="Q160" s="6"/>
      <c r="R160" s="6"/>
      <c r="S160" s="6"/>
      <c r="T160" s="2"/>
      <c r="U160" s="2"/>
      <c r="V160" s="2"/>
    </row>
    <row r="161" spans="1:22" x14ac:dyDescent="0.25">
      <c r="A161" s="56"/>
      <c r="B161" s="56"/>
      <c r="C161" s="56"/>
      <c r="D161" s="37"/>
      <c r="E161" s="6"/>
      <c r="F161" s="6"/>
      <c r="G161" s="6"/>
      <c r="H161" s="56"/>
      <c r="I161" s="56"/>
      <c r="J161" s="56"/>
      <c r="K161" s="6"/>
      <c r="L161" s="6"/>
      <c r="M161" s="6"/>
      <c r="N161" s="56"/>
      <c r="O161" s="56"/>
      <c r="P161" s="56"/>
      <c r="Q161" s="6"/>
      <c r="R161" s="6"/>
      <c r="S161" s="6"/>
      <c r="T161" s="2"/>
      <c r="U161" s="2"/>
      <c r="V161" s="2"/>
    </row>
    <row r="162" spans="1:22" x14ac:dyDescent="0.25">
      <c r="A162" s="56"/>
      <c r="B162" s="56"/>
      <c r="C162" s="56"/>
      <c r="D162" s="37"/>
      <c r="E162" s="6"/>
      <c r="F162" s="6"/>
      <c r="G162" s="6"/>
      <c r="H162" s="56"/>
      <c r="I162" s="56"/>
      <c r="J162" s="56"/>
      <c r="K162" s="6"/>
      <c r="L162" s="6"/>
      <c r="M162" s="6"/>
      <c r="N162" s="56"/>
      <c r="O162" s="56"/>
      <c r="P162" s="56"/>
      <c r="Q162" s="6"/>
      <c r="R162" s="6"/>
      <c r="S162" s="6"/>
      <c r="T162" s="2"/>
      <c r="U162" s="2"/>
      <c r="V162" s="2"/>
    </row>
    <row r="163" spans="1:22" x14ac:dyDescent="0.25">
      <c r="A163" s="56"/>
      <c r="B163" s="56"/>
      <c r="C163" s="56"/>
      <c r="D163" s="37"/>
      <c r="E163" s="6"/>
      <c r="F163" s="6"/>
      <c r="G163" s="6"/>
      <c r="H163" s="56"/>
      <c r="I163" s="56"/>
      <c r="J163" s="56"/>
      <c r="K163" s="6"/>
      <c r="L163" s="6"/>
      <c r="M163" s="6"/>
      <c r="N163" s="56"/>
      <c r="O163" s="56"/>
      <c r="P163" s="56"/>
      <c r="Q163" s="6"/>
      <c r="R163" s="6"/>
      <c r="S163" s="6"/>
      <c r="T163" s="2"/>
      <c r="U163" s="2"/>
      <c r="V163" s="2"/>
    </row>
    <row r="164" spans="1:22" x14ac:dyDescent="0.25">
      <c r="A164" s="56"/>
      <c r="B164" s="56"/>
      <c r="C164" s="56"/>
      <c r="D164" s="37"/>
      <c r="E164" s="6"/>
      <c r="F164" s="6"/>
      <c r="G164" s="6"/>
      <c r="H164" s="56"/>
      <c r="I164" s="56"/>
      <c r="J164" s="56"/>
      <c r="K164" s="6"/>
      <c r="L164" s="6"/>
      <c r="M164" s="6"/>
      <c r="N164" s="56"/>
      <c r="O164" s="56"/>
      <c r="P164" s="56"/>
      <c r="Q164" s="6"/>
      <c r="R164" s="6"/>
      <c r="S164" s="6"/>
      <c r="T164" s="2"/>
      <c r="U164" s="2"/>
      <c r="V164" s="2"/>
    </row>
    <row r="165" spans="1:22" x14ac:dyDescent="0.25">
      <c r="A165" s="56"/>
      <c r="B165" s="56"/>
      <c r="C165" s="56"/>
      <c r="D165" s="37"/>
      <c r="E165" s="6"/>
      <c r="F165" s="6"/>
      <c r="G165" s="6"/>
      <c r="H165" s="56"/>
      <c r="I165" s="56"/>
      <c r="J165" s="56"/>
      <c r="K165" s="6"/>
      <c r="L165" s="6"/>
      <c r="M165" s="6"/>
      <c r="N165" s="56"/>
      <c r="O165" s="56"/>
      <c r="P165" s="56"/>
      <c r="Q165" s="6"/>
      <c r="R165" s="6"/>
      <c r="S165" s="6"/>
      <c r="T165" s="2"/>
      <c r="U165" s="2"/>
      <c r="V165" s="2"/>
    </row>
    <row r="166" spans="1:22" x14ac:dyDescent="0.25">
      <c r="A166" s="56"/>
      <c r="B166" s="56"/>
      <c r="C166" s="56"/>
      <c r="D166" s="37"/>
      <c r="E166" s="6"/>
      <c r="F166" s="6"/>
      <c r="G166" s="6"/>
      <c r="H166" s="56"/>
      <c r="I166" s="56"/>
      <c r="J166" s="56"/>
      <c r="K166" s="6"/>
      <c r="L166" s="6"/>
      <c r="M166" s="6"/>
      <c r="N166" s="56"/>
      <c r="O166" s="56"/>
      <c r="P166" s="56"/>
      <c r="Q166" s="6"/>
      <c r="R166" s="6"/>
      <c r="S166" s="6"/>
      <c r="T166" s="2"/>
      <c r="U166" s="2"/>
      <c r="V166" s="2"/>
    </row>
    <row r="167" spans="1:22" x14ac:dyDescent="0.25">
      <c r="A167" s="56"/>
      <c r="B167" s="56"/>
      <c r="C167" s="56"/>
      <c r="D167" s="37"/>
      <c r="E167" s="6"/>
      <c r="F167" s="6"/>
      <c r="G167" s="6"/>
      <c r="H167" s="56"/>
      <c r="I167" s="56"/>
      <c r="J167" s="56"/>
      <c r="K167" s="6"/>
      <c r="L167" s="6"/>
      <c r="M167" s="6"/>
      <c r="N167" s="56"/>
      <c r="O167" s="56"/>
      <c r="P167" s="56"/>
      <c r="Q167" s="6"/>
      <c r="R167" s="6"/>
      <c r="S167" s="6"/>
      <c r="T167" s="2"/>
      <c r="U167" s="2"/>
      <c r="V167" s="2"/>
    </row>
    <row r="168" spans="1:22" x14ac:dyDescent="0.25">
      <c r="A168" s="56"/>
      <c r="B168" s="56"/>
      <c r="C168" s="56"/>
      <c r="D168" s="37"/>
      <c r="E168" s="6"/>
      <c r="F168" s="6"/>
      <c r="G168" s="6"/>
      <c r="H168" s="56"/>
      <c r="I168" s="56"/>
      <c r="J168" s="56"/>
      <c r="K168" s="6"/>
      <c r="L168" s="6"/>
      <c r="M168" s="6"/>
      <c r="N168" s="56"/>
      <c r="O168" s="56"/>
      <c r="P168" s="56"/>
      <c r="Q168" s="6"/>
      <c r="R168" s="6"/>
      <c r="S168" s="6"/>
      <c r="T168" s="2"/>
      <c r="U168" s="2"/>
      <c r="V168" s="2"/>
    </row>
    <row r="169" spans="1:22" x14ac:dyDescent="0.25">
      <c r="A169" s="56"/>
      <c r="B169" s="56"/>
      <c r="C169" s="56"/>
      <c r="D169" s="37"/>
      <c r="E169" s="6"/>
      <c r="F169" s="6"/>
      <c r="G169" s="6"/>
      <c r="H169" s="56"/>
      <c r="I169" s="56"/>
      <c r="J169" s="56"/>
      <c r="K169" s="6"/>
      <c r="L169" s="6"/>
      <c r="M169" s="6"/>
      <c r="N169" s="56"/>
      <c r="O169" s="56"/>
      <c r="P169" s="56"/>
      <c r="Q169" s="6"/>
      <c r="R169" s="6"/>
      <c r="S169" s="6"/>
      <c r="T169" s="2"/>
      <c r="U169" s="2"/>
      <c r="V169" s="2"/>
    </row>
    <row r="170" spans="1:22" x14ac:dyDescent="0.25">
      <c r="A170" s="56"/>
      <c r="B170" s="56"/>
      <c r="C170" s="56"/>
      <c r="D170" s="37"/>
      <c r="E170" s="6"/>
      <c r="F170" s="6"/>
      <c r="G170" s="6"/>
      <c r="H170" s="56"/>
      <c r="I170" s="56"/>
      <c r="J170" s="56"/>
      <c r="K170" s="6"/>
      <c r="L170" s="6"/>
      <c r="M170" s="6"/>
      <c r="N170" s="56"/>
      <c r="O170" s="56"/>
      <c r="P170" s="56"/>
      <c r="Q170" s="6"/>
      <c r="R170" s="6"/>
      <c r="S170" s="6"/>
      <c r="T170" s="2"/>
      <c r="U170" s="2"/>
      <c r="V170" s="2"/>
    </row>
    <row r="171" spans="1:22" x14ac:dyDescent="0.25">
      <c r="A171" s="56"/>
      <c r="B171" s="56"/>
      <c r="C171" s="56"/>
      <c r="D171" s="37"/>
      <c r="E171" s="6"/>
      <c r="F171" s="6"/>
      <c r="G171" s="6"/>
      <c r="H171" s="56"/>
      <c r="I171" s="56"/>
      <c r="J171" s="56"/>
      <c r="K171" s="6"/>
      <c r="L171" s="6"/>
      <c r="M171" s="6"/>
      <c r="N171" s="56"/>
      <c r="O171" s="56"/>
      <c r="P171" s="56"/>
      <c r="Q171" s="6"/>
      <c r="R171" s="6"/>
      <c r="S171" s="6"/>
      <c r="T171" s="2"/>
      <c r="U171" s="2"/>
      <c r="V171" s="2"/>
    </row>
    <row r="172" spans="1:22" x14ac:dyDescent="0.25">
      <c r="A172" s="56"/>
      <c r="B172" s="56"/>
      <c r="C172" s="56"/>
      <c r="D172" s="37"/>
      <c r="E172" s="6"/>
      <c r="F172" s="6"/>
      <c r="G172" s="6"/>
      <c r="H172" s="56"/>
      <c r="I172" s="56"/>
      <c r="J172" s="56"/>
      <c r="K172" s="6"/>
      <c r="L172" s="6"/>
      <c r="M172" s="6"/>
      <c r="N172" s="56"/>
      <c r="O172" s="56"/>
      <c r="P172" s="56"/>
      <c r="Q172" s="6"/>
      <c r="R172" s="6"/>
      <c r="S172" s="6"/>
      <c r="T172" s="2"/>
      <c r="U172" s="2"/>
      <c r="V172" s="2"/>
    </row>
    <row r="173" spans="1:22" x14ac:dyDescent="0.25">
      <c r="A173" s="56"/>
      <c r="B173" s="56"/>
      <c r="C173" s="56"/>
      <c r="D173" s="37"/>
      <c r="E173" s="6"/>
      <c r="F173" s="6"/>
      <c r="G173" s="6"/>
      <c r="H173" s="56"/>
      <c r="I173" s="56"/>
      <c r="J173" s="56"/>
      <c r="K173" s="6"/>
      <c r="L173" s="6"/>
      <c r="M173" s="6"/>
      <c r="N173" s="56"/>
      <c r="O173" s="56"/>
      <c r="P173" s="56"/>
      <c r="Q173" s="6"/>
      <c r="R173" s="6"/>
      <c r="S173" s="6"/>
      <c r="T173" s="2"/>
      <c r="U173" s="2"/>
      <c r="V173" s="2"/>
    </row>
    <row r="174" spans="1:22" x14ac:dyDescent="0.25">
      <c r="A174" s="56"/>
      <c r="B174" s="56"/>
      <c r="C174" s="56"/>
      <c r="D174" s="37"/>
      <c r="E174" s="6"/>
      <c r="F174" s="6"/>
      <c r="G174" s="6"/>
      <c r="H174" s="56"/>
      <c r="I174" s="56"/>
      <c r="J174" s="56"/>
      <c r="K174" s="6"/>
      <c r="L174" s="6"/>
      <c r="M174" s="6"/>
      <c r="N174" s="56"/>
      <c r="O174" s="56"/>
      <c r="P174" s="56"/>
      <c r="Q174" s="6"/>
      <c r="R174" s="6"/>
      <c r="S174" s="6"/>
      <c r="T174" s="2"/>
      <c r="U174" s="2"/>
      <c r="V174" s="2"/>
    </row>
    <row r="175" spans="1:22" x14ac:dyDescent="0.25">
      <c r="A175" s="56"/>
      <c r="B175" s="56"/>
      <c r="C175" s="56"/>
      <c r="D175" s="37"/>
      <c r="E175" s="6"/>
      <c r="F175" s="6"/>
      <c r="G175" s="6"/>
      <c r="H175" s="56"/>
      <c r="I175" s="56"/>
      <c r="J175" s="56"/>
      <c r="K175" s="6"/>
      <c r="L175" s="6"/>
      <c r="M175" s="6"/>
      <c r="N175" s="56"/>
      <c r="O175" s="56"/>
      <c r="P175" s="56"/>
      <c r="Q175" s="6"/>
      <c r="R175" s="6"/>
      <c r="S175" s="6"/>
      <c r="T175" s="2"/>
      <c r="U175" s="2"/>
      <c r="V175" s="2"/>
    </row>
    <row r="176" spans="1:22" x14ac:dyDescent="0.25">
      <c r="A176" s="56"/>
      <c r="B176" s="56"/>
      <c r="C176" s="56"/>
      <c r="D176" s="37"/>
      <c r="E176" s="6"/>
      <c r="F176" s="6"/>
      <c r="G176" s="6"/>
      <c r="H176" s="56"/>
      <c r="I176" s="56"/>
      <c r="J176" s="56"/>
      <c r="K176" s="6"/>
      <c r="L176" s="6"/>
      <c r="M176" s="6"/>
      <c r="N176" s="56"/>
      <c r="O176" s="56"/>
      <c r="P176" s="56"/>
      <c r="Q176" s="6"/>
      <c r="R176" s="6"/>
      <c r="S176" s="6"/>
      <c r="T176" s="2"/>
      <c r="U176" s="2"/>
      <c r="V176" s="2"/>
    </row>
    <row r="177" spans="1:22" x14ac:dyDescent="0.25">
      <c r="A177" s="56"/>
      <c r="B177" s="56"/>
      <c r="C177" s="56"/>
      <c r="D177" s="37"/>
      <c r="E177" s="6"/>
      <c r="F177" s="6"/>
      <c r="G177" s="6"/>
      <c r="H177" s="56"/>
      <c r="I177" s="56"/>
      <c r="J177" s="56"/>
      <c r="K177" s="6"/>
      <c r="L177" s="6"/>
      <c r="M177" s="6"/>
      <c r="N177" s="56"/>
      <c r="O177" s="56"/>
      <c r="P177" s="56"/>
      <c r="Q177" s="6"/>
      <c r="R177" s="6"/>
      <c r="S177" s="6"/>
      <c r="T177" s="2"/>
      <c r="U177" s="2"/>
      <c r="V177" s="2"/>
    </row>
    <row r="178" spans="1:22" x14ac:dyDescent="0.25">
      <c r="A178" s="56"/>
      <c r="B178" s="56"/>
      <c r="C178" s="56"/>
      <c r="D178" s="37"/>
      <c r="E178" s="6"/>
      <c r="F178" s="6"/>
      <c r="G178" s="6"/>
      <c r="H178" s="56"/>
      <c r="I178" s="56"/>
      <c r="J178" s="56"/>
      <c r="K178" s="6"/>
      <c r="L178" s="6"/>
      <c r="M178" s="6"/>
      <c r="N178" s="56"/>
      <c r="O178" s="56"/>
      <c r="P178" s="56"/>
      <c r="Q178" s="6"/>
      <c r="R178" s="6"/>
      <c r="S178" s="6"/>
      <c r="T178" s="2"/>
      <c r="U178" s="2"/>
      <c r="V178" s="2"/>
    </row>
    <row r="179" spans="1:22" x14ac:dyDescent="0.25">
      <c r="A179" s="56"/>
      <c r="B179" s="56"/>
      <c r="C179" s="56"/>
      <c r="D179" s="37"/>
      <c r="E179" s="6"/>
      <c r="F179" s="6"/>
      <c r="G179" s="6"/>
      <c r="H179" s="56"/>
      <c r="I179" s="56"/>
      <c r="J179" s="56"/>
      <c r="K179" s="6"/>
      <c r="L179" s="6"/>
      <c r="M179" s="6"/>
      <c r="N179" s="56"/>
      <c r="O179" s="56"/>
      <c r="P179" s="56"/>
      <c r="Q179" s="6"/>
      <c r="R179" s="6"/>
      <c r="S179" s="6"/>
      <c r="T179" s="2"/>
      <c r="U179" s="2"/>
      <c r="V179" s="2"/>
    </row>
    <row r="180" spans="1:22" x14ac:dyDescent="0.25">
      <c r="A180" s="56"/>
      <c r="B180" s="56"/>
      <c r="C180" s="56"/>
      <c r="D180" s="37"/>
      <c r="E180" s="6"/>
      <c r="F180" s="6"/>
      <c r="G180" s="6"/>
      <c r="H180" s="56"/>
      <c r="I180" s="56"/>
      <c r="J180" s="56"/>
      <c r="K180" s="6"/>
      <c r="L180" s="6"/>
      <c r="M180" s="6"/>
      <c r="N180" s="56"/>
      <c r="O180" s="56"/>
      <c r="P180" s="56"/>
      <c r="Q180" s="6"/>
      <c r="R180" s="6"/>
      <c r="S180" s="6"/>
      <c r="T180" s="2"/>
      <c r="U180" s="2"/>
      <c r="V180" s="2"/>
    </row>
    <row r="181" spans="1:22" x14ac:dyDescent="0.25">
      <c r="A181" s="56"/>
      <c r="B181" s="56"/>
      <c r="C181" s="56"/>
      <c r="D181" s="37"/>
      <c r="E181" s="6"/>
      <c r="F181" s="6"/>
      <c r="G181" s="6"/>
      <c r="H181" s="56"/>
      <c r="I181" s="56"/>
      <c r="J181" s="56"/>
      <c r="K181" s="6"/>
      <c r="L181" s="6"/>
      <c r="M181" s="6"/>
      <c r="N181" s="56"/>
      <c r="O181" s="56"/>
      <c r="P181" s="56"/>
      <c r="Q181" s="6"/>
      <c r="R181" s="6"/>
      <c r="S181" s="6"/>
      <c r="T181" s="2"/>
      <c r="U181" s="2"/>
      <c r="V181" s="2"/>
    </row>
    <row r="182" spans="1:22" x14ac:dyDescent="0.25">
      <c r="A182" s="56"/>
      <c r="B182" s="56"/>
      <c r="C182" s="56"/>
      <c r="D182" s="37"/>
      <c r="E182" s="6"/>
      <c r="F182" s="6"/>
      <c r="G182" s="6"/>
      <c r="H182" s="56"/>
      <c r="I182" s="56"/>
      <c r="J182" s="56"/>
      <c r="K182" s="6"/>
      <c r="L182" s="6"/>
      <c r="M182" s="6"/>
      <c r="N182" s="56"/>
      <c r="O182" s="56"/>
      <c r="P182" s="56"/>
      <c r="Q182" s="6"/>
      <c r="R182" s="6"/>
      <c r="S182" s="6"/>
      <c r="T182" s="2"/>
      <c r="U182" s="2"/>
      <c r="V182" s="2"/>
    </row>
    <row r="183" spans="1:22" x14ac:dyDescent="0.25">
      <c r="A183" s="56"/>
      <c r="B183" s="56"/>
      <c r="C183" s="56"/>
      <c r="D183" s="37"/>
      <c r="E183" s="6"/>
      <c r="F183" s="6"/>
      <c r="G183" s="6"/>
      <c r="H183" s="56"/>
      <c r="I183" s="56"/>
      <c r="J183" s="56"/>
      <c r="K183" s="6"/>
      <c r="L183" s="6"/>
      <c r="M183" s="6"/>
      <c r="N183" s="56"/>
      <c r="O183" s="56"/>
      <c r="P183" s="56"/>
      <c r="Q183" s="6"/>
      <c r="R183" s="6"/>
      <c r="S183" s="6"/>
      <c r="T183" s="2"/>
      <c r="U183" s="2"/>
      <c r="V183" s="2"/>
    </row>
    <row r="184" spans="1:22" x14ac:dyDescent="0.25">
      <c r="A184" s="56"/>
      <c r="B184" s="56"/>
      <c r="C184" s="56"/>
      <c r="D184" s="37"/>
      <c r="E184" s="6"/>
      <c r="F184" s="6"/>
      <c r="G184" s="6"/>
      <c r="H184" s="56"/>
      <c r="I184" s="56"/>
      <c r="J184" s="56"/>
      <c r="K184" s="6"/>
      <c r="L184" s="6"/>
      <c r="M184" s="6"/>
      <c r="N184" s="56"/>
      <c r="O184" s="56"/>
      <c r="P184" s="56"/>
      <c r="Q184" s="6"/>
      <c r="R184" s="6"/>
      <c r="S184" s="6"/>
      <c r="T184" s="2"/>
      <c r="U184" s="2"/>
      <c r="V184" s="2"/>
    </row>
    <row r="185" spans="1:22" x14ac:dyDescent="0.25">
      <c r="A185" s="56"/>
      <c r="B185" s="56"/>
      <c r="C185" s="56"/>
      <c r="D185" s="37"/>
      <c r="E185" s="6"/>
      <c r="F185" s="6"/>
      <c r="G185" s="6"/>
      <c r="H185" s="56"/>
      <c r="I185" s="56"/>
      <c r="J185" s="56"/>
      <c r="K185" s="6"/>
      <c r="L185" s="6"/>
      <c r="M185" s="6"/>
      <c r="N185" s="56"/>
      <c r="O185" s="56"/>
      <c r="P185" s="56"/>
      <c r="Q185" s="6"/>
      <c r="R185" s="6"/>
      <c r="S185" s="6"/>
      <c r="T185" s="2"/>
      <c r="U185" s="2"/>
      <c r="V185" s="2"/>
    </row>
    <row r="186" spans="1:22" x14ac:dyDescent="0.25">
      <c r="A186" s="56"/>
      <c r="B186" s="56"/>
      <c r="C186" s="56"/>
      <c r="D186" s="37"/>
      <c r="E186" s="6"/>
      <c r="F186" s="6"/>
      <c r="G186" s="6"/>
      <c r="H186" s="56"/>
      <c r="I186" s="56"/>
      <c r="J186" s="56"/>
      <c r="K186" s="6"/>
      <c r="L186" s="6"/>
      <c r="M186" s="6"/>
      <c r="N186" s="56"/>
      <c r="O186" s="56"/>
      <c r="P186" s="56"/>
      <c r="Q186" s="6"/>
      <c r="R186" s="6"/>
      <c r="S186" s="6"/>
      <c r="T186" s="2"/>
      <c r="U186" s="2"/>
      <c r="V186" s="2"/>
    </row>
    <row r="187" spans="1:22" x14ac:dyDescent="0.25">
      <c r="A187" s="56"/>
      <c r="B187" s="56"/>
      <c r="C187" s="56"/>
      <c r="D187" s="37"/>
      <c r="E187" s="6"/>
      <c r="F187" s="6"/>
      <c r="G187" s="6"/>
      <c r="H187" s="56"/>
      <c r="I187" s="56"/>
      <c r="J187" s="56"/>
      <c r="K187" s="6"/>
      <c r="L187" s="6"/>
      <c r="M187" s="6"/>
      <c r="N187" s="56"/>
      <c r="O187" s="56"/>
      <c r="P187" s="56"/>
      <c r="Q187" s="6"/>
      <c r="R187" s="6"/>
      <c r="S187" s="6"/>
      <c r="T187" s="2"/>
      <c r="U187" s="2"/>
      <c r="V187" s="2"/>
    </row>
    <row r="188" spans="1:22" x14ac:dyDescent="0.25">
      <c r="A188" s="56"/>
      <c r="B188" s="56"/>
      <c r="C188" s="56"/>
      <c r="D188" s="37"/>
      <c r="E188" s="6"/>
      <c r="F188" s="6"/>
      <c r="G188" s="6"/>
      <c r="H188" s="56"/>
      <c r="I188" s="56"/>
      <c r="J188" s="56"/>
      <c r="K188" s="6"/>
      <c r="L188" s="6"/>
      <c r="M188" s="6"/>
      <c r="N188" s="56"/>
      <c r="O188" s="56"/>
      <c r="P188" s="56"/>
      <c r="Q188" s="6"/>
      <c r="R188" s="6"/>
      <c r="S188" s="6"/>
      <c r="T188" s="2"/>
      <c r="U188" s="2"/>
      <c r="V188" s="2"/>
    </row>
    <row r="189" spans="1:22" x14ac:dyDescent="0.25">
      <c r="A189" s="56"/>
      <c r="B189" s="56"/>
      <c r="C189" s="56"/>
      <c r="D189" s="37"/>
      <c r="E189" s="6"/>
      <c r="F189" s="6"/>
      <c r="G189" s="6"/>
      <c r="H189" s="56"/>
      <c r="I189" s="56"/>
      <c r="J189" s="56"/>
      <c r="K189" s="6"/>
      <c r="L189" s="6"/>
      <c r="M189" s="6"/>
      <c r="N189" s="56"/>
      <c r="O189" s="56"/>
      <c r="P189" s="56"/>
      <c r="Q189" s="6"/>
      <c r="R189" s="6"/>
      <c r="S189" s="6"/>
      <c r="T189" s="2"/>
      <c r="U189" s="2"/>
      <c r="V189" s="2"/>
    </row>
    <row r="190" spans="1:22" x14ac:dyDescent="0.25">
      <c r="A190" s="56"/>
      <c r="B190" s="56"/>
      <c r="C190" s="56"/>
      <c r="D190" s="37"/>
      <c r="E190" s="6"/>
      <c r="F190" s="6"/>
      <c r="G190" s="6"/>
      <c r="H190" s="56"/>
      <c r="I190" s="56"/>
      <c r="J190" s="56"/>
      <c r="K190" s="6"/>
      <c r="L190" s="6"/>
      <c r="M190" s="6"/>
      <c r="N190" s="56"/>
      <c r="O190" s="56"/>
      <c r="P190" s="56"/>
      <c r="Q190" s="6"/>
      <c r="R190" s="6"/>
      <c r="S190" s="6"/>
      <c r="T190" s="2"/>
      <c r="U190" s="2"/>
      <c r="V190" s="2"/>
    </row>
    <row r="191" spans="1:22" x14ac:dyDescent="0.25">
      <c r="A191" s="56"/>
      <c r="B191" s="56"/>
      <c r="C191" s="56"/>
      <c r="D191" s="37"/>
      <c r="E191" s="6"/>
      <c r="F191" s="6"/>
      <c r="G191" s="6"/>
      <c r="H191" s="56"/>
      <c r="I191" s="56"/>
      <c r="J191" s="56"/>
      <c r="K191" s="6"/>
      <c r="L191" s="6"/>
      <c r="M191" s="6"/>
      <c r="N191" s="56"/>
      <c r="O191" s="56"/>
      <c r="P191" s="56"/>
      <c r="Q191" s="6"/>
      <c r="R191" s="6"/>
      <c r="S191" s="6"/>
      <c r="T191" s="2"/>
      <c r="U191" s="2"/>
      <c r="V191" s="2"/>
    </row>
    <row r="192" spans="1:22" x14ac:dyDescent="0.25">
      <c r="A192" s="56"/>
      <c r="B192" s="56"/>
      <c r="C192" s="56"/>
      <c r="D192" s="37"/>
      <c r="E192" s="6"/>
      <c r="F192" s="6"/>
      <c r="G192" s="6"/>
      <c r="H192" s="56"/>
      <c r="I192" s="56"/>
      <c r="J192" s="56"/>
      <c r="K192" s="6"/>
      <c r="L192" s="6"/>
      <c r="M192" s="6"/>
      <c r="N192" s="56"/>
      <c r="O192" s="56"/>
      <c r="P192" s="56"/>
      <c r="Q192" s="6"/>
      <c r="R192" s="6"/>
      <c r="S192" s="6"/>
      <c r="T192" s="2"/>
      <c r="U192" s="2"/>
      <c r="V192" s="2"/>
    </row>
    <row r="193" spans="1:22" x14ac:dyDescent="0.25">
      <c r="A193" s="56"/>
      <c r="B193" s="56"/>
      <c r="C193" s="56"/>
      <c r="D193" s="37"/>
      <c r="E193" s="6"/>
      <c r="F193" s="6"/>
      <c r="G193" s="6"/>
      <c r="H193" s="56"/>
      <c r="I193" s="56"/>
      <c r="J193" s="56"/>
      <c r="K193" s="6"/>
      <c r="L193" s="6"/>
      <c r="M193" s="6"/>
      <c r="N193" s="56"/>
      <c r="O193" s="56"/>
      <c r="P193" s="56"/>
      <c r="Q193" s="6"/>
      <c r="R193" s="6"/>
      <c r="S193" s="6"/>
      <c r="T193" s="2"/>
      <c r="U193" s="2"/>
      <c r="V193" s="2"/>
    </row>
    <row r="194" spans="1:22" x14ac:dyDescent="0.25">
      <c r="A194" s="56"/>
      <c r="B194" s="56"/>
      <c r="C194" s="56"/>
      <c r="D194" s="37"/>
      <c r="E194" s="6"/>
      <c r="F194" s="6"/>
      <c r="G194" s="6"/>
      <c r="H194" s="56"/>
      <c r="I194" s="56"/>
      <c r="J194" s="56"/>
      <c r="K194" s="6"/>
      <c r="L194" s="6"/>
      <c r="M194" s="6"/>
      <c r="N194" s="56"/>
      <c r="O194" s="56"/>
      <c r="P194" s="56"/>
      <c r="Q194" s="6"/>
      <c r="R194" s="6"/>
      <c r="S194" s="6"/>
      <c r="T194" s="2"/>
      <c r="U194" s="2"/>
      <c r="V194" s="2"/>
    </row>
    <row r="195" spans="1:22" x14ac:dyDescent="0.25">
      <c r="A195" s="56"/>
      <c r="B195" s="56"/>
      <c r="C195" s="56"/>
      <c r="D195" s="37"/>
      <c r="E195" s="6"/>
      <c r="F195" s="6"/>
      <c r="G195" s="6"/>
      <c r="H195" s="56"/>
      <c r="I195" s="56"/>
      <c r="J195" s="56"/>
      <c r="K195" s="6"/>
      <c r="L195" s="6"/>
      <c r="M195" s="6"/>
      <c r="N195" s="56"/>
      <c r="O195" s="56"/>
      <c r="P195" s="56"/>
      <c r="Q195" s="6"/>
      <c r="R195" s="6"/>
      <c r="S195" s="6"/>
      <c r="T195" s="2"/>
      <c r="U195" s="2"/>
      <c r="V195" s="2"/>
    </row>
    <row r="196" spans="1:22" x14ac:dyDescent="0.25">
      <c r="A196" s="56"/>
      <c r="B196" s="56"/>
      <c r="C196" s="56"/>
      <c r="D196" s="37"/>
      <c r="E196" s="6"/>
      <c r="F196" s="6"/>
      <c r="G196" s="6"/>
      <c r="H196" s="56"/>
      <c r="I196" s="56"/>
      <c r="J196" s="56"/>
      <c r="K196" s="6"/>
      <c r="L196" s="6"/>
      <c r="M196" s="6"/>
      <c r="N196" s="56"/>
      <c r="O196" s="56"/>
      <c r="P196" s="56"/>
      <c r="Q196" s="6"/>
      <c r="R196" s="6"/>
      <c r="S196" s="6"/>
      <c r="T196" s="2"/>
      <c r="U196" s="2"/>
      <c r="V196" s="2"/>
    </row>
    <row r="197" spans="1:22" x14ac:dyDescent="0.25">
      <c r="A197" s="56"/>
      <c r="B197" s="56"/>
      <c r="C197" s="56"/>
      <c r="D197" s="37"/>
      <c r="E197" s="6"/>
      <c r="F197" s="6"/>
      <c r="G197" s="6"/>
      <c r="H197" s="56"/>
      <c r="I197" s="56"/>
      <c r="J197" s="56"/>
      <c r="K197" s="6"/>
      <c r="L197" s="6"/>
      <c r="M197" s="6"/>
      <c r="N197" s="56"/>
      <c r="O197" s="56"/>
      <c r="P197" s="56"/>
      <c r="Q197" s="6"/>
      <c r="R197" s="6"/>
      <c r="S197" s="6"/>
      <c r="T197" s="2"/>
      <c r="U197" s="2"/>
      <c r="V197" s="2"/>
    </row>
    <row r="198" spans="1:22" x14ac:dyDescent="0.25">
      <c r="A198" s="56"/>
      <c r="B198" s="56"/>
      <c r="C198" s="56"/>
      <c r="D198" s="37"/>
      <c r="E198" s="6"/>
      <c r="F198" s="6"/>
      <c r="G198" s="6"/>
      <c r="H198" s="56"/>
      <c r="I198" s="56"/>
      <c r="J198" s="56"/>
      <c r="K198" s="6"/>
      <c r="L198" s="6"/>
      <c r="M198" s="6"/>
      <c r="N198" s="56"/>
      <c r="O198" s="56"/>
      <c r="P198" s="56"/>
      <c r="Q198" s="6"/>
      <c r="R198" s="6"/>
      <c r="S198" s="6"/>
      <c r="T198" s="2"/>
      <c r="U198" s="2"/>
      <c r="V198" s="2"/>
    </row>
    <row r="199" spans="1:22" x14ac:dyDescent="0.25">
      <c r="A199" s="56"/>
      <c r="B199" s="56"/>
      <c r="C199" s="56"/>
      <c r="D199" s="37"/>
      <c r="E199" s="6"/>
      <c r="F199" s="6"/>
      <c r="G199" s="6"/>
      <c r="H199" s="56"/>
      <c r="I199" s="56"/>
      <c r="J199" s="56"/>
      <c r="K199" s="6"/>
      <c r="L199" s="6"/>
      <c r="M199" s="6"/>
      <c r="N199" s="56"/>
      <c r="O199" s="56"/>
      <c r="P199" s="56"/>
      <c r="Q199" s="6"/>
      <c r="R199" s="6"/>
      <c r="S199" s="6"/>
      <c r="T199" s="2"/>
      <c r="U199" s="2"/>
      <c r="V199" s="2"/>
    </row>
    <row r="200" spans="1:22" x14ac:dyDescent="0.25">
      <c r="A200" s="56"/>
      <c r="B200" s="56"/>
      <c r="C200" s="56"/>
      <c r="D200" s="37"/>
      <c r="E200" s="6"/>
      <c r="F200" s="6"/>
      <c r="G200" s="6"/>
      <c r="H200" s="56"/>
      <c r="I200" s="56"/>
      <c r="J200" s="56"/>
      <c r="K200" s="6"/>
      <c r="L200" s="6"/>
      <c r="M200" s="6"/>
      <c r="N200" s="56"/>
      <c r="O200" s="56"/>
      <c r="P200" s="56"/>
      <c r="Q200" s="6"/>
      <c r="R200" s="6"/>
      <c r="S200" s="6"/>
      <c r="T200" s="2"/>
      <c r="U200" s="2"/>
      <c r="V200" s="2"/>
    </row>
    <row r="201" spans="1:22" x14ac:dyDescent="0.25">
      <c r="A201" s="56"/>
      <c r="B201" s="56"/>
      <c r="C201" s="56"/>
      <c r="D201" s="37"/>
      <c r="E201" s="6"/>
      <c r="F201" s="6"/>
      <c r="G201" s="6"/>
      <c r="H201" s="56"/>
      <c r="I201" s="56"/>
      <c r="J201" s="56"/>
      <c r="K201" s="6"/>
      <c r="L201" s="6"/>
      <c r="M201" s="6"/>
      <c r="N201" s="56"/>
      <c r="O201" s="56"/>
      <c r="P201" s="56"/>
      <c r="Q201" s="6"/>
      <c r="R201" s="6"/>
      <c r="S201" s="6"/>
      <c r="T201" s="2"/>
      <c r="U201" s="2"/>
      <c r="V201" s="2"/>
    </row>
    <row r="202" spans="1:22" x14ac:dyDescent="0.25">
      <c r="A202" s="56"/>
      <c r="B202" s="56"/>
      <c r="C202" s="56"/>
      <c r="D202" s="37"/>
      <c r="E202" s="6"/>
      <c r="F202" s="6"/>
      <c r="G202" s="6"/>
      <c r="H202" s="56"/>
      <c r="I202" s="56"/>
      <c r="J202" s="56"/>
      <c r="K202" s="6"/>
      <c r="L202" s="6"/>
      <c r="M202" s="6"/>
      <c r="N202" s="56"/>
      <c r="O202" s="56"/>
      <c r="P202" s="56"/>
      <c r="Q202" s="6"/>
      <c r="R202" s="6"/>
      <c r="S202" s="6"/>
      <c r="T202" s="2"/>
      <c r="U202" s="2"/>
      <c r="V202" s="2"/>
    </row>
    <row r="203" spans="1:22" x14ac:dyDescent="0.25">
      <c r="A203" s="56"/>
      <c r="B203" s="56"/>
      <c r="C203" s="56"/>
      <c r="D203" s="37"/>
      <c r="E203" s="6"/>
      <c r="F203" s="6"/>
      <c r="G203" s="6"/>
      <c r="H203" s="56"/>
      <c r="I203" s="56"/>
      <c r="J203" s="56"/>
      <c r="K203" s="6"/>
      <c r="L203" s="6"/>
      <c r="M203" s="6"/>
      <c r="N203" s="56"/>
      <c r="O203" s="56"/>
      <c r="P203" s="56"/>
      <c r="Q203" s="6"/>
      <c r="R203" s="6"/>
      <c r="S203" s="6"/>
      <c r="T203" s="2"/>
      <c r="U203" s="2"/>
      <c r="V203" s="2"/>
    </row>
    <row r="204" spans="1:22" x14ac:dyDescent="0.25">
      <c r="A204" s="56"/>
      <c r="B204" s="56"/>
      <c r="C204" s="56"/>
      <c r="D204" s="37"/>
      <c r="E204" s="6"/>
      <c r="F204" s="6"/>
      <c r="G204" s="6"/>
      <c r="H204" s="56"/>
      <c r="I204" s="56"/>
      <c r="J204" s="56"/>
      <c r="K204" s="6"/>
      <c r="L204" s="6"/>
      <c r="M204" s="6"/>
      <c r="N204" s="56"/>
      <c r="O204" s="56"/>
      <c r="P204" s="56"/>
      <c r="Q204" s="6"/>
      <c r="R204" s="6"/>
      <c r="S204" s="6"/>
      <c r="T204" s="2"/>
      <c r="U204" s="2"/>
      <c r="V204" s="2"/>
    </row>
    <row r="205" spans="1:22" x14ac:dyDescent="0.25">
      <c r="A205" s="56"/>
      <c r="B205" s="56"/>
      <c r="C205" s="56"/>
      <c r="D205" s="37"/>
      <c r="E205" s="6"/>
      <c r="F205" s="6"/>
      <c r="G205" s="6"/>
      <c r="H205" s="56"/>
      <c r="I205" s="56"/>
      <c r="J205" s="56"/>
      <c r="K205" s="6"/>
      <c r="L205" s="6"/>
      <c r="M205" s="6"/>
      <c r="N205" s="56"/>
      <c r="O205" s="56"/>
      <c r="P205" s="56"/>
      <c r="Q205" s="6"/>
      <c r="R205" s="6"/>
      <c r="S205" s="6"/>
      <c r="T205" s="2"/>
      <c r="U205" s="2"/>
      <c r="V205" s="2"/>
    </row>
    <row r="206" spans="1:22" x14ac:dyDescent="0.25">
      <c r="A206" s="56"/>
      <c r="B206" s="56"/>
      <c r="C206" s="56"/>
      <c r="D206" s="37"/>
      <c r="E206" s="6"/>
      <c r="F206" s="6"/>
      <c r="G206" s="6"/>
      <c r="H206" s="56"/>
      <c r="I206" s="56"/>
      <c r="J206" s="56"/>
      <c r="K206" s="6"/>
      <c r="L206" s="6"/>
      <c r="M206" s="6"/>
      <c r="N206" s="56"/>
      <c r="O206" s="56"/>
      <c r="P206" s="56"/>
      <c r="Q206" s="6"/>
      <c r="R206" s="6"/>
      <c r="S206" s="6"/>
      <c r="T206" s="2"/>
      <c r="U206" s="2"/>
      <c r="V206" s="2"/>
    </row>
    <row r="207" spans="1:22" x14ac:dyDescent="0.25">
      <c r="A207" s="56"/>
      <c r="B207" s="56"/>
      <c r="C207" s="56"/>
      <c r="D207" s="37"/>
      <c r="E207" s="6"/>
      <c r="F207" s="6"/>
      <c r="G207" s="6"/>
      <c r="H207" s="56"/>
      <c r="I207" s="56"/>
      <c r="J207" s="56"/>
      <c r="K207" s="6"/>
      <c r="L207" s="6"/>
      <c r="M207" s="6"/>
      <c r="N207" s="56"/>
      <c r="O207" s="56"/>
      <c r="P207" s="56"/>
      <c r="Q207" s="6"/>
      <c r="R207" s="6"/>
      <c r="S207" s="6"/>
      <c r="T207" s="2"/>
      <c r="U207" s="2"/>
      <c r="V207" s="2"/>
    </row>
    <row r="208" spans="1:22" x14ac:dyDescent="0.25">
      <c r="A208" s="56"/>
      <c r="B208" s="56"/>
      <c r="C208" s="56"/>
      <c r="D208" s="37"/>
      <c r="E208" s="6"/>
      <c r="F208" s="6"/>
      <c r="G208" s="6"/>
      <c r="H208" s="56"/>
      <c r="I208" s="56"/>
      <c r="J208" s="56"/>
      <c r="K208" s="6"/>
      <c r="L208" s="6"/>
      <c r="M208" s="6"/>
      <c r="N208" s="56"/>
      <c r="O208" s="56"/>
      <c r="P208" s="56"/>
      <c r="Q208" s="6"/>
      <c r="R208" s="6"/>
      <c r="S208" s="6"/>
      <c r="T208" s="2"/>
      <c r="U208" s="2"/>
      <c r="V208" s="2"/>
    </row>
    <row r="209" spans="1:22" x14ac:dyDescent="0.25">
      <c r="A209" s="56"/>
      <c r="B209" s="56"/>
      <c r="C209" s="56"/>
      <c r="D209" s="37"/>
      <c r="E209" s="6"/>
      <c r="F209" s="6"/>
      <c r="G209" s="6"/>
      <c r="H209" s="56"/>
      <c r="I209" s="56"/>
      <c r="J209" s="56"/>
      <c r="K209" s="6"/>
      <c r="L209" s="6"/>
      <c r="M209" s="6"/>
      <c r="N209" s="56"/>
      <c r="O209" s="56"/>
      <c r="P209" s="56"/>
      <c r="Q209" s="6"/>
      <c r="R209" s="6"/>
      <c r="S209" s="6"/>
      <c r="T209" s="2"/>
      <c r="U209" s="2"/>
      <c r="V209" s="2"/>
    </row>
    <row r="210" spans="1:22" x14ac:dyDescent="0.25">
      <c r="A210" s="56"/>
      <c r="B210" s="56"/>
      <c r="C210" s="56"/>
      <c r="D210" s="37"/>
      <c r="E210" s="6"/>
      <c r="F210" s="6"/>
      <c r="G210" s="6"/>
      <c r="H210" s="56"/>
      <c r="I210" s="56"/>
      <c r="J210" s="56"/>
      <c r="K210" s="6"/>
      <c r="L210" s="6"/>
      <c r="M210" s="6"/>
      <c r="N210" s="56"/>
      <c r="O210" s="56"/>
      <c r="P210" s="56"/>
      <c r="Q210" s="6"/>
      <c r="R210" s="6"/>
      <c r="S210" s="6"/>
      <c r="T210" s="2"/>
      <c r="U210" s="2"/>
      <c r="V210" s="2"/>
    </row>
    <row r="211" spans="1:22" x14ac:dyDescent="0.25">
      <c r="A211" s="56"/>
      <c r="B211" s="56"/>
      <c r="C211" s="56"/>
      <c r="D211" s="37"/>
      <c r="E211" s="6"/>
      <c r="F211" s="6"/>
      <c r="G211" s="6"/>
      <c r="H211" s="56"/>
      <c r="I211" s="56"/>
      <c r="J211" s="56"/>
      <c r="K211" s="6"/>
      <c r="L211" s="6"/>
      <c r="M211" s="6"/>
      <c r="N211" s="56"/>
      <c r="O211" s="56"/>
      <c r="P211" s="56"/>
      <c r="Q211" s="6"/>
      <c r="R211" s="6"/>
      <c r="S211" s="6"/>
      <c r="T211" s="2"/>
      <c r="U211" s="2"/>
      <c r="V211" s="2"/>
    </row>
    <row r="212" spans="1:22" x14ac:dyDescent="0.25">
      <c r="A212" s="56"/>
      <c r="B212" s="56"/>
      <c r="C212" s="56"/>
      <c r="D212" s="37"/>
      <c r="E212" s="6"/>
      <c r="F212" s="6"/>
      <c r="G212" s="6"/>
      <c r="H212" s="56"/>
      <c r="I212" s="56"/>
      <c r="J212" s="56"/>
      <c r="K212" s="6"/>
      <c r="L212" s="6"/>
      <c r="M212" s="6"/>
      <c r="N212" s="56"/>
      <c r="O212" s="56"/>
      <c r="P212" s="56"/>
      <c r="Q212" s="6"/>
      <c r="R212" s="6"/>
      <c r="S212" s="6"/>
      <c r="T212" s="2"/>
      <c r="U212" s="2"/>
      <c r="V212" s="2"/>
    </row>
    <row r="213" spans="1:22" x14ac:dyDescent="0.25">
      <c r="A213" s="56"/>
      <c r="B213" s="56"/>
      <c r="C213" s="56"/>
      <c r="D213" s="37"/>
      <c r="E213" s="6"/>
      <c r="F213" s="6"/>
      <c r="G213" s="6"/>
      <c r="H213" s="56"/>
      <c r="I213" s="56"/>
      <c r="J213" s="56"/>
      <c r="K213" s="6"/>
      <c r="L213" s="6"/>
      <c r="M213" s="6"/>
      <c r="N213" s="56"/>
      <c r="O213" s="56"/>
      <c r="P213" s="56"/>
      <c r="Q213" s="6"/>
      <c r="R213" s="6"/>
      <c r="S213" s="6"/>
      <c r="T213" s="2"/>
      <c r="U213" s="2"/>
      <c r="V213" s="2"/>
    </row>
    <row r="214" spans="1:22" x14ac:dyDescent="0.25">
      <c r="A214" s="56"/>
      <c r="B214" s="56"/>
      <c r="C214" s="56"/>
      <c r="D214" s="37"/>
      <c r="E214" s="6"/>
      <c r="F214" s="6"/>
      <c r="G214" s="6"/>
      <c r="H214" s="56"/>
      <c r="I214" s="56"/>
      <c r="J214" s="56"/>
      <c r="K214" s="6"/>
      <c r="L214" s="6"/>
      <c r="M214" s="6"/>
      <c r="N214" s="56"/>
      <c r="O214" s="56"/>
      <c r="P214" s="56"/>
      <c r="Q214" s="6"/>
      <c r="R214" s="6"/>
      <c r="S214" s="6"/>
      <c r="T214" s="2"/>
      <c r="U214" s="2"/>
      <c r="V214" s="2"/>
    </row>
    <row r="215" spans="1:22" x14ac:dyDescent="0.25">
      <c r="A215" s="56"/>
      <c r="B215" s="56"/>
      <c r="C215" s="56"/>
      <c r="D215" s="37"/>
      <c r="E215" s="6"/>
      <c r="F215" s="6"/>
      <c r="G215" s="6"/>
      <c r="H215" s="56"/>
      <c r="I215" s="56"/>
      <c r="J215" s="56"/>
      <c r="K215" s="6"/>
      <c r="L215" s="6"/>
      <c r="M215" s="6"/>
      <c r="N215" s="56"/>
      <c r="O215" s="56"/>
      <c r="P215" s="56"/>
      <c r="Q215" s="6"/>
      <c r="R215" s="6"/>
      <c r="S215" s="6"/>
      <c r="T215" s="2"/>
      <c r="U215" s="2"/>
      <c r="V215" s="2"/>
    </row>
    <row r="216" spans="1:22" x14ac:dyDescent="0.25">
      <c r="A216" s="56"/>
      <c r="B216" s="56"/>
      <c r="C216" s="56"/>
      <c r="D216" s="37"/>
      <c r="E216" s="6"/>
      <c r="F216" s="6"/>
      <c r="G216" s="6"/>
      <c r="H216" s="56"/>
      <c r="I216" s="56"/>
      <c r="J216" s="56"/>
      <c r="K216" s="6"/>
      <c r="L216" s="6"/>
      <c r="M216" s="6"/>
      <c r="N216" s="56"/>
      <c r="O216" s="56"/>
      <c r="P216" s="56"/>
      <c r="Q216" s="6"/>
      <c r="R216" s="6"/>
      <c r="S216" s="6"/>
      <c r="T216" s="2"/>
      <c r="U216" s="2"/>
      <c r="V216" s="2"/>
    </row>
    <row r="217" spans="1:22" x14ac:dyDescent="0.25">
      <c r="A217" s="56"/>
      <c r="B217" s="56"/>
      <c r="C217" s="56"/>
      <c r="D217" s="37"/>
      <c r="E217" s="6"/>
      <c r="F217" s="6"/>
      <c r="G217" s="6"/>
      <c r="H217" s="56"/>
      <c r="I217" s="56"/>
      <c r="J217" s="56"/>
      <c r="K217" s="6"/>
      <c r="L217" s="6"/>
      <c r="M217" s="6"/>
      <c r="N217" s="56"/>
      <c r="O217" s="56"/>
      <c r="P217" s="56"/>
      <c r="Q217" s="6"/>
      <c r="R217" s="6"/>
      <c r="S217" s="6"/>
      <c r="T217" s="2"/>
      <c r="U217" s="2"/>
      <c r="V217" s="2"/>
    </row>
    <row r="218" spans="1:22" x14ac:dyDescent="0.25">
      <c r="A218" s="56"/>
      <c r="B218" s="56"/>
      <c r="C218" s="56"/>
      <c r="D218" s="37"/>
      <c r="E218" s="6"/>
      <c r="F218" s="6"/>
      <c r="G218" s="6"/>
      <c r="H218" s="56"/>
      <c r="I218" s="56"/>
      <c r="J218" s="56"/>
      <c r="K218" s="6"/>
      <c r="L218" s="6"/>
      <c r="M218" s="6"/>
      <c r="N218" s="56"/>
      <c r="O218" s="56"/>
      <c r="P218" s="56"/>
      <c r="Q218" s="6"/>
      <c r="R218" s="6"/>
      <c r="S218" s="6"/>
      <c r="T218" s="2"/>
      <c r="U218" s="2"/>
      <c r="V218" s="2"/>
    </row>
    <row r="219" spans="1:22" x14ac:dyDescent="0.25">
      <c r="A219" s="56"/>
      <c r="B219" s="56"/>
      <c r="C219" s="56"/>
      <c r="D219" s="37"/>
      <c r="E219" s="6"/>
      <c r="F219" s="6"/>
      <c r="G219" s="6"/>
      <c r="H219" s="56"/>
      <c r="I219" s="56"/>
      <c r="J219" s="56"/>
      <c r="K219" s="6"/>
      <c r="L219" s="6"/>
      <c r="M219" s="6"/>
      <c r="N219" s="56"/>
      <c r="O219" s="56"/>
      <c r="P219" s="56"/>
      <c r="Q219" s="6"/>
      <c r="R219" s="6"/>
      <c r="S219" s="6"/>
      <c r="T219" s="2"/>
      <c r="U219" s="2"/>
      <c r="V219" s="2"/>
    </row>
    <row r="220" spans="1:22" x14ac:dyDescent="0.25">
      <c r="A220" s="56"/>
      <c r="B220" s="56"/>
      <c r="C220" s="56"/>
      <c r="D220" s="37"/>
      <c r="E220" s="6"/>
      <c r="F220" s="6"/>
      <c r="G220" s="6"/>
      <c r="H220" s="56"/>
      <c r="I220" s="56"/>
      <c r="J220" s="56"/>
      <c r="K220" s="6"/>
      <c r="L220" s="6"/>
      <c r="M220" s="6"/>
      <c r="N220" s="56"/>
      <c r="O220" s="56"/>
      <c r="P220" s="56"/>
      <c r="Q220" s="6"/>
      <c r="R220" s="6"/>
      <c r="S220" s="6"/>
      <c r="T220" s="2"/>
      <c r="U220" s="2"/>
      <c r="V220" s="2"/>
    </row>
    <row r="221" spans="1:22" x14ac:dyDescent="0.25">
      <c r="A221" s="56"/>
      <c r="B221" s="56"/>
      <c r="C221" s="56"/>
      <c r="D221" s="37"/>
      <c r="E221" s="6"/>
      <c r="F221" s="6"/>
      <c r="G221" s="6"/>
      <c r="H221" s="56"/>
      <c r="I221" s="56"/>
      <c r="J221" s="56"/>
      <c r="K221" s="6"/>
      <c r="L221" s="6"/>
      <c r="M221" s="6"/>
      <c r="N221" s="56"/>
      <c r="O221" s="56"/>
      <c r="P221" s="56"/>
      <c r="Q221" s="6"/>
      <c r="R221" s="6"/>
      <c r="S221" s="6"/>
      <c r="T221" s="2"/>
      <c r="U221" s="2"/>
      <c r="V221" s="2"/>
    </row>
    <row r="222" spans="1:22" x14ac:dyDescent="0.25">
      <c r="A222" s="56"/>
      <c r="B222" s="56"/>
      <c r="C222" s="56"/>
      <c r="D222" s="37"/>
      <c r="E222" s="6"/>
      <c r="F222" s="6"/>
      <c r="G222" s="6"/>
      <c r="H222" s="56"/>
      <c r="I222" s="56"/>
      <c r="J222" s="56"/>
      <c r="K222" s="6"/>
      <c r="L222" s="6"/>
      <c r="M222" s="6"/>
      <c r="N222" s="56"/>
      <c r="O222" s="56"/>
      <c r="P222" s="56"/>
      <c r="Q222" s="6"/>
      <c r="R222" s="6"/>
      <c r="S222" s="6"/>
      <c r="T222" s="2"/>
      <c r="U222" s="2"/>
      <c r="V222" s="2"/>
    </row>
    <row r="223" spans="1:22" x14ac:dyDescent="0.25">
      <c r="A223" s="56"/>
      <c r="B223" s="56"/>
      <c r="C223" s="56"/>
      <c r="D223" s="37"/>
      <c r="E223" s="6"/>
      <c r="F223" s="6"/>
      <c r="G223" s="6"/>
      <c r="H223" s="56"/>
      <c r="I223" s="56"/>
      <c r="J223" s="56"/>
      <c r="K223" s="6"/>
      <c r="L223" s="6"/>
      <c r="M223" s="6"/>
      <c r="N223" s="56"/>
      <c r="O223" s="56"/>
      <c r="P223" s="56"/>
      <c r="Q223" s="6"/>
      <c r="R223" s="6"/>
      <c r="S223" s="6"/>
      <c r="T223" s="2"/>
      <c r="U223" s="2"/>
      <c r="V223" s="2"/>
    </row>
    <row r="224" spans="1:22" x14ac:dyDescent="0.25">
      <c r="A224" s="56"/>
      <c r="B224" s="56"/>
      <c r="C224" s="56"/>
      <c r="D224" s="37"/>
      <c r="E224" s="6"/>
      <c r="F224" s="6"/>
      <c r="G224" s="6"/>
      <c r="H224" s="56"/>
      <c r="I224" s="56"/>
      <c r="J224" s="56"/>
      <c r="K224" s="6"/>
      <c r="L224" s="6"/>
      <c r="M224" s="6"/>
      <c r="N224" s="56"/>
      <c r="O224" s="56"/>
      <c r="P224" s="56"/>
      <c r="Q224" s="6"/>
      <c r="R224" s="6"/>
      <c r="S224" s="6"/>
      <c r="T224" s="2"/>
      <c r="U224" s="2"/>
      <c r="V224" s="2"/>
    </row>
    <row r="225" spans="1:22" x14ac:dyDescent="0.25">
      <c r="A225" s="56"/>
      <c r="B225" s="56"/>
      <c r="C225" s="56"/>
      <c r="D225" s="37"/>
      <c r="E225" s="6"/>
      <c r="F225" s="6"/>
      <c r="G225" s="6"/>
      <c r="H225" s="56"/>
      <c r="I225" s="56"/>
      <c r="J225" s="56"/>
      <c r="K225" s="6"/>
      <c r="L225" s="6"/>
      <c r="M225" s="6"/>
      <c r="N225" s="56"/>
      <c r="O225" s="56"/>
      <c r="P225" s="56"/>
      <c r="Q225" s="6"/>
      <c r="R225" s="6"/>
      <c r="S225" s="6"/>
      <c r="T225" s="2"/>
      <c r="U225" s="2"/>
      <c r="V225" s="2"/>
    </row>
    <row r="226" spans="1:22" x14ac:dyDescent="0.25">
      <c r="A226" s="56"/>
      <c r="B226" s="56"/>
      <c r="C226" s="56"/>
      <c r="D226" s="37"/>
      <c r="E226" s="6"/>
      <c r="F226" s="6"/>
      <c r="G226" s="6"/>
      <c r="H226" s="56"/>
      <c r="I226" s="56"/>
      <c r="J226" s="56"/>
      <c r="K226" s="6"/>
      <c r="L226" s="6"/>
      <c r="M226" s="6"/>
      <c r="N226" s="56"/>
      <c r="O226" s="56"/>
      <c r="P226" s="56"/>
      <c r="Q226" s="6"/>
      <c r="R226" s="6"/>
      <c r="S226" s="6"/>
      <c r="T226" s="2"/>
      <c r="U226" s="2"/>
      <c r="V226" s="2"/>
    </row>
    <row r="227" spans="1:22" x14ac:dyDescent="0.25">
      <c r="A227" s="56"/>
      <c r="B227" s="56"/>
      <c r="C227" s="56"/>
      <c r="D227" s="37"/>
      <c r="E227" s="6"/>
      <c r="F227" s="6"/>
      <c r="G227" s="6"/>
      <c r="H227" s="56"/>
      <c r="I227" s="56"/>
      <c r="J227" s="56"/>
      <c r="K227" s="6"/>
      <c r="L227" s="6"/>
      <c r="M227" s="6"/>
      <c r="N227" s="56"/>
      <c r="O227" s="56"/>
      <c r="P227" s="56"/>
      <c r="Q227" s="6"/>
      <c r="R227" s="6"/>
      <c r="S227" s="6"/>
      <c r="T227" s="2"/>
      <c r="U227" s="2"/>
      <c r="V227" s="2"/>
    </row>
    <row r="228" spans="1:22" x14ac:dyDescent="0.25">
      <c r="A228" s="56"/>
      <c r="B228" s="56"/>
      <c r="C228" s="56"/>
      <c r="D228" s="37"/>
      <c r="E228" s="6"/>
      <c r="F228" s="6"/>
      <c r="G228" s="6"/>
      <c r="H228" s="56"/>
      <c r="I228" s="56"/>
      <c r="J228" s="56"/>
      <c r="K228" s="6"/>
      <c r="L228" s="6"/>
      <c r="M228" s="6"/>
      <c r="N228" s="56"/>
      <c r="O228" s="56"/>
      <c r="P228" s="56"/>
      <c r="Q228" s="6"/>
      <c r="R228" s="6"/>
      <c r="S228" s="6"/>
      <c r="T228" s="2"/>
      <c r="U228" s="2"/>
      <c r="V228" s="2"/>
    </row>
    <row r="229" spans="1:22" x14ac:dyDescent="0.25">
      <c r="A229" s="56"/>
      <c r="B229" s="56"/>
      <c r="C229" s="56"/>
      <c r="D229" s="37"/>
      <c r="E229" s="6"/>
      <c r="F229" s="6"/>
      <c r="G229" s="6"/>
      <c r="H229" s="56"/>
      <c r="I229" s="56"/>
      <c r="J229" s="56"/>
      <c r="K229" s="6"/>
      <c r="L229" s="6"/>
      <c r="M229" s="6"/>
      <c r="N229" s="56"/>
      <c r="O229" s="56"/>
      <c r="P229" s="56"/>
      <c r="Q229" s="6"/>
      <c r="R229" s="6"/>
      <c r="S229" s="6"/>
      <c r="T229" s="2"/>
      <c r="U229" s="2"/>
      <c r="V229" s="2"/>
    </row>
    <row r="230" spans="1:22" x14ac:dyDescent="0.25">
      <c r="A230" s="56"/>
      <c r="B230" s="56"/>
      <c r="C230" s="56"/>
      <c r="D230" s="37"/>
      <c r="E230" s="6"/>
      <c r="F230" s="6"/>
      <c r="G230" s="6"/>
      <c r="H230" s="56"/>
      <c r="I230" s="56"/>
      <c r="J230" s="56"/>
      <c r="K230" s="6"/>
      <c r="L230" s="6"/>
      <c r="M230" s="6"/>
      <c r="N230" s="56"/>
      <c r="O230" s="56"/>
      <c r="P230" s="56"/>
      <c r="Q230" s="6"/>
      <c r="R230" s="6"/>
      <c r="S230" s="6"/>
      <c r="T230" s="2"/>
      <c r="U230" s="2"/>
      <c r="V230" s="2"/>
    </row>
    <row r="231" spans="1:22" x14ac:dyDescent="0.25">
      <c r="A231" s="56"/>
      <c r="B231" s="56"/>
      <c r="C231" s="56"/>
      <c r="D231" s="37"/>
      <c r="E231" s="6"/>
      <c r="F231" s="6"/>
      <c r="G231" s="6"/>
      <c r="H231" s="56"/>
      <c r="I231" s="56"/>
      <c r="J231" s="56"/>
      <c r="K231" s="6"/>
      <c r="L231" s="6"/>
      <c r="M231" s="6"/>
      <c r="N231" s="56"/>
      <c r="O231" s="56"/>
      <c r="P231" s="56"/>
      <c r="Q231" s="6"/>
      <c r="R231" s="6"/>
      <c r="S231" s="6"/>
      <c r="T231" s="2"/>
      <c r="U231" s="2"/>
      <c r="V231" s="2"/>
    </row>
    <row r="232" spans="1:22" x14ac:dyDescent="0.25">
      <c r="A232" s="56"/>
      <c r="B232" s="56"/>
      <c r="C232" s="56"/>
      <c r="D232" s="37"/>
      <c r="E232" s="6"/>
      <c r="F232" s="6"/>
      <c r="G232" s="6"/>
      <c r="H232" s="56"/>
      <c r="I232" s="56"/>
      <c r="J232" s="56"/>
      <c r="K232" s="6"/>
      <c r="L232" s="6"/>
      <c r="M232" s="6"/>
      <c r="N232" s="56"/>
      <c r="O232" s="56"/>
      <c r="P232" s="56"/>
      <c r="Q232" s="6"/>
      <c r="R232" s="6"/>
      <c r="S232" s="6"/>
      <c r="T232" s="2"/>
      <c r="U232" s="2"/>
      <c r="V232" s="2"/>
    </row>
    <row r="233" spans="1:22" x14ac:dyDescent="0.25">
      <c r="A233" s="56"/>
      <c r="B233" s="56"/>
      <c r="C233" s="56"/>
      <c r="D233" s="37"/>
      <c r="E233" s="6"/>
      <c r="F233" s="6"/>
      <c r="G233" s="6"/>
      <c r="H233" s="56"/>
      <c r="I233" s="56"/>
      <c r="J233" s="56"/>
      <c r="K233" s="6"/>
      <c r="L233" s="6"/>
      <c r="M233" s="6"/>
      <c r="N233" s="56"/>
      <c r="O233" s="56"/>
      <c r="P233" s="56"/>
      <c r="Q233" s="6"/>
      <c r="R233" s="6"/>
      <c r="S233" s="6"/>
      <c r="T233" s="2"/>
      <c r="U233" s="2"/>
      <c r="V233" s="2"/>
    </row>
    <row r="234" spans="1:22" x14ac:dyDescent="0.25">
      <c r="A234" s="56"/>
      <c r="B234" s="56"/>
      <c r="C234" s="56"/>
      <c r="D234" s="37"/>
      <c r="E234" s="6"/>
      <c r="F234" s="6"/>
      <c r="G234" s="6"/>
      <c r="H234" s="56"/>
      <c r="I234" s="56"/>
      <c r="J234" s="56"/>
      <c r="K234" s="6"/>
      <c r="L234" s="6"/>
      <c r="M234" s="6"/>
      <c r="N234" s="56"/>
      <c r="O234" s="56"/>
      <c r="P234" s="56"/>
      <c r="Q234" s="6"/>
      <c r="R234" s="6"/>
      <c r="S234" s="6"/>
      <c r="T234" s="2"/>
      <c r="U234" s="2"/>
      <c r="V234" s="2"/>
    </row>
    <row r="235" spans="1:22" x14ac:dyDescent="0.25">
      <c r="A235" s="56"/>
      <c r="B235" s="56"/>
      <c r="C235" s="56"/>
      <c r="D235" s="37"/>
      <c r="E235" s="6"/>
      <c r="F235" s="6"/>
      <c r="G235" s="6"/>
      <c r="H235" s="56"/>
      <c r="I235" s="56"/>
      <c r="J235" s="56"/>
      <c r="K235" s="6"/>
      <c r="L235" s="6"/>
      <c r="M235" s="6"/>
      <c r="N235" s="56"/>
      <c r="O235" s="56"/>
      <c r="P235" s="56"/>
      <c r="Q235" s="6"/>
      <c r="R235" s="6"/>
      <c r="S235" s="6"/>
      <c r="T235" s="2"/>
      <c r="U235" s="2"/>
      <c r="V235" s="2"/>
    </row>
    <row r="236" spans="1:22" x14ac:dyDescent="0.25">
      <c r="A236" s="56"/>
      <c r="B236" s="56"/>
      <c r="C236" s="56"/>
      <c r="D236" s="37"/>
      <c r="E236" s="6"/>
      <c r="F236" s="6"/>
      <c r="G236" s="6"/>
      <c r="H236" s="56"/>
      <c r="I236" s="56"/>
      <c r="J236" s="56"/>
      <c r="K236" s="6"/>
      <c r="L236" s="6"/>
      <c r="M236" s="6"/>
      <c r="N236" s="56"/>
      <c r="O236" s="56"/>
      <c r="P236" s="56"/>
      <c r="Q236" s="6"/>
      <c r="R236" s="6"/>
      <c r="S236" s="6"/>
      <c r="T236" s="2"/>
      <c r="U236" s="2"/>
      <c r="V236" s="2"/>
    </row>
    <row r="237" spans="1:22" x14ac:dyDescent="0.25">
      <c r="A237" s="56"/>
      <c r="B237" s="56"/>
      <c r="C237" s="56"/>
      <c r="D237" s="37"/>
      <c r="E237" s="6"/>
      <c r="F237" s="6"/>
      <c r="G237" s="6"/>
      <c r="H237" s="56"/>
      <c r="I237" s="56"/>
      <c r="J237" s="56"/>
      <c r="K237" s="6"/>
      <c r="L237" s="6"/>
      <c r="M237" s="6"/>
      <c r="N237" s="56"/>
      <c r="O237" s="56"/>
      <c r="P237" s="56"/>
      <c r="Q237" s="6"/>
      <c r="R237" s="6"/>
      <c r="S237" s="6"/>
      <c r="T237" s="2"/>
      <c r="U237" s="2"/>
      <c r="V237" s="2"/>
    </row>
    <row r="238" spans="1:22" x14ac:dyDescent="0.25">
      <c r="A238" s="56"/>
      <c r="B238" s="56"/>
      <c r="C238" s="56"/>
      <c r="D238" s="37"/>
      <c r="E238" s="6"/>
      <c r="F238" s="6"/>
      <c r="G238" s="6"/>
      <c r="H238" s="56"/>
      <c r="I238" s="56"/>
      <c r="J238" s="56"/>
      <c r="K238" s="6"/>
      <c r="L238" s="6"/>
      <c r="M238" s="6"/>
      <c r="N238" s="56"/>
      <c r="O238" s="56"/>
      <c r="P238" s="56"/>
      <c r="Q238" s="6"/>
      <c r="R238" s="6"/>
      <c r="S238" s="6"/>
      <c r="T238" s="2"/>
      <c r="U238" s="2"/>
      <c r="V238" s="2"/>
    </row>
    <row r="239" spans="1:22" x14ac:dyDescent="0.25">
      <c r="A239" s="56"/>
      <c r="B239" s="56"/>
      <c r="C239" s="56"/>
      <c r="D239" s="37"/>
      <c r="E239" s="6"/>
      <c r="F239" s="6"/>
      <c r="G239" s="6"/>
      <c r="H239" s="56"/>
      <c r="I239" s="56"/>
      <c r="J239" s="56"/>
      <c r="K239" s="6"/>
      <c r="L239" s="6"/>
      <c r="M239" s="6"/>
      <c r="N239" s="56"/>
      <c r="O239" s="56"/>
      <c r="P239" s="56"/>
      <c r="Q239" s="6"/>
      <c r="R239" s="6"/>
      <c r="S239" s="6"/>
      <c r="T239" s="2"/>
      <c r="U239" s="2"/>
      <c r="V239" s="2"/>
    </row>
    <row r="240" spans="1:22" x14ac:dyDescent="0.25">
      <c r="A240" s="56"/>
      <c r="B240" s="56"/>
      <c r="C240" s="56"/>
      <c r="D240" s="37"/>
      <c r="E240" s="6"/>
      <c r="F240" s="6"/>
      <c r="G240" s="6"/>
      <c r="H240" s="56"/>
      <c r="I240" s="56"/>
      <c r="J240" s="56"/>
      <c r="K240" s="6"/>
      <c r="L240" s="6"/>
      <c r="M240" s="6"/>
      <c r="N240" s="56"/>
      <c r="O240" s="56"/>
      <c r="P240" s="56"/>
      <c r="Q240" s="6"/>
      <c r="R240" s="6"/>
      <c r="S240" s="6"/>
      <c r="T240" s="2"/>
      <c r="U240" s="2"/>
      <c r="V240" s="2"/>
    </row>
    <row r="241" spans="1:22" x14ac:dyDescent="0.25">
      <c r="A241" s="56"/>
      <c r="B241" s="56"/>
      <c r="C241" s="56"/>
      <c r="D241" s="37"/>
      <c r="E241" s="6"/>
      <c r="F241" s="6"/>
      <c r="G241" s="6"/>
      <c r="H241" s="56"/>
      <c r="I241" s="56"/>
      <c r="J241" s="56"/>
      <c r="K241" s="6"/>
      <c r="L241" s="6"/>
      <c r="M241" s="6"/>
      <c r="N241" s="56"/>
      <c r="O241" s="56"/>
      <c r="P241" s="56"/>
      <c r="Q241" s="6"/>
      <c r="R241" s="6"/>
      <c r="S241" s="6"/>
      <c r="T241" s="2"/>
      <c r="U241" s="2"/>
      <c r="V241" s="2"/>
    </row>
    <row r="242" spans="1:22" x14ac:dyDescent="0.25">
      <c r="A242" s="56"/>
      <c r="B242" s="56"/>
      <c r="C242" s="56"/>
      <c r="D242" s="37"/>
      <c r="E242" s="6"/>
      <c r="F242" s="6"/>
      <c r="G242" s="6"/>
      <c r="H242" s="56"/>
      <c r="I242" s="56"/>
      <c r="J242" s="56"/>
      <c r="K242" s="6"/>
      <c r="L242" s="6"/>
      <c r="M242" s="6"/>
      <c r="N242" s="56"/>
      <c r="O242" s="56"/>
      <c r="P242" s="56"/>
      <c r="Q242" s="6"/>
      <c r="R242" s="6"/>
      <c r="S242" s="6"/>
      <c r="T242" s="2"/>
      <c r="U242" s="2"/>
      <c r="V242" s="2"/>
    </row>
    <row r="243" spans="1:22" x14ac:dyDescent="0.25">
      <c r="A243" s="56"/>
      <c r="B243" s="56"/>
      <c r="C243" s="56"/>
      <c r="D243" s="37"/>
      <c r="E243" s="6"/>
      <c r="F243" s="6"/>
      <c r="G243" s="6"/>
      <c r="H243" s="56"/>
      <c r="I243" s="56"/>
      <c r="J243" s="56"/>
      <c r="K243" s="6"/>
      <c r="L243" s="6"/>
      <c r="M243" s="6"/>
      <c r="N243" s="56"/>
      <c r="O243" s="56"/>
      <c r="P243" s="56"/>
      <c r="Q243" s="6"/>
      <c r="R243" s="6"/>
      <c r="S243" s="6"/>
      <c r="T243" s="2"/>
      <c r="U243" s="2"/>
      <c r="V243" s="2"/>
    </row>
    <row r="244" spans="1:22" x14ac:dyDescent="0.25">
      <c r="A244" s="56"/>
      <c r="B244" s="56"/>
      <c r="C244" s="56"/>
      <c r="D244" s="37"/>
      <c r="E244" s="6"/>
      <c r="F244" s="6"/>
      <c r="G244" s="6"/>
      <c r="H244" s="56"/>
      <c r="I244" s="56"/>
      <c r="J244" s="56"/>
      <c r="K244" s="6"/>
      <c r="L244" s="6"/>
      <c r="M244" s="6"/>
      <c r="N244" s="56"/>
      <c r="O244" s="56"/>
      <c r="P244" s="56"/>
      <c r="Q244" s="6"/>
      <c r="R244" s="6"/>
      <c r="S244" s="6"/>
      <c r="T244" s="2"/>
      <c r="U244" s="2"/>
      <c r="V244" s="2"/>
    </row>
    <row r="245" spans="1:22" x14ac:dyDescent="0.25">
      <c r="A245" s="56"/>
      <c r="B245" s="56"/>
      <c r="C245" s="56"/>
      <c r="D245" s="37"/>
      <c r="E245" s="6"/>
      <c r="F245" s="6"/>
      <c r="G245" s="6"/>
      <c r="H245" s="56"/>
      <c r="I245" s="56"/>
      <c r="J245" s="56"/>
      <c r="K245" s="6"/>
      <c r="L245" s="6"/>
      <c r="M245" s="6"/>
      <c r="N245" s="56"/>
      <c r="O245" s="56"/>
      <c r="P245" s="56"/>
      <c r="Q245" s="6"/>
      <c r="R245" s="6"/>
      <c r="S245" s="6"/>
      <c r="T245" s="2"/>
      <c r="U245" s="2"/>
      <c r="V245" s="2"/>
    </row>
    <row r="246" spans="1:22" x14ac:dyDescent="0.25">
      <c r="A246" s="56"/>
      <c r="B246" s="56"/>
      <c r="C246" s="56"/>
      <c r="D246" s="37"/>
      <c r="E246" s="6"/>
      <c r="F246" s="6"/>
      <c r="G246" s="6"/>
      <c r="H246" s="56"/>
      <c r="I246" s="56"/>
      <c r="J246" s="56"/>
      <c r="K246" s="6"/>
      <c r="L246" s="6"/>
      <c r="M246" s="6"/>
      <c r="N246" s="56"/>
      <c r="O246" s="56"/>
      <c r="P246" s="56"/>
      <c r="Q246" s="6"/>
      <c r="R246" s="6"/>
      <c r="S246" s="6"/>
      <c r="T246" s="2"/>
      <c r="U246" s="2"/>
      <c r="V246" s="2"/>
    </row>
    <row r="247" spans="1:22" x14ac:dyDescent="0.25">
      <c r="A247" s="56"/>
      <c r="B247" s="56"/>
      <c r="C247" s="56"/>
      <c r="D247" s="37"/>
      <c r="E247" s="6"/>
      <c r="F247" s="6"/>
      <c r="G247" s="6"/>
      <c r="H247" s="56"/>
      <c r="I247" s="56"/>
      <c r="J247" s="56"/>
      <c r="K247" s="6"/>
      <c r="L247" s="6"/>
      <c r="M247" s="6"/>
      <c r="N247" s="56"/>
      <c r="O247" s="56"/>
      <c r="P247" s="56"/>
      <c r="Q247" s="6"/>
      <c r="R247" s="6"/>
      <c r="S247" s="6"/>
      <c r="T247" s="2"/>
      <c r="U247" s="2"/>
      <c r="V247" s="2"/>
    </row>
    <row r="248" spans="1:22" x14ac:dyDescent="0.25">
      <c r="A248" s="56"/>
      <c r="B248" s="56"/>
      <c r="C248" s="56"/>
      <c r="D248" s="37"/>
      <c r="E248" s="6"/>
      <c r="F248" s="6"/>
      <c r="G248" s="6"/>
      <c r="H248" s="56"/>
      <c r="I248" s="56"/>
      <c r="J248" s="56"/>
      <c r="K248" s="6"/>
      <c r="L248" s="6"/>
      <c r="M248" s="6"/>
      <c r="N248" s="56"/>
      <c r="O248" s="56"/>
      <c r="P248" s="56"/>
      <c r="Q248" s="6"/>
      <c r="R248" s="6"/>
      <c r="S248" s="6"/>
      <c r="T248" s="2"/>
      <c r="U248" s="2"/>
      <c r="V248" s="2"/>
    </row>
    <row r="249" spans="1:22" x14ac:dyDescent="0.25">
      <c r="A249" s="56"/>
      <c r="B249" s="56"/>
      <c r="C249" s="56"/>
      <c r="D249" s="37"/>
      <c r="E249" s="6"/>
      <c r="F249" s="6"/>
      <c r="G249" s="6"/>
      <c r="H249" s="56"/>
      <c r="I249" s="56"/>
      <c r="J249" s="56"/>
      <c r="K249" s="6"/>
      <c r="L249" s="6"/>
      <c r="M249" s="6"/>
      <c r="N249" s="56"/>
      <c r="O249" s="56"/>
      <c r="P249" s="56"/>
      <c r="Q249" s="6"/>
      <c r="R249" s="6"/>
      <c r="S249" s="6"/>
      <c r="T249" s="2"/>
      <c r="U249" s="2"/>
      <c r="V249" s="2"/>
    </row>
    <row r="250" spans="1:22" x14ac:dyDescent="0.25">
      <c r="A250" s="56"/>
      <c r="B250" s="56"/>
      <c r="C250" s="56"/>
      <c r="D250" s="37"/>
      <c r="E250" s="6"/>
      <c r="F250" s="6"/>
      <c r="G250" s="6"/>
      <c r="H250" s="56"/>
      <c r="I250" s="56"/>
      <c r="J250" s="56"/>
      <c r="K250" s="6"/>
      <c r="L250" s="6"/>
      <c r="M250" s="6"/>
      <c r="N250" s="56"/>
      <c r="O250" s="56"/>
      <c r="P250" s="56"/>
      <c r="Q250" s="6"/>
      <c r="R250" s="6"/>
      <c r="S250" s="6"/>
      <c r="T250" s="2"/>
      <c r="U250" s="2"/>
      <c r="V250" s="2"/>
    </row>
    <row r="251" spans="1:22" x14ac:dyDescent="0.25">
      <c r="A251" s="56"/>
      <c r="B251" s="56"/>
      <c r="C251" s="56"/>
      <c r="D251" s="37"/>
      <c r="E251" s="6"/>
      <c r="F251" s="6"/>
      <c r="G251" s="6"/>
      <c r="H251" s="56"/>
      <c r="I251" s="56"/>
      <c r="J251" s="56"/>
      <c r="K251" s="6"/>
      <c r="L251" s="6"/>
      <c r="M251" s="6"/>
      <c r="N251" s="56"/>
      <c r="O251" s="56"/>
      <c r="P251" s="56"/>
      <c r="Q251" s="6"/>
      <c r="R251" s="6"/>
      <c r="S251" s="6"/>
      <c r="T251" s="2"/>
      <c r="U251" s="2"/>
      <c r="V251" s="2"/>
    </row>
    <row r="252" spans="1:22" x14ac:dyDescent="0.25">
      <c r="A252" s="56"/>
      <c r="B252" s="56"/>
      <c r="C252" s="56"/>
      <c r="D252" s="37"/>
      <c r="E252" s="6"/>
      <c r="F252" s="6"/>
      <c r="G252" s="6"/>
      <c r="H252" s="56"/>
      <c r="I252" s="56"/>
      <c r="J252" s="56"/>
      <c r="K252" s="6"/>
      <c r="L252" s="6"/>
      <c r="M252" s="6"/>
      <c r="N252" s="56"/>
      <c r="O252" s="56"/>
      <c r="P252" s="56"/>
      <c r="Q252" s="6"/>
      <c r="R252" s="6"/>
      <c r="S252" s="6"/>
      <c r="T252" s="2"/>
      <c r="U252" s="2"/>
      <c r="V252" s="2"/>
    </row>
    <row r="253" spans="1:22" x14ac:dyDescent="0.25">
      <c r="A253" s="56"/>
      <c r="B253" s="56"/>
      <c r="C253" s="56"/>
      <c r="D253" s="37"/>
      <c r="E253" s="6"/>
      <c r="F253" s="6"/>
      <c r="G253" s="6"/>
      <c r="H253" s="56"/>
      <c r="I253" s="56"/>
      <c r="J253" s="56"/>
      <c r="K253" s="6"/>
      <c r="L253" s="6"/>
      <c r="M253" s="6"/>
      <c r="N253" s="56"/>
      <c r="O253" s="56"/>
      <c r="P253" s="56"/>
      <c r="Q253" s="6"/>
      <c r="R253" s="6"/>
      <c r="S253" s="6"/>
      <c r="T253" s="2"/>
      <c r="U253" s="2"/>
      <c r="V253" s="2"/>
    </row>
    <row r="254" spans="1:22" x14ac:dyDescent="0.25">
      <c r="A254" s="56"/>
      <c r="B254" s="56"/>
      <c r="C254" s="56"/>
      <c r="D254" s="37"/>
      <c r="E254" s="6"/>
      <c r="F254" s="6"/>
      <c r="G254" s="6"/>
      <c r="H254" s="56"/>
      <c r="I254" s="56"/>
      <c r="J254" s="56"/>
      <c r="K254" s="6"/>
      <c r="L254" s="6"/>
      <c r="M254" s="6"/>
      <c r="N254" s="56"/>
      <c r="O254" s="56"/>
      <c r="P254" s="56"/>
      <c r="Q254" s="6"/>
      <c r="R254" s="6"/>
      <c r="S254" s="6"/>
      <c r="T254" s="2"/>
      <c r="U254" s="2"/>
      <c r="V254" s="2"/>
    </row>
    <row r="255" spans="1:22" x14ac:dyDescent="0.25">
      <c r="A255" s="56"/>
      <c r="B255" s="56"/>
      <c r="C255" s="56"/>
      <c r="D255" s="37"/>
      <c r="E255" s="6"/>
      <c r="F255" s="6"/>
      <c r="G255" s="6"/>
      <c r="H255" s="56"/>
      <c r="I255" s="56"/>
      <c r="J255" s="56"/>
      <c r="K255" s="6"/>
      <c r="L255" s="6"/>
      <c r="M255" s="6"/>
      <c r="N255" s="56"/>
      <c r="O255" s="56"/>
      <c r="P255" s="56"/>
      <c r="Q255" s="6"/>
      <c r="R255" s="6"/>
      <c r="S255" s="6"/>
      <c r="T255" s="2"/>
      <c r="U255" s="2"/>
      <c r="V255" s="2"/>
    </row>
    <row r="256" spans="1:22" x14ac:dyDescent="0.25">
      <c r="A256" s="56"/>
      <c r="B256" s="56"/>
      <c r="C256" s="56"/>
      <c r="D256" s="37"/>
      <c r="E256" s="6"/>
      <c r="F256" s="6"/>
      <c r="G256" s="6"/>
      <c r="H256" s="56"/>
      <c r="I256" s="56"/>
      <c r="J256" s="56"/>
      <c r="K256" s="6"/>
      <c r="L256" s="6"/>
      <c r="M256" s="6"/>
      <c r="N256" s="56"/>
      <c r="O256" s="56"/>
      <c r="P256" s="56"/>
      <c r="Q256" s="6"/>
      <c r="R256" s="6"/>
      <c r="S256" s="6"/>
      <c r="T256" s="2"/>
      <c r="U256" s="2"/>
      <c r="V256" s="2"/>
    </row>
    <row r="257" spans="1:22" x14ac:dyDescent="0.25">
      <c r="A257" s="56"/>
      <c r="B257" s="56"/>
      <c r="C257" s="56"/>
      <c r="D257" s="37"/>
      <c r="E257" s="6"/>
      <c r="F257" s="6"/>
      <c r="G257" s="6"/>
      <c r="H257" s="56"/>
      <c r="I257" s="56"/>
      <c r="J257" s="56"/>
      <c r="K257" s="6"/>
      <c r="L257" s="6"/>
      <c r="M257" s="6"/>
      <c r="N257" s="56"/>
      <c r="O257" s="56"/>
      <c r="P257" s="56"/>
      <c r="Q257" s="6"/>
      <c r="R257" s="6"/>
      <c r="S257" s="6"/>
      <c r="T257" s="2"/>
      <c r="U257" s="2"/>
      <c r="V257" s="2"/>
    </row>
    <row r="258" spans="1:22" x14ac:dyDescent="0.25">
      <c r="A258" s="56"/>
      <c r="B258" s="56"/>
      <c r="C258" s="56"/>
      <c r="D258" s="37"/>
      <c r="E258" s="6"/>
      <c r="F258" s="6"/>
      <c r="G258" s="6"/>
      <c r="H258" s="56"/>
      <c r="I258" s="56"/>
      <c r="J258" s="56"/>
      <c r="K258" s="6"/>
      <c r="L258" s="6"/>
      <c r="M258" s="6"/>
      <c r="N258" s="56"/>
      <c r="O258" s="56"/>
      <c r="P258" s="56"/>
      <c r="Q258" s="6"/>
      <c r="R258" s="6"/>
      <c r="S258" s="6"/>
      <c r="T258" s="2"/>
      <c r="U258" s="2"/>
      <c r="V258" s="2"/>
    </row>
    <row r="259" spans="1:22" x14ac:dyDescent="0.25">
      <c r="A259" s="56"/>
      <c r="B259" s="56"/>
      <c r="C259" s="56"/>
      <c r="D259" s="37"/>
      <c r="E259" s="6"/>
      <c r="F259" s="6"/>
      <c r="G259" s="6"/>
      <c r="H259" s="56"/>
      <c r="I259" s="56"/>
      <c r="J259" s="56"/>
      <c r="K259" s="6"/>
      <c r="L259" s="6"/>
      <c r="M259" s="6"/>
      <c r="N259" s="56"/>
      <c r="O259" s="56"/>
      <c r="P259" s="56"/>
      <c r="Q259" s="6"/>
      <c r="R259" s="6"/>
      <c r="S259" s="6"/>
      <c r="T259" s="2"/>
      <c r="U259" s="2"/>
      <c r="V259" s="2"/>
    </row>
    <row r="260" spans="1:22" x14ac:dyDescent="0.25">
      <c r="A260" s="56"/>
      <c r="B260" s="56"/>
      <c r="C260" s="56"/>
      <c r="D260" s="37"/>
      <c r="E260" s="6"/>
      <c r="F260" s="6"/>
      <c r="G260" s="6"/>
      <c r="H260" s="56"/>
      <c r="I260" s="56"/>
      <c r="J260" s="56"/>
      <c r="K260" s="6"/>
      <c r="L260" s="6"/>
      <c r="M260" s="6"/>
      <c r="N260" s="56"/>
      <c r="O260" s="56"/>
      <c r="P260" s="56"/>
      <c r="Q260" s="6"/>
      <c r="R260" s="6"/>
      <c r="S260" s="6"/>
      <c r="T260" s="2"/>
      <c r="U260" s="2"/>
      <c r="V260" s="2"/>
    </row>
    <row r="261" spans="1:22" x14ac:dyDescent="0.25">
      <c r="A261" s="56"/>
      <c r="B261" s="56"/>
      <c r="C261" s="56"/>
      <c r="D261" s="37"/>
      <c r="E261" s="6"/>
      <c r="F261" s="6"/>
      <c r="G261" s="6"/>
      <c r="H261" s="56"/>
      <c r="I261" s="56"/>
      <c r="J261" s="56"/>
      <c r="K261" s="6"/>
      <c r="L261" s="6"/>
      <c r="M261" s="6"/>
      <c r="N261" s="56"/>
      <c r="O261" s="56"/>
      <c r="P261" s="56"/>
      <c r="Q261" s="6"/>
      <c r="R261" s="6"/>
      <c r="S261" s="6"/>
      <c r="T261" s="2"/>
      <c r="U261" s="2"/>
      <c r="V261" s="2"/>
    </row>
    <row r="262" spans="1:22" x14ac:dyDescent="0.25">
      <c r="A262" s="56"/>
      <c r="B262" s="56"/>
      <c r="C262" s="56"/>
      <c r="D262" s="37"/>
      <c r="E262" s="6"/>
      <c r="F262" s="6"/>
      <c r="G262" s="6"/>
      <c r="H262" s="56"/>
      <c r="I262" s="56"/>
      <c r="J262" s="56"/>
      <c r="K262" s="6"/>
      <c r="L262" s="6"/>
      <c r="M262" s="6"/>
      <c r="N262" s="56"/>
      <c r="O262" s="56"/>
      <c r="P262" s="56"/>
      <c r="Q262" s="6"/>
      <c r="R262" s="6"/>
      <c r="S262" s="6"/>
      <c r="T262" s="2"/>
      <c r="U262" s="2"/>
      <c r="V262" s="2"/>
    </row>
    <row r="263" spans="1:22" x14ac:dyDescent="0.25">
      <c r="A263" s="56"/>
      <c r="B263" s="56"/>
      <c r="C263" s="56"/>
      <c r="D263" s="37"/>
      <c r="E263" s="6"/>
      <c r="F263" s="6"/>
      <c r="G263" s="6"/>
      <c r="H263" s="56"/>
      <c r="I263" s="56"/>
      <c r="J263" s="56"/>
      <c r="K263" s="6"/>
      <c r="L263" s="6"/>
      <c r="M263" s="6"/>
      <c r="N263" s="56"/>
      <c r="O263" s="56"/>
      <c r="P263" s="56"/>
      <c r="Q263" s="6"/>
      <c r="R263" s="6"/>
      <c r="S263" s="6"/>
      <c r="T263" s="2"/>
      <c r="U263" s="2"/>
      <c r="V263" s="2"/>
    </row>
    <row r="264" spans="1:22" x14ac:dyDescent="0.25">
      <c r="A264" s="56"/>
      <c r="B264" s="56"/>
      <c r="C264" s="56"/>
      <c r="D264" s="37"/>
      <c r="E264" s="6"/>
      <c r="F264" s="6"/>
      <c r="G264" s="6"/>
      <c r="H264" s="56"/>
      <c r="I264" s="56"/>
      <c r="J264" s="56"/>
      <c r="K264" s="6"/>
      <c r="L264" s="6"/>
      <c r="M264" s="6"/>
      <c r="N264" s="56"/>
      <c r="O264" s="56"/>
      <c r="P264" s="56"/>
      <c r="Q264" s="6"/>
      <c r="R264" s="6"/>
      <c r="S264" s="6"/>
      <c r="T264" s="2"/>
      <c r="U264" s="2"/>
      <c r="V264" s="2"/>
    </row>
    <row r="265" spans="1:22" x14ac:dyDescent="0.25">
      <c r="A265" s="56"/>
      <c r="B265" s="56"/>
      <c r="C265" s="56"/>
      <c r="D265" s="37"/>
      <c r="E265" s="6"/>
      <c r="F265" s="6"/>
      <c r="G265" s="6"/>
      <c r="H265" s="56"/>
      <c r="I265" s="56"/>
      <c r="J265" s="56"/>
      <c r="K265" s="6"/>
      <c r="L265" s="6"/>
      <c r="M265" s="6"/>
      <c r="N265" s="56"/>
      <c r="O265" s="56"/>
      <c r="P265" s="56"/>
      <c r="Q265" s="6"/>
      <c r="R265" s="6"/>
      <c r="S265" s="6"/>
      <c r="T265" s="2"/>
      <c r="U265" s="2"/>
      <c r="V265" s="2"/>
    </row>
    <row r="266" spans="1:22" x14ac:dyDescent="0.25">
      <c r="A266" s="56"/>
      <c r="B266" s="56"/>
      <c r="C266" s="56"/>
      <c r="D266" s="37"/>
      <c r="E266" s="6"/>
      <c r="F266" s="6"/>
      <c r="G266" s="6"/>
      <c r="H266" s="56"/>
      <c r="I266" s="56"/>
      <c r="J266" s="56"/>
      <c r="K266" s="6"/>
      <c r="L266" s="6"/>
      <c r="M266" s="6"/>
      <c r="N266" s="56"/>
      <c r="O266" s="56"/>
      <c r="P266" s="56"/>
      <c r="Q266" s="6"/>
      <c r="R266" s="6"/>
      <c r="S266" s="6"/>
      <c r="T266" s="2"/>
      <c r="U266" s="2"/>
      <c r="V266" s="2"/>
    </row>
    <row r="267" spans="1:22" x14ac:dyDescent="0.25">
      <c r="A267" s="56"/>
      <c r="B267" s="56"/>
      <c r="C267" s="56"/>
      <c r="D267" s="37"/>
      <c r="E267" s="6"/>
      <c r="F267" s="6"/>
      <c r="G267" s="6"/>
      <c r="H267" s="56"/>
      <c r="I267" s="56"/>
      <c r="J267" s="56"/>
      <c r="K267" s="6"/>
      <c r="L267" s="6"/>
      <c r="M267" s="6"/>
      <c r="N267" s="56"/>
      <c r="O267" s="56"/>
      <c r="P267" s="56"/>
      <c r="Q267" s="6"/>
      <c r="R267" s="6"/>
      <c r="S267" s="6"/>
      <c r="T267" s="2"/>
      <c r="U267" s="2"/>
      <c r="V267" s="2"/>
    </row>
    <row r="268" spans="1:22" x14ac:dyDescent="0.25">
      <c r="A268" s="56"/>
      <c r="B268" s="56"/>
      <c r="C268" s="56"/>
      <c r="D268" s="37"/>
      <c r="E268" s="6"/>
      <c r="F268" s="6"/>
      <c r="G268" s="6"/>
      <c r="H268" s="56"/>
      <c r="I268" s="56"/>
      <c r="J268" s="56"/>
      <c r="K268" s="6"/>
      <c r="L268" s="6"/>
      <c r="M268" s="6"/>
      <c r="N268" s="56"/>
      <c r="O268" s="56"/>
      <c r="P268" s="56"/>
      <c r="Q268" s="6"/>
      <c r="R268" s="6"/>
      <c r="S268" s="6"/>
      <c r="T268" s="2"/>
      <c r="U268" s="2"/>
      <c r="V268" s="2"/>
    </row>
    <row r="269" spans="1:22" x14ac:dyDescent="0.25">
      <c r="A269" s="56"/>
      <c r="B269" s="56"/>
      <c r="C269" s="56"/>
      <c r="D269" s="37"/>
      <c r="E269" s="6"/>
      <c r="F269" s="6"/>
      <c r="G269" s="6"/>
      <c r="H269" s="56"/>
      <c r="I269" s="56"/>
      <c r="J269" s="56"/>
      <c r="K269" s="6"/>
      <c r="L269" s="6"/>
      <c r="M269" s="6"/>
      <c r="N269" s="56"/>
      <c r="O269" s="56"/>
      <c r="P269" s="56"/>
      <c r="Q269" s="6"/>
      <c r="R269" s="6"/>
      <c r="S269" s="6"/>
      <c r="T269" s="2"/>
      <c r="U269" s="2"/>
      <c r="V269" s="2"/>
    </row>
    <row r="270" spans="1:22" x14ac:dyDescent="0.25">
      <c r="A270" s="56"/>
      <c r="B270" s="56"/>
      <c r="C270" s="56"/>
      <c r="D270" s="37"/>
      <c r="E270" s="6"/>
      <c r="F270" s="6"/>
      <c r="G270" s="6"/>
      <c r="H270" s="56"/>
      <c r="I270" s="56"/>
      <c r="J270" s="56"/>
      <c r="K270" s="6"/>
      <c r="L270" s="6"/>
      <c r="M270" s="6"/>
      <c r="N270" s="56"/>
      <c r="O270" s="56"/>
      <c r="P270" s="56"/>
      <c r="Q270" s="6"/>
      <c r="R270" s="6"/>
      <c r="S270" s="6"/>
      <c r="T270" s="2"/>
      <c r="U270" s="2"/>
      <c r="V270" s="2"/>
    </row>
    <row r="271" spans="1:22" x14ac:dyDescent="0.25">
      <c r="A271" s="56"/>
      <c r="B271" s="56"/>
      <c r="C271" s="56"/>
      <c r="D271" s="37"/>
      <c r="E271" s="6"/>
      <c r="F271" s="6"/>
      <c r="G271" s="6"/>
      <c r="H271" s="56"/>
      <c r="I271" s="56"/>
      <c r="J271" s="56"/>
      <c r="K271" s="6"/>
      <c r="L271" s="6"/>
      <c r="M271" s="6"/>
      <c r="N271" s="56"/>
      <c r="O271" s="56"/>
      <c r="P271" s="56"/>
      <c r="Q271" s="6"/>
      <c r="R271" s="6"/>
      <c r="S271" s="6"/>
      <c r="T271" s="2"/>
      <c r="U271" s="2"/>
      <c r="V271" s="2"/>
    </row>
    <row r="272" spans="1:22" x14ac:dyDescent="0.25">
      <c r="A272" s="56"/>
      <c r="B272" s="56"/>
      <c r="C272" s="56"/>
      <c r="D272" s="37"/>
      <c r="E272" s="6"/>
      <c r="F272" s="6"/>
      <c r="G272" s="6"/>
      <c r="H272" s="56"/>
      <c r="I272" s="56"/>
      <c r="J272" s="56"/>
      <c r="K272" s="6"/>
      <c r="L272" s="6"/>
      <c r="M272" s="6"/>
      <c r="N272" s="56"/>
      <c r="O272" s="56"/>
      <c r="P272" s="56"/>
      <c r="Q272" s="6"/>
      <c r="R272" s="6"/>
      <c r="S272" s="6"/>
      <c r="T272" s="2"/>
      <c r="U272" s="2"/>
      <c r="V272" s="2"/>
    </row>
    <row r="273" spans="1:22" x14ac:dyDescent="0.25">
      <c r="A273" s="56"/>
      <c r="B273" s="56"/>
      <c r="C273" s="56"/>
      <c r="D273" s="37"/>
      <c r="E273" s="6"/>
      <c r="F273" s="6"/>
      <c r="G273" s="6"/>
      <c r="H273" s="56"/>
      <c r="I273" s="56"/>
      <c r="J273" s="56"/>
      <c r="K273" s="6"/>
      <c r="L273" s="6"/>
      <c r="M273" s="6"/>
      <c r="N273" s="56"/>
      <c r="O273" s="56"/>
      <c r="P273" s="56"/>
      <c r="Q273" s="6"/>
      <c r="R273" s="6"/>
      <c r="S273" s="6"/>
      <c r="T273" s="2"/>
      <c r="U273" s="2"/>
      <c r="V273" s="2"/>
    </row>
    <row r="274" spans="1:22" x14ac:dyDescent="0.25">
      <c r="A274" s="56"/>
      <c r="B274" s="56"/>
      <c r="C274" s="56"/>
      <c r="D274" s="37"/>
      <c r="E274" s="6"/>
      <c r="F274" s="6"/>
      <c r="G274" s="6"/>
      <c r="H274" s="56"/>
      <c r="I274" s="56"/>
      <c r="J274" s="56"/>
      <c r="K274" s="6"/>
      <c r="L274" s="6"/>
      <c r="M274" s="6"/>
      <c r="N274" s="56"/>
      <c r="O274" s="56"/>
      <c r="P274" s="56"/>
      <c r="Q274" s="6"/>
      <c r="R274" s="6"/>
      <c r="S274" s="6"/>
      <c r="T274" s="2"/>
      <c r="U274" s="2"/>
      <c r="V274" s="2"/>
    </row>
    <row r="275" spans="1:22" x14ac:dyDescent="0.25">
      <c r="A275" s="56"/>
      <c r="B275" s="56"/>
      <c r="C275" s="56"/>
      <c r="D275" s="37"/>
      <c r="E275" s="6"/>
      <c r="F275" s="6"/>
      <c r="G275" s="6"/>
      <c r="H275" s="56"/>
      <c r="I275" s="56"/>
      <c r="J275" s="56"/>
      <c r="K275" s="6"/>
      <c r="L275" s="6"/>
      <c r="M275" s="6"/>
      <c r="N275" s="56"/>
      <c r="O275" s="56"/>
      <c r="P275" s="56"/>
      <c r="Q275" s="6"/>
      <c r="R275" s="6"/>
      <c r="S275" s="6"/>
      <c r="T275" s="2"/>
      <c r="U275" s="2"/>
      <c r="V275" s="2"/>
    </row>
    <row r="276" spans="1:22" x14ac:dyDescent="0.25">
      <c r="A276" s="56"/>
      <c r="B276" s="56"/>
      <c r="C276" s="56"/>
      <c r="D276" s="37"/>
      <c r="E276" s="6"/>
      <c r="F276" s="6"/>
      <c r="G276" s="6"/>
      <c r="H276" s="56"/>
      <c r="I276" s="56"/>
      <c r="J276" s="56"/>
      <c r="K276" s="6"/>
      <c r="L276" s="6"/>
      <c r="M276" s="6"/>
      <c r="N276" s="56"/>
      <c r="O276" s="56"/>
      <c r="P276" s="56"/>
      <c r="Q276" s="6"/>
      <c r="R276" s="6"/>
      <c r="S276" s="6"/>
      <c r="T276" s="2"/>
      <c r="U276" s="2"/>
      <c r="V276" s="2"/>
    </row>
    <row r="277" spans="1:22" x14ac:dyDescent="0.25">
      <c r="A277" s="56"/>
      <c r="B277" s="56"/>
      <c r="C277" s="56"/>
      <c r="D277" s="37"/>
      <c r="E277" s="6"/>
      <c r="F277" s="6"/>
      <c r="G277" s="6"/>
      <c r="H277" s="56"/>
      <c r="I277" s="56"/>
      <c r="J277" s="56"/>
      <c r="K277" s="6"/>
      <c r="L277" s="6"/>
      <c r="M277" s="6"/>
      <c r="N277" s="56"/>
      <c r="O277" s="56"/>
      <c r="P277" s="56"/>
      <c r="Q277" s="6"/>
      <c r="R277" s="6"/>
      <c r="S277" s="6"/>
      <c r="T277" s="2"/>
      <c r="U277" s="2"/>
      <c r="V277" s="2"/>
    </row>
    <row r="278" spans="1:22" x14ac:dyDescent="0.25">
      <c r="A278" s="56"/>
      <c r="B278" s="56"/>
      <c r="C278" s="56"/>
      <c r="D278" s="37"/>
      <c r="E278" s="6"/>
      <c r="F278" s="6"/>
      <c r="G278" s="6"/>
      <c r="H278" s="56"/>
      <c r="I278" s="56"/>
      <c r="J278" s="56"/>
      <c r="K278" s="6"/>
      <c r="L278" s="6"/>
      <c r="M278" s="6"/>
      <c r="N278" s="56"/>
      <c r="O278" s="56"/>
      <c r="P278" s="56"/>
      <c r="Q278" s="6"/>
      <c r="R278" s="6"/>
      <c r="S278" s="6"/>
      <c r="T278" s="2"/>
      <c r="U278" s="2"/>
      <c r="V278" s="2"/>
    </row>
    <row r="279" spans="1:22" x14ac:dyDescent="0.25">
      <c r="A279" s="56"/>
      <c r="B279" s="56"/>
      <c r="C279" s="56"/>
      <c r="D279" s="37"/>
      <c r="E279" s="6"/>
      <c r="F279" s="6"/>
      <c r="G279" s="6"/>
      <c r="H279" s="56"/>
      <c r="I279" s="56"/>
      <c r="J279" s="56"/>
      <c r="K279" s="6"/>
      <c r="L279" s="6"/>
      <c r="M279" s="6"/>
      <c r="N279" s="56"/>
      <c r="O279" s="56"/>
      <c r="P279" s="56"/>
      <c r="Q279" s="6"/>
      <c r="R279" s="6"/>
      <c r="S279" s="6"/>
      <c r="T279" s="2"/>
      <c r="U279" s="2"/>
      <c r="V279" s="2"/>
    </row>
    <row r="280" spans="1:22" x14ac:dyDescent="0.25">
      <c r="A280" s="56"/>
      <c r="B280" s="56"/>
      <c r="C280" s="56"/>
      <c r="D280" s="37"/>
      <c r="E280" s="6"/>
      <c r="F280" s="6"/>
      <c r="G280" s="6"/>
      <c r="H280" s="56"/>
      <c r="I280" s="56"/>
      <c r="J280" s="56"/>
      <c r="K280" s="6"/>
      <c r="L280" s="6"/>
      <c r="M280" s="6"/>
      <c r="N280" s="56"/>
      <c r="O280" s="56"/>
      <c r="P280" s="56"/>
      <c r="Q280" s="6"/>
      <c r="R280" s="6"/>
      <c r="S280" s="6"/>
      <c r="T280" s="2"/>
      <c r="U280" s="2"/>
      <c r="V280" s="2"/>
    </row>
    <row r="281" spans="1:22" x14ac:dyDescent="0.25">
      <c r="A281" s="56"/>
      <c r="B281" s="56"/>
      <c r="C281" s="56"/>
      <c r="D281" s="37"/>
      <c r="E281" s="6"/>
      <c r="F281" s="6"/>
      <c r="G281" s="6"/>
      <c r="H281" s="56"/>
      <c r="I281" s="56"/>
      <c r="J281" s="56"/>
      <c r="K281" s="6"/>
      <c r="L281" s="6"/>
      <c r="M281" s="6"/>
      <c r="N281" s="56"/>
      <c r="O281" s="56"/>
      <c r="P281" s="56"/>
      <c r="Q281" s="6"/>
      <c r="R281" s="6"/>
      <c r="S281" s="6"/>
      <c r="T281" s="2"/>
      <c r="U281" s="2"/>
      <c r="V281" s="2"/>
    </row>
    <row r="282" spans="1:22" x14ac:dyDescent="0.25">
      <c r="A282" s="56"/>
      <c r="B282" s="56"/>
      <c r="C282" s="56"/>
      <c r="D282" s="37"/>
      <c r="E282" s="6"/>
      <c r="F282" s="6"/>
      <c r="G282" s="6"/>
      <c r="H282" s="56"/>
      <c r="I282" s="56"/>
      <c r="J282" s="56"/>
      <c r="K282" s="6"/>
      <c r="L282" s="6"/>
      <c r="M282" s="6"/>
      <c r="N282" s="56"/>
      <c r="O282" s="56"/>
      <c r="P282" s="56"/>
      <c r="Q282" s="6"/>
      <c r="R282" s="6"/>
      <c r="S282" s="6"/>
      <c r="T282" s="2"/>
      <c r="U282" s="2"/>
      <c r="V282" s="2"/>
    </row>
    <row r="283" spans="1:22" x14ac:dyDescent="0.25">
      <c r="A283" s="56"/>
      <c r="B283" s="56"/>
      <c r="C283" s="56"/>
      <c r="D283" s="37"/>
      <c r="E283" s="6"/>
      <c r="F283" s="6"/>
      <c r="G283" s="6"/>
      <c r="H283" s="56"/>
      <c r="I283" s="56"/>
      <c r="J283" s="56"/>
      <c r="K283" s="6"/>
      <c r="L283" s="6"/>
      <c r="M283" s="6"/>
      <c r="N283" s="56"/>
      <c r="O283" s="56"/>
      <c r="P283" s="56"/>
      <c r="Q283" s="6"/>
      <c r="R283" s="6"/>
      <c r="S283" s="6"/>
      <c r="T283" s="2"/>
      <c r="U283" s="2"/>
      <c r="V283" s="2"/>
    </row>
    <row r="284" spans="1:22" x14ac:dyDescent="0.25">
      <c r="A284" s="56"/>
      <c r="B284" s="56"/>
      <c r="C284" s="56"/>
      <c r="D284" s="37"/>
      <c r="E284" s="6"/>
      <c r="F284" s="6"/>
      <c r="G284" s="6"/>
      <c r="H284" s="56"/>
      <c r="I284" s="56"/>
      <c r="J284" s="56"/>
      <c r="K284" s="6"/>
      <c r="L284" s="6"/>
      <c r="M284" s="6"/>
      <c r="N284" s="56"/>
      <c r="O284" s="56"/>
      <c r="P284" s="56"/>
      <c r="Q284" s="6"/>
      <c r="R284" s="6"/>
      <c r="S284" s="6"/>
      <c r="T284" s="2"/>
      <c r="U284" s="2"/>
      <c r="V284" s="2"/>
    </row>
    <row r="285" spans="1:22" x14ac:dyDescent="0.25">
      <c r="A285" s="56"/>
      <c r="B285" s="56"/>
      <c r="C285" s="56"/>
      <c r="D285" s="37"/>
      <c r="E285" s="6"/>
      <c r="F285" s="6"/>
      <c r="G285" s="6"/>
      <c r="H285" s="56"/>
      <c r="I285" s="56"/>
      <c r="J285" s="56"/>
      <c r="K285" s="6"/>
      <c r="L285" s="6"/>
      <c r="M285" s="6"/>
      <c r="N285" s="56"/>
      <c r="O285" s="56"/>
      <c r="P285" s="56"/>
      <c r="Q285" s="6"/>
      <c r="R285" s="6"/>
      <c r="S285" s="6"/>
      <c r="T285" s="2"/>
      <c r="U285" s="2"/>
      <c r="V285" s="2"/>
    </row>
    <row r="286" spans="1:22" x14ac:dyDescent="0.25">
      <c r="A286" s="56"/>
      <c r="B286" s="56"/>
      <c r="C286" s="56"/>
      <c r="D286" s="37"/>
      <c r="E286" s="6"/>
      <c r="F286" s="6"/>
      <c r="G286" s="6"/>
      <c r="H286" s="56"/>
      <c r="I286" s="56"/>
      <c r="J286" s="56"/>
      <c r="K286" s="6"/>
      <c r="L286" s="6"/>
      <c r="M286" s="6"/>
      <c r="N286" s="56"/>
      <c r="O286" s="56"/>
      <c r="P286" s="56"/>
      <c r="Q286" s="6"/>
      <c r="R286" s="6"/>
      <c r="S286" s="6"/>
      <c r="T286" s="2"/>
      <c r="U286" s="2"/>
      <c r="V286" s="2"/>
    </row>
    <row r="287" spans="1:22" x14ac:dyDescent="0.25">
      <c r="A287" s="56"/>
      <c r="B287" s="56"/>
      <c r="C287" s="56"/>
      <c r="D287" s="37"/>
      <c r="E287" s="6"/>
      <c r="F287" s="6"/>
      <c r="G287" s="6"/>
      <c r="H287" s="56"/>
      <c r="I287" s="56"/>
      <c r="J287" s="56"/>
      <c r="K287" s="6"/>
      <c r="L287" s="6"/>
      <c r="M287" s="6"/>
      <c r="N287" s="56"/>
      <c r="O287" s="56"/>
      <c r="P287" s="56"/>
      <c r="Q287" s="6"/>
      <c r="R287" s="6"/>
      <c r="S287" s="6"/>
      <c r="T287" s="2"/>
      <c r="U287" s="2"/>
      <c r="V287" s="2"/>
    </row>
    <row r="288" spans="1:22" x14ac:dyDescent="0.25">
      <c r="A288" s="56"/>
      <c r="B288" s="56"/>
      <c r="C288" s="56"/>
      <c r="D288" s="37"/>
      <c r="E288" s="6"/>
      <c r="F288" s="6"/>
      <c r="G288" s="6"/>
      <c r="H288" s="56"/>
      <c r="I288" s="56"/>
      <c r="J288" s="56"/>
      <c r="K288" s="6"/>
      <c r="L288" s="6"/>
      <c r="M288" s="6"/>
      <c r="N288" s="56"/>
      <c r="O288" s="56"/>
      <c r="P288" s="56"/>
      <c r="Q288" s="6"/>
      <c r="R288" s="6"/>
      <c r="S288" s="6"/>
      <c r="T288" s="2"/>
      <c r="U288" s="2"/>
      <c r="V288" s="2"/>
    </row>
    <row r="289" spans="1:22" x14ac:dyDescent="0.25">
      <c r="A289" s="56"/>
      <c r="B289" s="56"/>
      <c r="C289" s="56"/>
      <c r="D289" s="37"/>
      <c r="E289" s="6"/>
      <c r="F289" s="6"/>
      <c r="G289" s="6"/>
      <c r="H289" s="56"/>
      <c r="I289" s="56"/>
      <c r="J289" s="56"/>
      <c r="K289" s="6"/>
      <c r="L289" s="6"/>
      <c r="M289" s="6"/>
      <c r="N289" s="56"/>
      <c r="O289" s="56"/>
      <c r="P289" s="56"/>
      <c r="Q289" s="6"/>
      <c r="R289" s="6"/>
      <c r="S289" s="6"/>
      <c r="T289" s="2"/>
      <c r="U289" s="2"/>
      <c r="V289" s="2"/>
    </row>
    <row r="290" spans="1:22" x14ac:dyDescent="0.25">
      <c r="A290" s="56"/>
      <c r="B290" s="56"/>
      <c r="C290" s="56"/>
      <c r="D290" s="37"/>
      <c r="E290" s="6"/>
      <c r="F290" s="6"/>
      <c r="G290" s="6"/>
      <c r="H290" s="56"/>
      <c r="I290" s="56"/>
      <c r="J290" s="56"/>
      <c r="K290" s="6"/>
      <c r="L290" s="6"/>
      <c r="M290" s="6"/>
      <c r="N290" s="56"/>
      <c r="O290" s="56"/>
      <c r="P290" s="56"/>
      <c r="Q290" s="6"/>
      <c r="R290" s="6"/>
      <c r="S290" s="6"/>
      <c r="T290" s="2"/>
      <c r="U290" s="2"/>
      <c r="V290" s="2"/>
    </row>
    <row r="291" spans="1:22" x14ac:dyDescent="0.25">
      <c r="A291" s="56"/>
      <c r="B291" s="56"/>
      <c r="C291" s="56"/>
      <c r="D291" s="37"/>
      <c r="E291" s="6"/>
      <c r="F291" s="6"/>
      <c r="G291" s="6"/>
      <c r="H291" s="56"/>
      <c r="I291" s="56"/>
      <c r="J291" s="56"/>
      <c r="K291" s="6"/>
      <c r="L291" s="6"/>
      <c r="M291" s="6"/>
      <c r="N291" s="56"/>
      <c r="O291" s="56"/>
      <c r="P291" s="56"/>
      <c r="Q291" s="6"/>
      <c r="R291" s="6"/>
      <c r="S291" s="6"/>
      <c r="T291" s="2"/>
      <c r="U291" s="2"/>
      <c r="V291" s="2"/>
    </row>
    <row r="292" spans="1:22" x14ac:dyDescent="0.25">
      <c r="A292" s="56"/>
      <c r="B292" s="56"/>
      <c r="C292" s="56"/>
      <c r="D292" s="37"/>
      <c r="E292" s="6"/>
      <c r="F292" s="6"/>
      <c r="G292" s="6"/>
      <c r="H292" s="56"/>
      <c r="I292" s="56"/>
      <c r="J292" s="56"/>
      <c r="K292" s="6"/>
      <c r="L292" s="6"/>
      <c r="M292" s="6"/>
      <c r="N292" s="56"/>
      <c r="O292" s="56"/>
      <c r="P292" s="56"/>
      <c r="Q292" s="6"/>
      <c r="R292" s="6"/>
      <c r="S292" s="6"/>
      <c r="T292" s="2"/>
      <c r="U292" s="2"/>
      <c r="V292" s="2"/>
    </row>
    <row r="293" spans="1:22" x14ac:dyDescent="0.25">
      <c r="A293" s="56"/>
      <c r="B293" s="56"/>
      <c r="C293" s="56"/>
      <c r="D293" s="37"/>
      <c r="E293" s="6"/>
      <c r="F293" s="6"/>
      <c r="G293" s="6"/>
      <c r="H293" s="56"/>
      <c r="I293" s="56"/>
      <c r="J293" s="56"/>
      <c r="K293" s="6"/>
      <c r="L293" s="6"/>
      <c r="M293" s="6"/>
      <c r="N293" s="56"/>
      <c r="O293" s="56"/>
      <c r="P293" s="56"/>
      <c r="Q293" s="6"/>
      <c r="R293" s="6"/>
      <c r="S293" s="6"/>
      <c r="T293" s="2"/>
      <c r="U293" s="2"/>
      <c r="V293" s="2"/>
    </row>
    <row r="294" spans="1:22" x14ac:dyDescent="0.25">
      <c r="A294" s="56"/>
      <c r="B294" s="56"/>
      <c r="C294" s="56"/>
      <c r="D294" s="37"/>
      <c r="E294" s="6"/>
      <c r="F294" s="6"/>
      <c r="G294" s="6"/>
      <c r="H294" s="56"/>
      <c r="I294" s="56"/>
      <c r="J294" s="56"/>
      <c r="K294" s="6"/>
      <c r="L294" s="6"/>
      <c r="M294" s="6"/>
      <c r="N294" s="56"/>
      <c r="O294" s="56"/>
      <c r="P294" s="56"/>
      <c r="Q294" s="6"/>
      <c r="R294" s="6"/>
      <c r="S294" s="6"/>
      <c r="T294" s="2"/>
      <c r="U294" s="2"/>
      <c r="V294" s="2"/>
    </row>
    <row r="295" spans="1:22" x14ac:dyDescent="0.25">
      <c r="A295" s="56"/>
      <c r="B295" s="56"/>
      <c r="C295" s="56"/>
      <c r="D295" s="37"/>
      <c r="E295" s="6"/>
      <c r="F295" s="6"/>
      <c r="G295" s="6"/>
      <c r="H295" s="56"/>
      <c r="I295" s="56"/>
      <c r="J295" s="56"/>
      <c r="K295" s="6"/>
      <c r="L295" s="6"/>
      <c r="M295" s="6"/>
      <c r="N295" s="56"/>
      <c r="O295" s="56"/>
      <c r="P295" s="56"/>
      <c r="Q295" s="6"/>
      <c r="R295" s="6"/>
      <c r="S295" s="6"/>
      <c r="T295" s="2"/>
      <c r="U295" s="2"/>
      <c r="V295" s="2"/>
    </row>
    <row r="296" spans="1:22" x14ac:dyDescent="0.25">
      <c r="A296" s="56"/>
      <c r="B296" s="56"/>
      <c r="C296" s="56"/>
      <c r="D296" s="37"/>
      <c r="E296" s="6"/>
      <c r="F296" s="6"/>
      <c r="G296" s="6"/>
      <c r="H296" s="56"/>
      <c r="I296" s="56"/>
      <c r="J296" s="56"/>
      <c r="K296" s="6"/>
      <c r="L296" s="6"/>
      <c r="M296" s="6"/>
      <c r="N296" s="56"/>
      <c r="O296" s="56"/>
      <c r="P296" s="56"/>
      <c r="Q296" s="6"/>
      <c r="R296" s="6"/>
      <c r="S296" s="6"/>
      <c r="T296" s="2"/>
      <c r="U296" s="2"/>
      <c r="V296" s="2"/>
    </row>
    <row r="297" spans="1:22" x14ac:dyDescent="0.25">
      <c r="A297" s="56"/>
      <c r="B297" s="56"/>
      <c r="C297" s="56"/>
      <c r="D297" s="37"/>
      <c r="E297" s="6"/>
      <c r="F297" s="6"/>
      <c r="G297" s="6"/>
      <c r="H297" s="56"/>
      <c r="I297" s="56"/>
      <c r="J297" s="56"/>
      <c r="K297" s="6"/>
      <c r="L297" s="6"/>
      <c r="M297" s="6"/>
      <c r="N297" s="56"/>
      <c r="O297" s="56"/>
      <c r="P297" s="56"/>
      <c r="Q297" s="6"/>
      <c r="R297" s="6"/>
      <c r="S297" s="6"/>
      <c r="T297" s="2"/>
      <c r="U297" s="2"/>
      <c r="V297" s="2"/>
    </row>
    <row r="298" spans="1:22" x14ac:dyDescent="0.25">
      <c r="A298" s="56"/>
      <c r="B298" s="56"/>
      <c r="C298" s="56"/>
      <c r="D298" s="37"/>
      <c r="E298" s="6"/>
      <c r="F298" s="6"/>
      <c r="G298" s="6"/>
      <c r="H298" s="56"/>
      <c r="I298" s="56"/>
      <c r="J298" s="56"/>
      <c r="K298" s="6"/>
      <c r="L298" s="6"/>
      <c r="M298" s="6"/>
      <c r="N298" s="56"/>
      <c r="O298" s="56"/>
      <c r="P298" s="56"/>
      <c r="Q298" s="6"/>
      <c r="R298" s="6"/>
      <c r="S298" s="6"/>
      <c r="T298" s="2"/>
      <c r="U298" s="2"/>
      <c r="V298" s="2"/>
    </row>
    <row r="299" spans="1:22" x14ac:dyDescent="0.25">
      <c r="A299" s="56"/>
      <c r="B299" s="56"/>
      <c r="C299" s="56"/>
      <c r="D299" s="37"/>
      <c r="E299" s="6"/>
      <c r="F299" s="6"/>
      <c r="G299" s="6"/>
      <c r="H299" s="56"/>
      <c r="I299" s="56"/>
      <c r="J299" s="56"/>
      <c r="K299" s="6"/>
      <c r="L299" s="6"/>
      <c r="M299" s="6"/>
      <c r="N299" s="56"/>
      <c r="O299" s="56"/>
      <c r="P299" s="56"/>
      <c r="Q299" s="6"/>
      <c r="R299" s="6"/>
      <c r="S299" s="6"/>
      <c r="T299" s="2"/>
      <c r="U299" s="2"/>
      <c r="V299" s="2"/>
    </row>
    <row r="300" spans="1:22" x14ac:dyDescent="0.25">
      <c r="A300" s="56"/>
      <c r="B300" s="56"/>
      <c r="C300" s="56"/>
      <c r="D300" s="37"/>
      <c r="E300" s="6"/>
      <c r="F300" s="6"/>
      <c r="G300" s="6"/>
      <c r="H300" s="56"/>
      <c r="I300" s="56"/>
      <c r="J300" s="56"/>
      <c r="K300" s="6"/>
      <c r="L300" s="6"/>
      <c r="M300" s="6"/>
      <c r="N300" s="56"/>
      <c r="O300" s="56"/>
      <c r="P300" s="56"/>
      <c r="Q300" s="6"/>
      <c r="R300" s="6"/>
      <c r="S300" s="6"/>
      <c r="T300" s="2"/>
      <c r="U300" s="2"/>
      <c r="V300" s="2"/>
    </row>
    <row r="301" spans="1:22" x14ac:dyDescent="0.25">
      <c r="A301" s="56"/>
      <c r="B301" s="56"/>
      <c r="C301" s="56"/>
      <c r="D301" s="37"/>
      <c r="E301" s="6"/>
      <c r="F301" s="6"/>
      <c r="G301" s="6"/>
      <c r="H301" s="56"/>
      <c r="I301" s="56"/>
      <c r="J301" s="56"/>
      <c r="K301" s="6"/>
      <c r="L301" s="6"/>
      <c r="M301" s="6"/>
      <c r="N301" s="56"/>
      <c r="O301" s="56"/>
      <c r="P301" s="56"/>
      <c r="Q301" s="6"/>
      <c r="R301" s="6"/>
      <c r="S301" s="6"/>
      <c r="T301" s="2"/>
      <c r="U301" s="2"/>
      <c r="V301" s="2"/>
    </row>
    <row r="302" spans="1:22" x14ac:dyDescent="0.25">
      <c r="A302" s="56"/>
      <c r="B302" s="56"/>
      <c r="C302" s="56"/>
      <c r="D302" s="37"/>
      <c r="E302" s="6"/>
      <c r="F302" s="6"/>
      <c r="G302" s="6"/>
      <c r="H302" s="56"/>
      <c r="I302" s="56"/>
      <c r="J302" s="56"/>
      <c r="K302" s="6"/>
      <c r="L302" s="6"/>
      <c r="M302" s="6"/>
      <c r="N302" s="56"/>
      <c r="O302" s="56"/>
      <c r="P302" s="56"/>
      <c r="Q302" s="6"/>
      <c r="R302" s="6"/>
      <c r="S302" s="6"/>
      <c r="T302" s="2"/>
      <c r="U302" s="2"/>
      <c r="V302" s="2"/>
    </row>
    <row r="303" spans="1:22" x14ac:dyDescent="0.25">
      <c r="A303" s="56"/>
      <c r="B303" s="56"/>
      <c r="C303" s="56"/>
      <c r="D303" s="37"/>
      <c r="E303" s="6"/>
      <c r="F303" s="6"/>
      <c r="G303" s="6"/>
      <c r="H303" s="56"/>
      <c r="I303" s="56"/>
      <c r="J303" s="56"/>
      <c r="K303" s="6"/>
      <c r="L303" s="6"/>
      <c r="M303" s="6"/>
      <c r="N303" s="56"/>
      <c r="O303" s="56"/>
      <c r="P303" s="56"/>
      <c r="Q303" s="6"/>
      <c r="R303" s="6"/>
      <c r="S303" s="6"/>
      <c r="T303" s="2"/>
      <c r="U303" s="2"/>
      <c r="V303" s="2"/>
    </row>
    <row r="304" spans="1:22" x14ac:dyDescent="0.25">
      <c r="A304" s="56"/>
      <c r="B304" s="56"/>
      <c r="C304" s="56"/>
      <c r="D304" s="37"/>
      <c r="E304" s="6"/>
      <c r="F304" s="6"/>
      <c r="G304" s="6"/>
      <c r="H304" s="56"/>
      <c r="I304" s="56"/>
      <c r="J304" s="56"/>
      <c r="K304" s="6"/>
      <c r="L304" s="6"/>
      <c r="M304" s="6"/>
      <c r="N304" s="56"/>
      <c r="O304" s="56"/>
      <c r="P304" s="56"/>
      <c r="Q304" s="6"/>
      <c r="R304" s="6"/>
      <c r="S304" s="6"/>
      <c r="T304" s="2"/>
      <c r="U304" s="2"/>
      <c r="V304" s="2"/>
    </row>
    <row r="305" spans="1:22" x14ac:dyDescent="0.25">
      <c r="A305" s="56"/>
      <c r="B305" s="56"/>
      <c r="C305" s="56"/>
      <c r="D305" s="37"/>
      <c r="E305" s="6"/>
      <c r="F305" s="6"/>
      <c r="G305" s="6"/>
      <c r="H305" s="56"/>
      <c r="I305" s="56"/>
      <c r="J305" s="56"/>
      <c r="K305" s="6"/>
      <c r="L305" s="6"/>
      <c r="M305" s="6"/>
      <c r="N305" s="56"/>
      <c r="O305" s="56"/>
      <c r="P305" s="56"/>
      <c r="Q305" s="6"/>
      <c r="R305" s="6"/>
      <c r="S305" s="6"/>
      <c r="T305" s="2"/>
      <c r="U305" s="2"/>
      <c r="V305" s="2"/>
    </row>
    <row r="306" spans="1:22" x14ac:dyDescent="0.25">
      <c r="A306" s="56"/>
      <c r="B306" s="56"/>
      <c r="C306" s="56"/>
      <c r="D306" s="37"/>
      <c r="E306" s="6"/>
      <c r="F306" s="6"/>
      <c r="G306" s="6"/>
      <c r="H306" s="56"/>
      <c r="I306" s="56"/>
      <c r="J306" s="56"/>
      <c r="K306" s="6"/>
      <c r="L306" s="6"/>
      <c r="M306" s="6"/>
      <c r="N306" s="56"/>
      <c r="O306" s="56"/>
      <c r="P306" s="56"/>
      <c r="Q306" s="6"/>
      <c r="R306" s="6"/>
      <c r="S306" s="6"/>
      <c r="T306" s="2"/>
      <c r="U306" s="2"/>
      <c r="V306" s="2"/>
    </row>
    <row r="307" spans="1:22" x14ac:dyDescent="0.25">
      <c r="A307" s="56"/>
      <c r="B307" s="56"/>
      <c r="C307" s="56"/>
      <c r="D307" s="37"/>
      <c r="E307" s="6"/>
      <c r="F307" s="6"/>
      <c r="G307" s="6"/>
      <c r="H307" s="56"/>
      <c r="I307" s="56"/>
      <c r="J307" s="56"/>
      <c r="K307" s="6"/>
      <c r="L307" s="6"/>
      <c r="M307" s="6"/>
      <c r="N307" s="56"/>
      <c r="O307" s="56"/>
      <c r="P307" s="56"/>
      <c r="Q307" s="6"/>
      <c r="R307" s="6"/>
      <c r="S307" s="6"/>
      <c r="T307" s="2"/>
      <c r="U307" s="2"/>
      <c r="V307" s="2"/>
    </row>
    <row r="308" spans="1:22" x14ac:dyDescent="0.25">
      <c r="A308" s="56"/>
      <c r="B308" s="56"/>
      <c r="C308" s="56"/>
      <c r="D308" s="37"/>
      <c r="E308" s="6"/>
      <c r="F308" s="6"/>
      <c r="G308" s="6"/>
      <c r="H308" s="56"/>
      <c r="I308" s="56"/>
      <c r="J308" s="56"/>
      <c r="K308" s="6"/>
      <c r="L308" s="6"/>
      <c r="M308" s="6"/>
      <c r="N308" s="56"/>
      <c r="O308" s="56"/>
      <c r="P308" s="56"/>
      <c r="Q308" s="6"/>
      <c r="R308" s="6"/>
      <c r="S308" s="6"/>
      <c r="T308" s="2"/>
      <c r="U308" s="2"/>
      <c r="V308" s="2"/>
    </row>
    <row r="309" spans="1:22" x14ac:dyDescent="0.25">
      <c r="A309" s="56"/>
      <c r="B309" s="56"/>
      <c r="C309" s="56"/>
      <c r="D309" s="37"/>
      <c r="E309" s="6"/>
      <c r="F309" s="6"/>
      <c r="G309" s="6"/>
      <c r="H309" s="56"/>
      <c r="I309" s="56"/>
      <c r="J309" s="56"/>
      <c r="K309" s="6"/>
      <c r="L309" s="6"/>
      <c r="M309" s="6"/>
      <c r="N309" s="56"/>
      <c r="O309" s="56"/>
      <c r="P309" s="56"/>
      <c r="Q309" s="6"/>
      <c r="R309" s="6"/>
      <c r="S309" s="6"/>
      <c r="T309" s="2"/>
      <c r="U309" s="2"/>
      <c r="V309" s="2"/>
    </row>
    <row r="310" spans="1:22" x14ac:dyDescent="0.25">
      <c r="A310" s="56"/>
      <c r="B310" s="56"/>
      <c r="C310" s="56"/>
      <c r="D310" s="37"/>
      <c r="E310" s="6"/>
      <c r="F310" s="6"/>
      <c r="G310" s="6"/>
      <c r="H310" s="56"/>
      <c r="I310" s="56"/>
      <c r="J310" s="56"/>
      <c r="K310" s="6"/>
      <c r="L310" s="6"/>
      <c r="M310" s="6"/>
      <c r="N310" s="56"/>
      <c r="O310" s="56"/>
      <c r="P310" s="56"/>
      <c r="Q310" s="6"/>
      <c r="R310" s="6"/>
      <c r="S310" s="6"/>
      <c r="T310" s="2"/>
      <c r="U310" s="2"/>
      <c r="V310" s="2"/>
    </row>
    <row r="311" spans="1:22" x14ac:dyDescent="0.25">
      <c r="A311" s="56"/>
      <c r="B311" s="56"/>
      <c r="C311" s="56"/>
      <c r="D311" s="37"/>
      <c r="E311" s="6"/>
      <c r="F311" s="6"/>
      <c r="G311" s="6"/>
      <c r="H311" s="56"/>
      <c r="I311" s="56"/>
      <c r="J311" s="56"/>
      <c r="K311" s="6"/>
      <c r="L311" s="6"/>
      <c r="M311" s="6"/>
      <c r="N311" s="56"/>
      <c r="O311" s="56"/>
      <c r="P311" s="56"/>
      <c r="Q311" s="6"/>
      <c r="R311" s="6"/>
      <c r="S311" s="6"/>
      <c r="T311" s="2"/>
      <c r="U311" s="2"/>
      <c r="V311" s="2"/>
    </row>
    <row r="312" spans="1:22" x14ac:dyDescent="0.25">
      <c r="A312" s="56"/>
      <c r="B312" s="56"/>
      <c r="C312" s="56"/>
      <c r="D312" s="37"/>
      <c r="E312" s="6"/>
      <c r="F312" s="6"/>
      <c r="G312" s="6"/>
      <c r="H312" s="56"/>
      <c r="I312" s="56"/>
      <c r="J312" s="56"/>
      <c r="K312" s="6"/>
      <c r="L312" s="6"/>
      <c r="M312" s="6"/>
      <c r="N312" s="56"/>
      <c r="O312" s="56"/>
      <c r="P312" s="56"/>
      <c r="Q312" s="6"/>
      <c r="R312" s="6"/>
      <c r="S312" s="6"/>
      <c r="T312" s="2"/>
      <c r="U312" s="2"/>
      <c r="V312" s="2"/>
    </row>
    <row r="313" spans="1:22" x14ac:dyDescent="0.25">
      <c r="A313" s="56"/>
      <c r="B313" s="56"/>
      <c r="C313" s="56"/>
      <c r="D313" s="37"/>
      <c r="E313" s="6"/>
      <c r="F313" s="6"/>
      <c r="G313" s="6"/>
      <c r="H313" s="56"/>
      <c r="I313" s="56"/>
      <c r="J313" s="56"/>
      <c r="K313" s="6"/>
      <c r="L313" s="6"/>
      <c r="M313" s="6"/>
      <c r="N313" s="56"/>
      <c r="O313" s="56"/>
      <c r="P313" s="56"/>
      <c r="Q313" s="6"/>
      <c r="R313" s="6"/>
      <c r="S313" s="6"/>
      <c r="T313" s="2"/>
      <c r="U313" s="2"/>
      <c r="V313" s="2"/>
    </row>
    <row r="314" spans="1:22" x14ac:dyDescent="0.25">
      <c r="A314" s="56"/>
      <c r="B314" s="56"/>
      <c r="C314" s="56"/>
      <c r="D314" s="37"/>
      <c r="E314" s="6"/>
      <c r="F314" s="6"/>
      <c r="G314" s="6"/>
      <c r="H314" s="56"/>
      <c r="I314" s="56"/>
      <c r="J314" s="56"/>
      <c r="K314" s="6"/>
      <c r="L314" s="6"/>
      <c r="M314" s="6"/>
      <c r="N314" s="56"/>
      <c r="O314" s="56"/>
      <c r="P314" s="56"/>
      <c r="Q314" s="6"/>
      <c r="R314" s="6"/>
      <c r="S314" s="6"/>
      <c r="T314" s="2"/>
      <c r="U314" s="2"/>
      <c r="V314" s="2"/>
    </row>
    <row r="315" spans="1:22" x14ac:dyDescent="0.25">
      <c r="A315" s="56"/>
      <c r="B315" s="56"/>
      <c r="C315" s="56"/>
      <c r="D315" s="37"/>
      <c r="E315" s="6"/>
      <c r="F315" s="6"/>
      <c r="G315" s="6"/>
      <c r="H315" s="56"/>
      <c r="I315" s="56"/>
      <c r="J315" s="56"/>
      <c r="K315" s="6"/>
      <c r="L315" s="6"/>
      <c r="M315" s="6"/>
      <c r="N315" s="56"/>
      <c r="O315" s="56"/>
      <c r="P315" s="56"/>
      <c r="Q315" s="6"/>
      <c r="R315" s="6"/>
      <c r="S315" s="6"/>
      <c r="T315" s="2"/>
      <c r="U315" s="2"/>
      <c r="V315" s="2"/>
    </row>
    <row r="316" spans="1:22" x14ac:dyDescent="0.25">
      <c r="A316" s="56"/>
      <c r="B316" s="56"/>
      <c r="C316" s="56"/>
      <c r="D316" s="37"/>
      <c r="E316" s="6"/>
      <c r="F316" s="6"/>
      <c r="G316" s="6"/>
      <c r="H316" s="56"/>
      <c r="I316" s="56"/>
      <c r="J316" s="56"/>
      <c r="K316" s="6"/>
      <c r="L316" s="6"/>
      <c r="M316" s="6"/>
      <c r="N316" s="56"/>
      <c r="O316" s="56"/>
      <c r="P316" s="56"/>
      <c r="Q316" s="6"/>
      <c r="R316" s="6"/>
      <c r="S316" s="6"/>
      <c r="T316" s="2"/>
      <c r="U316" s="2"/>
      <c r="V316" s="2"/>
    </row>
    <row r="317" spans="1:22" x14ac:dyDescent="0.25">
      <c r="A317" s="56"/>
      <c r="B317" s="56"/>
      <c r="C317" s="56"/>
      <c r="D317" s="37"/>
      <c r="E317" s="6"/>
      <c r="F317" s="6"/>
      <c r="G317" s="6"/>
      <c r="H317" s="56"/>
      <c r="I317" s="56"/>
      <c r="J317" s="56"/>
      <c r="K317" s="6"/>
      <c r="L317" s="6"/>
      <c r="M317" s="6"/>
      <c r="N317" s="56"/>
      <c r="O317" s="56"/>
      <c r="P317" s="56"/>
      <c r="Q317" s="6"/>
      <c r="R317" s="6"/>
      <c r="S317" s="6"/>
      <c r="T317" s="2"/>
      <c r="U317" s="2"/>
      <c r="V317" s="2"/>
    </row>
    <row r="318" spans="1:22" x14ac:dyDescent="0.25">
      <c r="A318" s="56"/>
      <c r="B318" s="56"/>
      <c r="C318" s="56"/>
      <c r="D318" s="37"/>
      <c r="E318" s="6"/>
      <c r="F318" s="6"/>
      <c r="G318" s="6"/>
      <c r="H318" s="56"/>
      <c r="I318" s="56"/>
      <c r="J318" s="56"/>
      <c r="K318" s="6"/>
      <c r="L318" s="6"/>
      <c r="M318" s="6"/>
      <c r="N318" s="56"/>
      <c r="O318" s="56"/>
      <c r="P318" s="56"/>
      <c r="Q318" s="6"/>
      <c r="R318" s="6"/>
      <c r="S318" s="6"/>
      <c r="T318" s="2"/>
      <c r="U318" s="2"/>
      <c r="V318" s="2"/>
    </row>
    <row r="319" spans="1:22" x14ac:dyDescent="0.25">
      <c r="A319" s="56"/>
      <c r="B319" s="56"/>
      <c r="C319" s="56"/>
      <c r="D319" s="37"/>
      <c r="E319" s="6"/>
      <c r="F319" s="6"/>
      <c r="G319" s="6"/>
      <c r="H319" s="56"/>
      <c r="I319" s="56"/>
      <c r="J319" s="56"/>
      <c r="K319" s="6"/>
      <c r="L319" s="6"/>
      <c r="M319" s="6"/>
      <c r="N319" s="56"/>
      <c r="O319" s="56"/>
      <c r="P319" s="56"/>
      <c r="Q319" s="6"/>
      <c r="R319" s="6"/>
      <c r="S319" s="6"/>
      <c r="T319" s="2"/>
      <c r="U319" s="2"/>
      <c r="V319" s="2"/>
    </row>
    <row r="320" spans="1:22" x14ac:dyDescent="0.25">
      <c r="A320" s="56"/>
      <c r="B320" s="56"/>
      <c r="C320" s="56"/>
      <c r="D320" s="37"/>
      <c r="E320" s="6"/>
      <c r="F320" s="6"/>
      <c r="G320" s="6"/>
      <c r="H320" s="56"/>
      <c r="I320" s="56"/>
      <c r="J320" s="56"/>
      <c r="K320" s="6"/>
      <c r="L320" s="6"/>
      <c r="M320" s="6"/>
      <c r="N320" s="56"/>
      <c r="O320" s="56"/>
      <c r="P320" s="56"/>
      <c r="Q320" s="6"/>
      <c r="R320" s="6"/>
      <c r="S320" s="6"/>
      <c r="T320" s="2"/>
      <c r="U320" s="2"/>
      <c r="V320" s="2"/>
    </row>
    <row r="321" spans="1:22" x14ac:dyDescent="0.25">
      <c r="A321" s="56"/>
      <c r="B321" s="56"/>
      <c r="C321" s="56"/>
      <c r="D321" s="37"/>
      <c r="E321" s="6"/>
      <c r="F321" s="6"/>
      <c r="G321" s="6"/>
      <c r="H321" s="56"/>
      <c r="I321" s="56"/>
      <c r="J321" s="56"/>
      <c r="K321" s="6"/>
      <c r="L321" s="6"/>
      <c r="M321" s="6"/>
      <c r="N321" s="56"/>
      <c r="O321" s="56"/>
      <c r="P321" s="56"/>
      <c r="Q321" s="6"/>
      <c r="R321" s="6"/>
      <c r="S321" s="6"/>
      <c r="T321" s="2"/>
      <c r="U321" s="2"/>
      <c r="V321" s="2"/>
    </row>
    <row r="322" spans="1:22" x14ac:dyDescent="0.25">
      <c r="A322" s="56"/>
      <c r="B322" s="56"/>
      <c r="C322" s="56"/>
      <c r="D322" s="37"/>
      <c r="E322" s="6"/>
      <c r="F322" s="6"/>
      <c r="G322" s="6"/>
      <c r="H322" s="56"/>
      <c r="I322" s="56"/>
      <c r="J322" s="56"/>
      <c r="K322" s="6"/>
      <c r="L322" s="6"/>
      <c r="M322" s="6"/>
      <c r="N322" s="56"/>
      <c r="O322" s="56"/>
      <c r="P322" s="56"/>
      <c r="Q322" s="6"/>
      <c r="R322" s="6"/>
      <c r="S322" s="6"/>
      <c r="T322" s="2"/>
      <c r="U322" s="2"/>
      <c r="V322" s="2"/>
    </row>
    <row r="323" spans="1:22" x14ac:dyDescent="0.25">
      <c r="A323" s="56"/>
      <c r="B323" s="56"/>
      <c r="C323" s="56"/>
      <c r="D323" s="37"/>
      <c r="E323" s="6"/>
      <c r="F323" s="6"/>
      <c r="G323" s="6"/>
      <c r="H323" s="56"/>
      <c r="I323" s="56"/>
      <c r="J323" s="56"/>
      <c r="K323" s="6"/>
      <c r="L323" s="6"/>
      <c r="M323" s="6"/>
      <c r="N323" s="56"/>
      <c r="O323" s="56"/>
      <c r="P323" s="56"/>
      <c r="Q323" s="6"/>
      <c r="R323" s="6"/>
      <c r="S323" s="6"/>
      <c r="T323" s="2"/>
      <c r="U323" s="2"/>
      <c r="V323" s="2"/>
    </row>
    <row r="324" spans="1:22" x14ac:dyDescent="0.25">
      <c r="A324" s="56"/>
      <c r="B324" s="56"/>
      <c r="C324" s="56"/>
      <c r="D324" s="37"/>
      <c r="E324" s="6"/>
      <c r="F324" s="6"/>
      <c r="G324" s="6"/>
      <c r="H324" s="56"/>
      <c r="I324" s="56"/>
      <c r="J324" s="56"/>
      <c r="K324" s="6"/>
      <c r="L324" s="6"/>
      <c r="M324" s="6"/>
      <c r="N324" s="56"/>
      <c r="O324" s="56"/>
      <c r="P324" s="56"/>
      <c r="Q324" s="6"/>
      <c r="R324" s="6"/>
      <c r="S324" s="6"/>
      <c r="T324" s="2"/>
      <c r="U324" s="2"/>
      <c r="V324" s="2"/>
    </row>
    <row r="325" spans="1:22" x14ac:dyDescent="0.25">
      <c r="A325" s="56"/>
      <c r="B325" s="56"/>
      <c r="C325" s="56"/>
      <c r="D325" s="37"/>
      <c r="E325" s="6"/>
      <c r="F325" s="6"/>
      <c r="G325" s="6"/>
      <c r="H325" s="56"/>
      <c r="I325" s="56"/>
      <c r="J325" s="56"/>
      <c r="K325" s="6"/>
      <c r="L325" s="6"/>
      <c r="M325" s="6"/>
      <c r="N325" s="56"/>
      <c r="O325" s="56"/>
      <c r="P325" s="56"/>
      <c r="Q325" s="6"/>
      <c r="R325" s="6"/>
      <c r="S325" s="6"/>
      <c r="T325" s="2"/>
      <c r="U325" s="2"/>
      <c r="V325" s="2"/>
    </row>
    <row r="326" spans="1:22" x14ac:dyDescent="0.25">
      <c r="A326" s="56"/>
      <c r="B326" s="56"/>
      <c r="C326" s="56"/>
      <c r="D326" s="37"/>
      <c r="E326" s="6"/>
      <c r="F326" s="6"/>
      <c r="G326" s="6"/>
      <c r="H326" s="56"/>
      <c r="I326" s="56"/>
      <c r="J326" s="56"/>
      <c r="K326" s="6"/>
      <c r="L326" s="6"/>
      <c r="M326" s="6"/>
      <c r="N326" s="56"/>
      <c r="O326" s="56"/>
      <c r="P326" s="56"/>
      <c r="Q326" s="6"/>
      <c r="R326" s="6"/>
      <c r="S326" s="6"/>
      <c r="T326" s="2"/>
      <c r="U326" s="2"/>
      <c r="V326" s="2"/>
    </row>
  </sheetData>
  <autoFilter ref="A2:U104" xr:uid="{C0D1AF27-C990-4BB4-89CE-AFAB2E024351}">
    <sortState xmlns:xlrd2="http://schemas.microsoft.com/office/spreadsheetml/2017/richdata2" ref="A3:U108">
      <sortCondition descending="1" ref="T2:T104"/>
    </sortState>
  </autoFilter>
  <mergeCells count="6">
    <mergeCell ref="T1:V1"/>
    <mergeCell ref="E1:G1"/>
    <mergeCell ref="H1:J1"/>
    <mergeCell ref="K1:M1"/>
    <mergeCell ref="N1:P1"/>
    <mergeCell ref="Q1:S1"/>
  </mergeCells>
  <conditionalFormatting sqref="T3:T20 T22:T326">
    <cfRule type="cellIs" dxfId="22" priority="82" operator="greaterThan">
      <formula>396</formula>
    </cfRule>
  </conditionalFormatting>
  <conditionalFormatting sqref="U3:V20 U22:V22 U24:V326">
    <cfRule type="cellIs" dxfId="21" priority="80" operator="greaterThan">
      <formula>92</formula>
    </cfRule>
  </conditionalFormatting>
  <conditionalFormatting sqref="W48:X48">
    <cfRule type="cellIs" dxfId="19" priority="18" operator="greaterThan">
      <formula>396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1" operator="greaterThan" id="{7F65477D-BBF1-4C06-839C-9E6B1FB92E9F}">
            <xm:f>'All-time records'!$C$22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T3:T20 T22:T326</xm:sqref>
        </x14:conditionalFormatting>
        <x14:conditionalFormatting xmlns:xm="http://schemas.microsoft.com/office/excel/2006/main">
          <x14:cfRule type="cellIs" priority="17" operator="greaterThan" id="{350F012B-3406-4201-B9AF-1FABC2ECA444}">
            <xm:f>'All-time records'!$C$22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W48:X48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DO39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28" sqref="W28"/>
    </sheetView>
  </sheetViews>
  <sheetFormatPr defaultColWidth="5.28515625" defaultRowHeight="15" x14ac:dyDescent="0.25"/>
  <cols>
    <col min="1" max="1" width="3.42578125" customWidth="1"/>
    <col min="2" max="2" width="25.5703125" bestFit="1" customWidth="1"/>
    <col min="3" max="4" width="5.7109375" bestFit="1" customWidth="1"/>
    <col min="5" max="5" width="5.7109375" customWidth="1"/>
    <col min="6" max="8" width="5.28515625" style="48"/>
  </cols>
  <sheetData>
    <row r="1" spans="1:119" ht="15.75" thickBot="1" x14ac:dyDescent="0.3">
      <c r="F1" s="219">
        <v>1</v>
      </c>
      <c r="G1" s="220"/>
      <c r="H1" s="221"/>
      <c r="I1" s="219">
        <v>2</v>
      </c>
      <c r="J1" s="220"/>
      <c r="K1" s="221"/>
      <c r="L1" s="219">
        <v>3</v>
      </c>
      <c r="M1" s="220"/>
      <c r="N1" s="221"/>
      <c r="O1" s="219">
        <v>4</v>
      </c>
      <c r="P1" s="220"/>
      <c r="Q1" s="221"/>
      <c r="R1" s="219">
        <v>5</v>
      </c>
      <c r="S1" s="220"/>
      <c r="T1" s="221"/>
      <c r="U1" s="219">
        <v>6</v>
      </c>
      <c r="V1" s="220"/>
      <c r="W1" s="221"/>
      <c r="X1" s="219">
        <v>7</v>
      </c>
      <c r="Y1" s="220"/>
      <c r="Z1" s="221"/>
      <c r="AA1" s="219">
        <v>8</v>
      </c>
      <c r="AB1" s="220"/>
      <c r="AC1" s="221"/>
      <c r="AD1" s="219">
        <v>9</v>
      </c>
      <c r="AE1" s="220"/>
      <c r="AF1" s="221"/>
      <c r="AG1" s="219">
        <v>10</v>
      </c>
      <c r="AH1" s="220"/>
      <c r="AI1" s="221"/>
      <c r="AJ1" s="219">
        <v>11</v>
      </c>
      <c r="AK1" s="220"/>
      <c r="AL1" s="221"/>
      <c r="AM1" s="219">
        <v>12</v>
      </c>
      <c r="AN1" s="220"/>
      <c r="AO1" s="221"/>
      <c r="AP1" s="219">
        <v>13</v>
      </c>
      <c r="AQ1" s="220"/>
      <c r="AR1" s="221"/>
      <c r="AS1" s="219">
        <v>14</v>
      </c>
      <c r="AT1" s="220"/>
      <c r="AU1" s="221"/>
      <c r="AV1" s="219">
        <v>15</v>
      </c>
      <c r="AW1" s="220"/>
      <c r="AX1" s="221"/>
      <c r="AY1" s="219">
        <v>16</v>
      </c>
      <c r="AZ1" s="220"/>
      <c r="BA1" s="221"/>
      <c r="BB1" s="219">
        <v>17</v>
      </c>
      <c r="BC1" s="220"/>
      <c r="BD1" s="221"/>
      <c r="BE1" s="219">
        <v>18</v>
      </c>
      <c r="BF1" s="220"/>
      <c r="BG1" s="221"/>
      <c r="BH1" s="219">
        <v>19</v>
      </c>
      <c r="BI1" s="220"/>
      <c r="BJ1" s="221"/>
      <c r="BK1" s="219">
        <v>20</v>
      </c>
      <c r="BL1" s="220"/>
      <c r="BM1" s="221"/>
      <c r="BN1" s="219">
        <v>21</v>
      </c>
      <c r="BO1" s="220"/>
      <c r="BP1" s="221"/>
      <c r="BQ1" s="219">
        <v>22</v>
      </c>
      <c r="BR1" s="220"/>
      <c r="BS1" s="221"/>
      <c r="BT1" s="219">
        <v>23</v>
      </c>
      <c r="BU1" s="220"/>
      <c r="BV1" s="221"/>
      <c r="BW1" s="219">
        <v>24</v>
      </c>
      <c r="BX1" s="220"/>
      <c r="BY1" s="221"/>
      <c r="BZ1" s="219">
        <v>25</v>
      </c>
      <c r="CA1" s="220"/>
      <c r="CB1" s="221"/>
      <c r="CC1" s="219">
        <v>26</v>
      </c>
      <c r="CD1" s="220"/>
      <c r="CE1" s="221"/>
      <c r="CF1" s="219">
        <v>27</v>
      </c>
      <c r="CG1" s="220"/>
      <c r="CH1" s="221"/>
      <c r="CI1" s="219">
        <v>28</v>
      </c>
      <c r="CJ1" s="220"/>
      <c r="CK1" s="221"/>
      <c r="CL1" s="219">
        <v>29</v>
      </c>
      <c r="CM1" s="220"/>
      <c r="CN1" s="221"/>
      <c r="CO1" s="219">
        <v>30</v>
      </c>
      <c r="CP1" s="220"/>
      <c r="CQ1" s="221"/>
      <c r="CR1" s="219">
        <v>31</v>
      </c>
      <c r="CS1" s="220"/>
      <c r="CT1" s="221"/>
      <c r="CU1" s="219">
        <v>32</v>
      </c>
      <c r="CV1" s="220"/>
      <c r="CW1" s="221"/>
      <c r="CX1" s="219">
        <v>33</v>
      </c>
      <c r="CY1" s="220"/>
      <c r="CZ1" s="221"/>
      <c r="DA1" s="219">
        <v>34</v>
      </c>
      <c r="DB1" s="220"/>
      <c r="DC1" s="221"/>
      <c r="DD1" s="219">
        <v>35</v>
      </c>
      <c r="DE1" s="220"/>
      <c r="DF1" s="221"/>
      <c r="DG1" s="219">
        <v>36</v>
      </c>
      <c r="DH1" s="220"/>
      <c r="DI1" s="221"/>
      <c r="DJ1" s="219">
        <v>37</v>
      </c>
      <c r="DK1" s="220"/>
      <c r="DL1" s="221"/>
      <c r="DM1" s="219">
        <v>38</v>
      </c>
      <c r="DN1" s="220"/>
      <c r="DO1" s="221"/>
    </row>
    <row r="2" spans="1:119" ht="15.75" thickBot="1" x14ac:dyDescent="0.3">
      <c r="A2" s="3"/>
      <c r="B2" s="17"/>
      <c r="C2" s="222" t="s">
        <v>396</v>
      </c>
      <c r="D2" s="222" t="s">
        <v>397</v>
      </c>
      <c r="E2" s="222" t="s">
        <v>398</v>
      </c>
      <c r="F2" s="216" t="s">
        <v>346</v>
      </c>
      <c r="G2" s="217"/>
      <c r="H2" s="218"/>
      <c r="I2" s="216" t="s">
        <v>331</v>
      </c>
      <c r="J2" s="217"/>
      <c r="K2" s="218"/>
      <c r="L2" s="216" t="s">
        <v>330</v>
      </c>
      <c r="M2" s="217"/>
      <c r="N2" s="218"/>
      <c r="O2" s="216" t="s">
        <v>328</v>
      </c>
      <c r="P2" s="217"/>
      <c r="Q2" s="218"/>
      <c r="R2" s="216" t="s">
        <v>335</v>
      </c>
      <c r="S2" s="217"/>
      <c r="T2" s="218"/>
      <c r="U2" s="216" t="s">
        <v>320</v>
      </c>
      <c r="V2" s="217"/>
      <c r="W2" s="218"/>
      <c r="X2" s="216" t="s">
        <v>337</v>
      </c>
      <c r="Y2" s="217"/>
      <c r="Z2" s="218"/>
      <c r="AA2" s="216" t="s">
        <v>334</v>
      </c>
      <c r="AB2" s="217"/>
      <c r="AC2" s="218"/>
      <c r="AD2" s="216" t="s">
        <v>321</v>
      </c>
      <c r="AE2" s="217"/>
      <c r="AF2" s="218"/>
      <c r="AG2" s="216" t="s">
        <v>347</v>
      </c>
      <c r="AH2" s="217"/>
      <c r="AI2" s="218"/>
      <c r="AJ2" s="216" t="s">
        <v>324</v>
      </c>
      <c r="AK2" s="217"/>
      <c r="AL2" s="218"/>
      <c r="AM2" s="216" t="s">
        <v>323</v>
      </c>
      <c r="AN2" s="217"/>
      <c r="AO2" s="218"/>
      <c r="AP2" s="216" t="s">
        <v>332</v>
      </c>
      <c r="AQ2" s="217"/>
      <c r="AR2" s="218"/>
      <c r="AS2" s="216" t="s">
        <v>329</v>
      </c>
      <c r="AT2" s="217"/>
      <c r="AU2" s="218"/>
      <c r="AV2" s="216" t="s">
        <v>336</v>
      </c>
      <c r="AW2" s="217"/>
      <c r="AX2" s="218"/>
      <c r="AY2" s="216" t="s">
        <v>305</v>
      </c>
      <c r="AZ2" s="217"/>
      <c r="BA2" s="218"/>
      <c r="BB2" s="216" t="s">
        <v>326</v>
      </c>
      <c r="BC2" s="217"/>
      <c r="BD2" s="218"/>
      <c r="BE2" s="216" t="s">
        <v>325</v>
      </c>
      <c r="BF2" s="217"/>
      <c r="BG2" s="218"/>
      <c r="BH2" s="216" t="s">
        <v>348</v>
      </c>
      <c r="BI2" s="217"/>
      <c r="BJ2" s="218"/>
      <c r="BK2" s="216" t="s">
        <v>332</v>
      </c>
      <c r="BL2" s="217"/>
      <c r="BM2" s="218"/>
      <c r="BN2" s="216" t="s">
        <v>347</v>
      </c>
      <c r="BO2" s="217"/>
      <c r="BP2" s="218"/>
      <c r="BQ2" s="216" t="s">
        <v>324</v>
      </c>
      <c r="BR2" s="217"/>
      <c r="BS2" s="218"/>
      <c r="BT2" s="216" t="s">
        <v>323</v>
      </c>
      <c r="BU2" s="217"/>
      <c r="BV2" s="218"/>
      <c r="BW2" s="216" t="s">
        <v>321</v>
      </c>
      <c r="BX2" s="217"/>
      <c r="BY2" s="218"/>
      <c r="BZ2" s="216" t="s">
        <v>348</v>
      </c>
      <c r="CA2" s="217"/>
      <c r="CB2" s="218"/>
      <c r="CC2" s="216" t="s">
        <v>325</v>
      </c>
      <c r="CD2" s="217"/>
      <c r="CE2" s="218"/>
      <c r="CF2" s="216" t="s">
        <v>305</v>
      </c>
      <c r="CG2" s="217"/>
      <c r="CH2" s="218"/>
      <c r="CI2" s="216" t="s">
        <v>326</v>
      </c>
      <c r="CJ2" s="217"/>
      <c r="CK2" s="218"/>
      <c r="CL2" s="216" t="s">
        <v>330</v>
      </c>
      <c r="CM2" s="217"/>
      <c r="CN2" s="218"/>
      <c r="CO2" s="216" t="s">
        <v>328</v>
      </c>
      <c r="CP2" s="217"/>
      <c r="CQ2" s="218"/>
      <c r="CR2" s="216" t="s">
        <v>346</v>
      </c>
      <c r="CS2" s="217"/>
      <c r="CT2" s="218"/>
      <c r="CU2" s="216" t="s">
        <v>331</v>
      </c>
      <c r="CV2" s="217"/>
      <c r="CW2" s="218"/>
      <c r="CX2" s="216" t="s">
        <v>336</v>
      </c>
      <c r="CY2" s="217"/>
      <c r="CZ2" s="218"/>
      <c r="DA2" s="216" t="s">
        <v>329</v>
      </c>
      <c r="DB2" s="217"/>
      <c r="DC2" s="218"/>
      <c r="DD2" s="216" t="s">
        <v>320</v>
      </c>
      <c r="DE2" s="217"/>
      <c r="DF2" s="218"/>
      <c r="DG2" s="216" t="s">
        <v>337</v>
      </c>
      <c r="DH2" s="217"/>
      <c r="DI2" s="218"/>
      <c r="DJ2" s="216" t="s">
        <v>334</v>
      </c>
      <c r="DK2" s="217"/>
      <c r="DL2" s="218"/>
      <c r="DM2" s="216" t="s">
        <v>335</v>
      </c>
      <c r="DN2" s="217"/>
      <c r="DO2" s="218"/>
    </row>
    <row r="3" spans="1:119" x14ac:dyDescent="0.25">
      <c r="A3" s="3" t="s">
        <v>48</v>
      </c>
      <c r="B3" s="17" t="s">
        <v>1</v>
      </c>
      <c r="C3" s="223"/>
      <c r="D3" s="223"/>
      <c r="E3" s="224"/>
      <c r="F3" s="160" t="s">
        <v>393</v>
      </c>
      <c r="G3" s="161" t="s">
        <v>394</v>
      </c>
      <c r="H3" s="200" t="s">
        <v>395</v>
      </c>
      <c r="I3" s="160" t="s">
        <v>393</v>
      </c>
      <c r="J3" s="161" t="s">
        <v>394</v>
      </c>
      <c r="K3" s="162" t="s">
        <v>395</v>
      </c>
      <c r="L3" s="160" t="s">
        <v>393</v>
      </c>
      <c r="M3" s="161" t="s">
        <v>394</v>
      </c>
      <c r="N3" s="200" t="s">
        <v>395</v>
      </c>
      <c r="O3" s="160" t="s">
        <v>393</v>
      </c>
      <c r="P3" s="161" t="s">
        <v>394</v>
      </c>
      <c r="Q3" s="162" t="s">
        <v>395</v>
      </c>
      <c r="R3" s="160" t="s">
        <v>393</v>
      </c>
      <c r="S3" s="161" t="s">
        <v>394</v>
      </c>
      <c r="T3" s="162" t="s">
        <v>395</v>
      </c>
      <c r="U3" s="160" t="s">
        <v>393</v>
      </c>
      <c r="V3" s="161" t="s">
        <v>394</v>
      </c>
      <c r="W3" s="162" t="s">
        <v>395</v>
      </c>
      <c r="X3" s="160" t="s">
        <v>393</v>
      </c>
      <c r="Y3" s="161" t="s">
        <v>394</v>
      </c>
      <c r="Z3" s="162" t="s">
        <v>395</v>
      </c>
      <c r="AA3" s="160" t="s">
        <v>393</v>
      </c>
      <c r="AB3" s="161" t="s">
        <v>394</v>
      </c>
      <c r="AC3" s="162" t="s">
        <v>395</v>
      </c>
      <c r="AD3" s="160" t="s">
        <v>393</v>
      </c>
      <c r="AE3" s="161" t="s">
        <v>394</v>
      </c>
      <c r="AF3" s="162" t="s">
        <v>395</v>
      </c>
      <c r="AG3" s="160" t="s">
        <v>393</v>
      </c>
      <c r="AH3" s="161" t="s">
        <v>394</v>
      </c>
      <c r="AI3" s="162" t="s">
        <v>395</v>
      </c>
      <c r="AJ3" s="160" t="s">
        <v>393</v>
      </c>
      <c r="AK3" s="161" t="s">
        <v>394</v>
      </c>
      <c r="AL3" s="162" t="s">
        <v>395</v>
      </c>
      <c r="AM3" s="160" t="s">
        <v>393</v>
      </c>
      <c r="AN3" s="161" t="s">
        <v>394</v>
      </c>
      <c r="AO3" s="162" t="s">
        <v>395</v>
      </c>
      <c r="AP3" s="160" t="s">
        <v>393</v>
      </c>
      <c r="AQ3" s="161" t="s">
        <v>394</v>
      </c>
      <c r="AR3" s="162" t="s">
        <v>395</v>
      </c>
      <c r="AS3" s="160" t="s">
        <v>393</v>
      </c>
      <c r="AT3" s="161" t="s">
        <v>394</v>
      </c>
      <c r="AU3" s="162" t="s">
        <v>395</v>
      </c>
      <c r="AV3" s="160" t="s">
        <v>393</v>
      </c>
      <c r="AW3" s="161" t="s">
        <v>394</v>
      </c>
      <c r="AX3" s="162" t="s">
        <v>395</v>
      </c>
      <c r="AY3" s="160" t="s">
        <v>393</v>
      </c>
      <c r="AZ3" s="161" t="s">
        <v>394</v>
      </c>
      <c r="BA3" s="162" t="s">
        <v>395</v>
      </c>
      <c r="BB3" s="160" t="s">
        <v>393</v>
      </c>
      <c r="BC3" s="161" t="s">
        <v>394</v>
      </c>
      <c r="BD3" s="162" t="s">
        <v>395</v>
      </c>
      <c r="BE3" s="160" t="s">
        <v>393</v>
      </c>
      <c r="BF3" s="161" t="s">
        <v>394</v>
      </c>
      <c r="BG3" s="162" t="s">
        <v>395</v>
      </c>
      <c r="BH3" s="160" t="s">
        <v>393</v>
      </c>
      <c r="BI3" s="161" t="s">
        <v>394</v>
      </c>
      <c r="BJ3" s="162" t="s">
        <v>395</v>
      </c>
      <c r="BK3" s="160" t="s">
        <v>393</v>
      </c>
      <c r="BL3" s="161" t="s">
        <v>394</v>
      </c>
      <c r="BM3" s="162" t="s">
        <v>395</v>
      </c>
      <c r="BN3" s="160" t="s">
        <v>393</v>
      </c>
      <c r="BO3" s="161" t="s">
        <v>394</v>
      </c>
      <c r="BP3" s="162" t="s">
        <v>395</v>
      </c>
      <c r="BQ3" s="160" t="s">
        <v>393</v>
      </c>
      <c r="BR3" s="161" t="s">
        <v>394</v>
      </c>
      <c r="BS3" s="162" t="s">
        <v>395</v>
      </c>
      <c r="BT3" s="160" t="s">
        <v>393</v>
      </c>
      <c r="BU3" s="161" t="s">
        <v>394</v>
      </c>
      <c r="BV3" s="162" t="s">
        <v>395</v>
      </c>
      <c r="BW3" s="160" t="s">
        <v>393</v>
      </c>
      <c r="BX3" s="161" t="s">
        <v>394</v>
      </c>
      <c r="BY3" s="162" t="s">
        <v>395</v>
      </c>
      <c r="BZ3" s="160" t="s">
        <v>393</v>
      </c>
      <c r="CA3" s="161" t="s">
        <v>394</v>
      </c>
      <c r="CB3" s="162" t="s">
        <v>395</v>
      </c>
      <c r="CC3" s="160" t="s">
        <v>393</v>
      </c>
      <c r="CD3" s="161" t="s">
        <v>394</v>
      </c>
      <c r="CE3" s="162" t="s">
        <v>395</v>
      </c>
      <c r="CF3" s="160" t="s">
        <v>393</v>
      </c>
      <c r="CG3" s="161" t="s">
        <v>394</v>
      </c>
      <c r="CH3" s="162" t="s">
        <v>395</v>
      </c>
      <c r="CI3" s="160" t="s">
        <v>393</v>
      </c>
      <c r="CJ3" s="161" t="s">
        <v>394</v>
      </c>
      <c r="CK3" s="162" t="s">
        <v>395</v>
      </c>
      <c r="CL3" s="160" t="s">
        <v>393</v>
      </c>
      <c r="CM3" s="161" t="s">
        <v>394</v>
      </c>
      <c r="CN3" s="162" t="s">
        <v>395</v>
      </c>
      <c r="CO3" s="160" t="s">
        <v>393</v>
      </c>
      <c r="CP3" s="161" t="s">
        <v>394</v>
      </c>
      <c r="CQ3" s="162" t="s">
        <v>395</v>
      </c>
      <c r="CR3" s="160" t="s">
        <v>393</v>
      </c>
      <c r="CS3" s="161" t="s">
        <v>394</v>
      </c>
      <c r="CT3" s="162" t="s">
        <v>395</v>
      </c>
      <c r="CU3" s="160" t="s">
        <v>393</v>
      </c>
      <c r="CV3" s="161" t="s">
        <v>394</v>
      </c>
      <c r="CW3" s="162" t="s">
        <v>395</v>
      </c>
      <c r="CX3" s="160" t="s">
        <v>393</v>
      </c>
      <c r="CY3" s="161" t="s">
        <v>394</v>
      </c>
      <c r="CZ3" s="162" t="s">
        <v>395</v>
      </c>
      <c r="DA3" s="160" t="s">
        <v>393</v>
      </c>
      <c r="DB3" s="161" t="s">
        <v>394</v>
      </c>
      <c r="DC3" s="162" t="s">
        <v>395</v>
      </c>
      <c r="DD3" s="160" t="s">
        <v>393</v>
      </c>
      <c r="DE3" s="161" t="s">
        <v>394</v>
      </c>
      <c r="DF3" s="162" t="s">
        <v>395</v>
      </c>
      <c r="DG3" s="160" t="s">
        <v>393</v>
      </c>
      <c r="DH3" s="161" t="s">
        <v>394</v>
      </c>
      <c r="DI3" s="162" t="s">
        <v>395</v>
      </c>
      <c r="DJ3" s="160" t="s">
        <v>393</v>
      </c>
      <c r="DK3" s="161" t="s">
        <v>394</v>
      </c>
      <c r="DL3" s="162" t="s">
        <v>395</v>
      </c>
      <c r="DM3" s="160" t="s">
        <v>393</v>
      </c>
      <c r="DN3" s="161" t="s">
        <v>394</v>
      </c>
      <c r="DO3" s="162" t="s">
        <v>395</v>
      </c>
    </row>
    <row r="4" spans="1:119" s="54" customFormat="1" x14ac:dyDescent="0.25">
      <c r="A4" s="27">
        <v>1</v>
      </c>
      <c r="B4" s="37" t="s">
        <v>278</v>
      </c>
      <c r="C4" s="58">
        <f>SUM(F4,I4,L4,O4,R4,U4,X4,AA4,AD4,AG4,AJ4,AM4,AP4,AS4,AV4,AY4,BB4,BE4,BH4,BK4,BN4,BQ4,BT4,BW4,BZ4,CC4,CF4,CI4,CL4,CO4,CR4,CU4,CX4,DA4,DD4,DG4,DJ4,DM4)</f>
        <v>6</v>
      </c>
      <c r="D4" s="58">
        <f t="shared" ref="D4:E4" si="0">SUM(G4,J4,M4,P4,S4,V4,Y4,AB4,AE4,AH4,AK4,AN4,AQ4,AT4,AW4,AZ4,BC4,BF4,BI4,BL4,BO4,BR4,BU4,BX4,CA4,CD4,CG4,CJ4,CM4,CP4,CS4,CV4,CY4,DB4,DE4,DH4,DK4,DN4)</f>
        <v>0</v>
      </c>
      <c r="E4" s="51">
        <f t="shared" si="0"/>
        <v>0</v>
      </c>
      <c r="F4" s="52">
        <v>1</v>
      </c>
      <c r="G4" s="36"/>
      <c r="H4" s="167"/>
      <c r="I4" s="52">
        <v>1</v>
      </c>
      <c r="J4" s="36"/>
      <c r="K4" s="53"/>
      <c r="L4" s="52">
        <v>1</v>
      </c>
      <c r="M4" s="36"/>
      <c r="N4" s="167"/>
      <c r="O4" s="52">
        <v>1</v>
      </c>
      <c r="P4" s="36"/>
      <c r="Q4" s="53"/>
      <c r="R4" s="52">
        <v>1</v>
      </c>
      <c r="S4" s="36"/>
      <c r="T4" s="53"/>
      <c r="U4" s="52">
        <v>1</v>
      </c>
      <c r="V4" s="36"/>
      <c r="W4" s="53"/>
      <c r="X4" s="52"/>
      <c r="Y4" s="36"/>
      <c r="Z4" s="53"/>
      <c r="AA4" s="52"/>
      <c r="AB4" s="36"/>
      <c r="AC4" s="53"/>
      <c r="AD4" s="52"/>
      <c r="AE4" s="36"/>
      <c r="AF4" s="53"/>
      <c r="AG4" s="52"/>
      <c r="AH4" s="36"/>
      <c r="AI4" s="53"/>
      <c r="AJ4" s="52"/>
      <c r="AK4" s="36"/>
      <c r="AL4" s="53"/>
      <c r="AM4" s="52"/>
      <c r="AN4" s="36"/>
      <c r="AO4" s="53"/>
      <c r="AP4" s="52"/>
      <c r="AQ4" s="36"/>
      <c r="AR4" s="53"/>
      <c r="AS4" s="52"/>
      <c r="AT4" s="36"/>
      <c r="AU4" s="53"/>
      <c r="AV4" s="52"/>
      <c r="AW4" s="36"/>
      <c r="AX4" s="53"/>
      <c r="AY4" s="52"/>
      <c r="AZ4" s="36"/>
      <c r="BA4" s="53"/>
      <c r="BB4" s="52"/>
      <c r="BC4" s="36"/>
      <c r="BD4" s="53"/>
      <c r="BE4" s="52"/>
      <c r="BF4" s="36"/>
      <c r="BG4" s="53"/>
      <c r="BH4" s="52"/>
      <c r="BI4" s="36"/>
      <c r="BJ4" s="53"/>
      <c r="BK4" s="52"/>
      <c r="BL4" s="36"/>
      <c r="BM4" s="53"/>
      <c r="BN4" s="52"/>
      <c r="BO4" s="36"/>
      <c r="BP4" s="53"/>
      <c r="BQ4" s="52"/>
      <c r="BR4" s="36"/>
      <c r="BS4" s="53"/>
      <c r="BT4" s="52"/>
      <c r="BU4" s="36"/>
      <c r="BV4" s="53"/>
      <c r="BW4" s="52"/>
      <c r="BX4" s="36"/>
      <c r="BY4" s="53"/>
      <c r="BZ4" s="52"/>
      <c r="CA4" s="36"/>
      <c r="CB4" s="53"/>
      <c r="CC4" s="52"/>
      <c r="CD4" s="36"/>
      <c r="CE4" s="53"/>
      <c r="CF4" s="52"/>
      <c r="CG4" s="36"/>
      <c r="CH4" s="53"/>
      <c r="CI4" s="52"/>
      <c r="CJ4" s="36"/>
      <c r="CK4" s="53"/>
      <c r="CL4" s="52"/>
      <c r="CM4" s="36"/>
      <c r="CN4" s="53"/>
      <c r="CO4" s="52"/>
      <c r="CP4" s="36"/>
      <c r="CQ4" s="53"/>
      <c r="CR4" s="52"/>
      <c r="CS4" s="36"/>
      <c r="CT4" s="53"/>
      <c r="CU4" s="52"/>
      <c r="CV4" s="36"/>
      <c r="CW4" s="53"/>
      <c r="CX4" s="52"/>
      <c r="CY4" s="36"/>
      <c r="CZ4" s="53"/>
      <c r="DA4" s="52"/>
      <c r="DB4" s="36"/>
      <c r="DC4" s="53"/>
      <c r="DD4" s="52"/>
      <c r="DE4" s="36"/>
      <c r="DF4" s="53"/>
      <c r="DG4" s="52"/>
      <c r="DH4" s="36"/>
      <c r="DI4" s="53"/>
      <c r="DJ4" s="52"/>
      <c r="DK4" s="36"/>
      <c r="DL4" s="53"/>
      <c r="DM4" s="52"/>
      <c r="DN4" s="36"/>
      <c r="DO4" s="53"/>
    </row>
    <row r="5" spans="1:119" s="54" customFormat="1" ht="14.25" customHeight="1" x14ac:dyDescent="0.25">
      <c r="A5" s="27">
        <v>2</v>
      </c>
      <c r="B5" s="35" t="s">
        <v>196</v>
      </c>
      <c r="C5" s="58">
        <f t="shared" ref="C5:C15" si="1">SUM(F5,I5,L5,O5,R5,U5,X5,AA5,AD5,AG5,AJ5,AM5,AP5,AS5,AV5,AY5,BB5,BE5,BH5,BK5,BN5,BQ5,BT5,BW5,BZ5,CC5,CF5,CI5,CL5,CO5,CR5,CU5,CX5,DA5,DD5,DG5,DJ5,DM5)</f>
        <v>0</v>
      </c>
      <c r="D5" s="58">
        <f t="shared" ref="D5:D15" si="2">SUM(G5,J5,M5,P5,S5,V5,Y5,AB5,AE5,AH5,AK5,AN5,AQ5,AT5,AW5,AZ5,BC5,BF5,BI5,BL5,BO5,BR5,BU5,BX5,CA5,CD5,CG5,CJ5,CM5,CP5,CS5,CV5,CY5,DB5,DE5,DH5,DK5,DN5)</f>
        <v>0</v>
      </c>
      <c r="E5" s="51">
        <f t="shared" ref="E5:E15" si="3">SUM(H5,K5,N5,Q5,T5,W5,Z5,AC5,AF5,AI5,AL5,AO5,AR5,AU5,AX5,BA5,BD5,BG5,BJ5,BM5,BP5,BS5,BV5,BY5,CB5,CE5,CH5,CK5,CN5,CQ5,CT5,CW5,CZ5,DC5,DF5,DI5,DL5,DO5)</f>
        <v>0</v>
      </c>
      <c r="F5" s="52"/>
      <c r="G5" s="36"/>
      <c r="H5" s="167"/>
      <c r="I5" s="52"/>
      <c r="J5" s="36"/>
      <c r="K5" s="53"/>
      <c r="L5" s="52"/>
      <c r="M5" s="36"/>
      <c r="N5" s="167"/>
      <c r="O5" s="52"/>
      <c r="P5" s="36"/>
      <c r="Q5" s="53"/>
      <c r="R5" s="52"/>
      <c r="S5" s="36"/>
      <c r="T5" s="53"/>
      <c r="U5" s="52"/>
      <c r="V5" s="36"/>
      <c r="W5" s="53"/>
      <c r="X5" s="52"/>
      <c r="Y5" s="36"/>
      <c r="Z5" s="53"/>
      <c r="AA5" s="52"/>
      <c r="AB5" s="36"/>
      <c r="AC5" s="53"/>
      <c r="AD5" s="52"/>
      <c r="AE5" s="36"/>
      <c r="AF5" s="53"/>
      <c r="AG5" s="52"/>
      <c r="AH5" s="36"/>
      <c r="AI5" s="53"/>
      <c r="AJ5" s="52"/>
      <c r="AK5" s="36"/>
      <c r="AL5" s="53"/>
      <c r="AM5" s="52"/>
      <c r="AN5" s="36"/>
      <c r="AO5" s="53"/>
      <c r="AP5" s="52"/>
      <c r="AQ5" s="36"/>
      <c r="AR5" s="53"/>
      <c r="AS5" s="52"/>
      <c r="AT5" s="36"/>
      <c r="AU5" s="53"/>
      <c r="AV5" s="52"/>
      <c r="AW5" s="36"/>
      <c r="AX5" s="53"/>
      <c r="AY5" s="52"/>
      <c r="AZ5" s="36"/>
      <c r="BA5" s="53"/>
      <c r="BB5" s="52"/>
      <c r="BC5" s="36"/>
      <c r="BD5" s="53"/>
      <c r="BE5" s="52"/>
      <c r="BF5" s="36"/>
      <c r="BG5" s="53"/>
      <c r="BH5" s="52"/>
      <c r="BI5" s="36"/>
      <c r="BJ5" s="53"/>
      <c r="BK5" s="52"/>
      <c r="BL5" s="36"/>
      <c r="BM5" s="53"/>
      <c r="BN5" s="52"/>
      <c r="BO5" s="36"/>
      <c r="BP5" s="53"/>
      <c r="BQ5" s="52"/>
      <c r="BR5" s="36"/>
      <c r="BS5" s="53"/>
      <c r="BT5" s="52"/>
      <c r="BU5" s="36"/>
      <c r="BV5" s="53"/>
      <c r="BW5" s="52"/>
      <c r="BX5" s="36"/>
      <c r="BY5" s="53"/>
      <c r="BZ5" s="52"/>
      <c r="CA5" s="36"/>
      <c r="CB5" s="53"/>
      <c r="CC5" s="52"/>
      <c r="CD5" s="36"/>
      <c r="CE5" s="53"/>
      <c r="CF5" s="52"/>
      <c r="CG5" s="36"/>
      <c r="CH5" s="53"/>
      <c r="CI5" s="52"/>
      <c r="CJ5" s="36"/>
      <c r="CK5" s="53"/>
      <c r="CL5" s="52"/>
      <c r="CM5" s="36"/>
      <c r="CN5" s="53"/>
      <c r="CO5" s="52"/>
      <c r="CP5" s="36"/>
      <c r="CQ5" s="53"/>
      <c r="CR5" s="52"/>
      <c r="CS5" s="36"/>
      <c r="CT5" s="53"/>
      <c r="CU5" s="52"/>
      <c r="CV5" s="36"/>
      <c r="CW5" s="53"/>
      <c r="CX5" s="52"/>
      <c r="CY5" s="36"/>
      <c r="CZ5" s="53"/>
      <c r="DA5" s="52"/>
      <c r="DB5" s="36"/>
      <c r="DC5" s="53"/>
      <c r="DD5" s="52"/>
      <c r="DE5" s="36"/>
      <c r="DF5" s="53"/>
      <c r="DG5" s="52"/>
      <c r="DH5" s="36"/>
      <c r="DI5" s="53"/>
      <c r="DJ5" s="52"/>
      <c r="DK5" s="36"/>
      <c r="DL5" s="53"/>
      <c r="DM5" s="52"/>
      <c r="DN5" s="36"/>
      <c r="DO5" s="53"/>
    </row>
    <row r="6" spans="1:119" s="54" customFormat="1" ht="14.25" customHeight="1" x14ac:dyDescent="0.25">
      <c r="A6" s="27">
        <v>3</v>
      </c>
      <c r="B6" s="35" t="s">
        <v>316</v>
      </c>
      <c r="C6" s="58">
        <f t="shared" si="1"/>
        <v>2</v>
      </c>
      <c r="D6" s="58">
        <f t="shared" si="2"/>
        <v>0</v>
      </c>
      <c r="E6" s="51">
        <f t="shared" si="3"/>
        <v>0</v>
      </c>
      <c r="F6" s="52">
        <v>1</v>
      </c>
      <c r="G6" s="36"/>
      <c r="H6" s="167"/>
      <c r="I6" s="52">
        <v>1</v>
      </c>
      <c r="J6" s="36"/>
      <c r="K6" s="53"/>
      <c r="L6" s="52"/>
      <c r="M6" s="36"/>
      <c r="N6" s="167"/>
      <c r="O6" s="52"/>
      <c r="P6" s="36"/>
      <c r="Q6" s="53"/>
      <c r="R6" s="52"/>
      <c r="S6" s="36"/>
      <c r="T6" s="53"/>
      <c r="U6" s="52"/>
      <c r="V6" s="36"/>
      <c r="W6" s="53"/>
      <c r="X6" s="52"/>
      <c r="Y6" s="36"/>
      <c r="Z6" s="53"/>
      <c r="AA6" s="52"/>
      <c r="AB6" s="36"/>
      <c r="AC6" s="53"/>
      <c r="AD6" s="52"/>
      <c r="AE6" s="36"/>
      <c r="AF6" s="53"/>
      <c r="AG6" s="52"/>
      <c r="AH6" s="36"/>
      <c r="AI6" s="53"/>
      <c r="AJ6" s="52"/>
      <c r="AK6" s="36"/>
      <c r="AL6" s="53"/>
      <c r="AM6" s="52"/>
      <c r="AN6" s="36"/>
      <c r="AO6" s="53"/>
      <c r="AP6" s="52"/>
      <c r="AQ6" s="36"/>
      <c r="AR6" s="53"/>
      <c r="AS6" s="52"/>
      <c r="AT6" s="36"/>
      <c r="AU6" s="53"/>
      <c r="AV6" s="52"/>
      <c r="AW6" s="36"/>
      <c r="AX6" s="53"/>
      <c r="AY6" s="52"/>
      <c r="AZ6" s="36"/>
      <c r="BA6" s="53"/>
      <c r="BB6" s="52"/>
      <c r="BC6" s="36"/>
      <c r="BD6" s="53"/>
      <c r="BE6" s="52"/>
      <c r="BF6" s="36"/>
      <c r="BG6" s="53"/>
      <c r="BH6" s="52"/>
      <c r="BI6" s="36"/>
      <c r="BJ6" s="53"/>
      <c r="BK6" s="52"/>
      <c r="BL6" s="36"/>
      <c r="BM6" s="53"/>
      <c r="BN6" s="52"/>
      <c r="BO6" s="36"/>
      <c r="BP6" s="53"/>
      <c r="BQ6" s="52"/>
      <c r="BR6" s="36"/>
      <c r="BS6" s="53"/>
      <c r="BT6" s="52"/>
      <c r="BU6" s="36"/>
      <c r="BV6" s="53"/>
      <c r="BW6" s="52"/>
      <c r="BX6" s="36"/>
      <c r="BY6" s="53"/>
      <c r="BZ6" s="52"/>
      <c r="CA6" s="36"/>
      <c r="CB6" s="53"/>
      <c r="CC6" s="52"/>
      <c r="CD6" s="36"/>
      <c r="CE6" s="53"/>
      <c r="CF6" s="52"/>
      <c r="CG6" s="36"/>
      <c r="CH6" s="53"/>
      <c r="CI6" s="52"/>
      <c r="CJ6" s="36"/>
      <c r="CK6" s="53"/>
      <c r="CL6" s="52"/>
      <c r="CM6" s="36"/>
      <c r="CN6" s="53"/>
      <c r="CO6" s="52"/>
      <c r="CP6" s="36"/>
      <c r="CQ6" s="53"/>
      <c r="CR6" s="52"/>
      <c r="CS6" s="36"/>
      <c r="CT6" s="53"/>
      <c r="CU6" s="52"/>
      <c r="CV6" s="36"/>
      <c r="CW6" s="53"/>
      <c r="CX6" s="52"/>
      <c r="CY6" s="36"/>
      <c r="CZ6" s="53"/>
      <c r="DA6" s="52"/>
      <c r="DB6" s="36"/>
      <c r="DC6" s="53"/>
      <c r="DD6" s="52"/>
      <c r="DE6" s="36"/>
      <c r="DF6" s="53"/>
      <c r="DG6" s="52"/>
      <c r="DH6" s="36"/>
      <c r="DI6" s="53"/>
      <c r="DJ6" s="52"/>
      <c r="DK6" s="36"/>
      <c r="DL6" s="53"/>
      <c r="DM6" s="52"/>
      <c r="DN6" s="36"/>
      <c r="DO6" s="53"/>
    </row>
    <row r="7" spans="1:119" s="54" customFormat="1" x14ac:dyDescent="0.25">
      <c r="A7" s="27">
        <v>4</v>
      </c>
      <c r="B7" s="37" t="s">
        <v>220</v>
      </c>
      <c r="C7" s="58">
        <f t="shared" si="1"/>
        <v>5</v>
      </c>
      <c r="D7" s="58">
        <f t="shared" si="2"/>
        <v>0</v>
      </c>
      <c r="E7" s="51">
        <f t="shared" si="3"/>
        <v>2</v>
      </c>
      <c r="F7" s="52">
        <v>1</v>
      </c>
      <c r="G7" s="36"/>
      <c r="H7" s="167">
        <v>1</v>
      </c>
      <c r="I7" s="52">
        <v>1</v>
      </c>
      <c r="J7" s="36"/>
      <c r="K7" s="53"/>
      <c r="L7" s="52">
        <v>1</v>
      </c>
      <c r="M7" s="36"/>
      <c r="N7" s="167"/>
      <c r="O7" s="52">
        <v>1</v>
      </c>
      <c r="P7" s="36"/>
      <c r="Q7" s="53"/>
      <c r="R7" s="52"/>
      <c r="S7" s="36"/>
      <c r="T7" s="53"/>
      <c r="U7" s="52">
        <v>1</v>
      </c>
      <c r="V7" s="36"/>
      <c r="W7" s="53">
        <v>1</v>
      </c>
      <c r="X7" s="52"/>
      <c r="Y7" s="36"/>
      <c r="Z7" s="53"/>
      <c r="AA7" s="52"/>
      <c r="AB7" s="36"/>
      <c r="AC7" s="53"/>
      <c r="AD7" s="52"/>
      <c r="AE7" s="36"/>
      <c r="AF7" s="53"/>
      <c r="AG7" s="52"/>
      <c r="AH7" s="36"/>
      <c r="AI7" s="53"/>
      <c r="AJ7" s="52"/>
      <c r="AK7" s="36"/>
      <c r="AL7" s="53"/>
      <c r="AM7" s="52"/>
      <c r="AN7" s="36"/>
      <c r="AO7" s="53"/>
      <c r="AP7" s="52"/>
      <c r="AQ7" s="36"/>
      <c r="AR7" s="53"/>
      <c r="AS7" s="52"/>
      <c r="AT7" s="36"/>
      <c r="AU7" s="53"/>
      <c r="AV7" s="52"/>
      <c r="AW7" s="36"/>
      <c r="AX7" s="53"/>
      <c r="AY7" s="52"/>
      <c r="AZ7" s="36"/>
      <c r="BA7" s="53"/>
      <c r="BB7" s="52"/>
      <c r="BC7" s="36"/>
      <c r="BD7" s="53"/>
      <c r="BE7" s="52"/>
      <c r="BF7" s="36"/>
      <c r="BG7" s="53"/>
      <c r="BH7" s="52"/>
      <c r="BI7" s="36"/>
      <c r="BJ7" s="53"/>
      <c r="BK7" s="52"/>
      <c r="BL7" s="36"/>
      <c r="BM7" s="53"/>
      <c r="BN7" s="52"/>
      <c r="BO7" s="36"/>
      <c r="BP7" s="53"/>
      <c r="BQ7" s="52"/>
      <c r="BR7" s="36"/>
      <c r="BS7" s="53"/>
      <c r="BT7" s="52"/>
      <c r="BU7" s="36"/>
      <c r="BV7" s="53"/>
      <c r="BW7" s="52"/>
      <c r="BX7" s="36"/>
      <c r="BY7" s="53"/>
      <c r="BZ7" s="52"/>
      <c r="CA7" s="36"/>
      <c r="CB7" s="53"/>
      <c r="CC7" s="52"/>
      <c r="CD7" s="36"/>
      <c r="CE7" s="53"/>
      <c r="CF7" s="52"/>
      <c r="CG7" s="36"/>
      <c r="CH7" s="53"/>
      <c r="CI7" s="52"/>
      <c r="CJ7" s="36"/>
      <c r="CK7" s="53"/>
      <c r="CL7" s="52"/>
      <c r="CM7" s="36"/>
      <c r="CN7" s="53"/>
      <c r="CO7" s="52"/>
      <c r="CP7" s="36"/>
      <c r="CQ7" s="53"/>
      <c r="CR7" s="52"/>
      <c r="CS7" s="36"/>
      <c r="CT7" s="53"/>
      <c r="CU7" s="52"/>
      <c r="CV7" s="36"/>
      <c r="CW7" s="53"/>
      <c r="CX7" s="52"/>
      <c r="CY7" s="36"/>
      <c r="CZ7" s="53"/>
      <c r="DA7" s="52"/>
      <c r="DB7" s="36"/>
      <c r="DC7" s="53"/>
      <c r="DD7" s="52"/>
      <c r="DE7" s="36"/>
      <c r="DF7" s="53"/>
      <c r="DG7" s="52"/>
      <c r="DH7" s="36"/>
      <c r="DI7" s="53"/>
      <c r="DJ7" s="52"/>
      <c r="DK7" s="36"/>
      <c r="DL7" s="53"/>
      <c r="DM7" s="52"/>
      <c r="DN7" s="36"/>
      <c r="DO7" s="53"/>
    </row>
    <row r="8" spans="1:119" s="54" customFormat="1" x14ac:dyDescent="0.25">
      <c r="A8" s="27">
        <v>5</v>
      </c>
      <c r="B8" s="37" t="s">
        <v>318</v>
      </c>
      <c r="C8" s="58">
        <f t="shared" si="1"/>
        <v>3</v>
      </c>
      <c r="D8" s="58">
        <f t="shared" si="2"/>
        <v>0</v>
      </c>
      <c r="E8" s="51">
        <f t="shared" si="3"/>
        <v>0</v>
      </c>
      <c r="F8" s="52">
        <v>1</v>
      </c>
      <c r="G8" s="36"/>
      <c r="H8" s="167"/>
      <c r="I8" s="52"/>
      <c r="J8" s="36"/>
      <c r="K8" s="53"/>
      <c r="L8" s="52">
        <v>1</v>
      </c>
      <c r="M8" s="36"/>
      <c r="N8" s="167"/>
      <c r="O8" s="52"/>
      <c r="P8" s="36"/>
      <c r="Q8" s="53"/>
      <c r="R8" s="52"/>
      <c r="S8" s="36"/>
      <c r="T8" s="53"/>
      <c r="U8" s="52">
        <v>1</v>
      </c>
      <c r="V8" s="36"/>
      <c r="W8" s="53"/>
      <c r="X8" s="52"/>
      <c r="Y8" s="36"/>
      <c r="Z8" s="53"/>
      <c r="AA8" s="52"/>
      <c r="AB8" s="36"/>
      <c r="AC8" s="53"/>
      <c r="AD8" s="52"/>
      <c r="AE8" s="36"/>
      <c r="AF8" s="53"/>
      <c r="AG8" s="52"/>
      <c r="AH8" s="36"/>
      <c r="AI8" s="53"/>
      <c r="AJ8" s="52"/>
      <c r="AK8" s="36"/>
      <c r="AL8" s="53"/>
      <c r="AM8" s="52"/>
      <c r="AN8" s="36"/>
      <c r="AO8" s="53"/>
      <c r="AP8" s="52"/>
      <c r="AQ8" s="36"/>
      <c r="AR8" s="53"/>
      <c r="AS8" s="52"/>
      <c r="AT8" s="36"/>
      <c r="AU8" s="53"/>
      <c r="AV8" s="52"/>
      <c r="AW8" s="36"/>
      <c r="AX8" s="53"/>
      <c r="AY8" s="52"/>
      <c r="AZ8" s="36"/>
      <c r="BA8" s="53"/>
      <c r="BB8" s="52"/>
      <c r="BC8" s="36"/>
      <c r="BD8" s="53"/>
      <c r="BE8" s="52"/>
      <c r="BF8" s="36"/>
      <c r="BG8" s="53"/>
      <c r="BH8" s="52"/>
      <c r="BI8" s="36"/>
      <c r="BJ8" s="53"/>
      <c r="BK8" s="52"/>
      <c r="BL8" s="36"/>
      <c r="BM8" s="53"/>
      <c r="BN8" s="52"/>
      <c r="BO8" s="36"/>
      <c r="BP8" s="53"/>
      <c r="BQ8" s="52"/>
      <c r="BR8" s="36"/>
      <c r="BS8" s="53"/>
      <c r="BT8" s="52"/>
      <c r="BU8" s="36"/>
      <c r="BV8" s="53"/>
      <c r="BW8" s="52"/>
      <c r="BX8" s="36"/>
      <c r="BY8" s="53"/>
      <c r="BZ8" s="52"/>
      <c r="CA8" s="36"/>
      <c r="CB8" s="53"/>
      <c r="CC8" s="52"/>
      <c r="CD8" s="36"/>
      <c r="CE8" s="53"/>
      <c r="CF8" s="52"/>
      <c r="CG8" s="36"/>
      <c r="CH8" s="53"/>
      <c r="CI8" s="52"/>
      <c r="CJ8" s="36"/>
      <c r="CK8" s="53"/>
      <c r="CL8" s="52"/>
      <c r="CM8" s="36"/>
      <c r="CN8" s="53"/>
      <c r="CO8" s="52"/>
      <c r="CP8" s="36"/>
      <c r="CQ8" s="53"/>
      <c r="CR8" s="52"/>
      <c r="CS8" s="36"/>
      <c r="CT8" s="53"/>
      <c r="CU8" s="52"/>
      <c r="CV8" s="36"/>
      <c r="CW8" s="53"/>
      <c r="CX8" s="52"/>
      <c r="CY8" s="36"/>
      <c r="CZ8" s="53"/>
      <c r="DA8" s="52"/>
      <c r="DB8" s="36"/>
      <c r="DC8" s="53"/>
      <c r="DD8" s="52"/>
      <c r="DE8" s="36"/>
      <c r="DF8" s="53"/>
      <c r="DG8" s="52"/>
      <c r="DH8" s="36"/>
      <c r="DI8" s="53"/>
      <c r="DJ8" s="52"/>
      <c r="DK8" s="36"/>
      <c r="DL8" s="53"/>
      <c r="DM8" s="52"/>
      <c r="DN8" s="36"/>
      <c r="DO8" s="53"/>
    </row>
    <row r="9" spans="1:119" s="54" customFormat="1" x14ac:dyDescent="0.25">
      <c r="A9" s="27">
        <v>6</v>
      </c>
      <c r="B9" s="37" t="s">
        <v>198</v>
      </c>
      <c r="C9" s="58">
        <f t="shared" si="1"/>
        <v>6</v>
      </c>
      <c r="D9" s="58">
        <f t="shared" si="2"/>
        <v>0</v>
      </c>
      <c r="E9" s="51">
        <f t="shared" si="3"/>
        <v>0</v>
      </c>
      <c r="F9" s="52">
        <v>1</v>
      </c>
      <c r="G9" s="36"/>
      <c r="H9" s="167"/>
      <c r="I9" s="52">
        <v>1</v>
      </c>
      <c r="J9" s="36"/>
      <c r="K9" s="53"/>
      <c r="L9" s="52">
        <v>1</v>
      </c>
      <c r="M9" s="36"/>
      <c r="N9" s="167"/>
      <c r="O9" s="52">
        <v>1</v>
      </c>
      <c r="P9" s="36"/>
      <c r="Q9" s="53"/>
      <c r="R9" s="52">
        <v>1</v>
      </c>
      <c r="S9" s="36"/>
      <c r="T9" s="53"/>
      <c r="U9" s="52">
        <v>1</v>
      </c>
      <c r="V9" s="36"/>
      <c r="W9" s="53"/>
      <c r="X9" s="52"/>
      <c r="Y9" s="36"/>
      <c r="Z9" s="53"/>
      <c r="AA9" s="52"/>
      <c r="AB9" s="36"/>
      <c r="AC9" s="53"/>
      <c r="AD9" s="52"/>
      <c r="AE9" s="36"/>
      <c r="AF9" s="53"/>
      <c r="AG9" s="52"/>
      <c r="AH9" s="36"/>
      <c r="AI9" s="53"/>
      <c r="AJ9" s="52"/>
      <c r="AK9" s="36"/>
      <c r="AL9" s="53"/>
      <c r="AM9" s="52"/>
      <c r="AN9" s="36"/>
      <c r="AO9" s="53"/>
      <c r="AP9" s="52"/>
      <c r="AQ9" s="36"/>
      <c r="AR9" s="53"/>
      <c r="AS9" s="52"/>
      <c r="AT9" s="36"/>
      <c r="AU9" s="53"/>
      <c r="AV9" s="52"/>
      <c r="AW9" s="36"/>
      <c r="AX9" s="53"/>
      <c r="AY9" s="52"/>
      <c r="AZ9" s="36"/>
      <c r="BA9" s="53"/>
      <c r="BB9" s="52"/>
      <c r="BC9" s="36"/>
      <c r="BD9" s="53"/>
      <c r="BE9" s="52"/>
      <c r="BF9" s="36"/>
      <c r="BG9" s="53"/>
      <c r="BH9" s="52"/>
      <c r="BI9" s="36"/>
      <c r="BJ9" s="53"/>
      <c r="BK9" s="52"/>
      <c r="BL9" s="36"/>
      <c r="BM9" s="53"/>
      <c r="BN9" s="52"/>
      <c r="BO9" s="36"/>
      <c r="BP9" s="53"/>
      <c r="BQ9" s="52"/>
      <c r="BR9" s="36"/>
      <c r="BS9" s="53"/>
      <c r="BT9" s="52"/>
      <c r="BU9" s="36"/>
      <c r="BV9" s="53"/>
      <c r="BW9" s="52"/>
      <c r="BX9" s="36"/>
      <c r="BY9" s="53"/>
      <c r="BZ9" s="52"/>
      <c r="CA9" s="36"/>
      <c r="CB9" s="53"/>
      <c r="CC9" s="52"/>
      <c r="CD9" s="36"/>
      <c r="CE9" s="53"/>
      <c r="CF9" s="52"/>
      <c r="CG9" s="36"/>
      <c r="CH9" s="53"/>
      <c r="CI9" s="52"/>
      <c r="CJ9" s="36"/>
      <c r="CK9" s="53"/>
      <c r="CL9" s="52"/>
      <c r="CM9" s="36"/>
      <c r="CN9" s="53"/>
      <c r="CO9" s="52"/>
      <c r="CP9" s="36"/>
      <c r="CQ9" s="53"/>
      <c r="CR9" s="52"/>
      <c r="CS9" s="36"/>
      <c r="CT9" s="53"/>
      <c r="CU9" s="52"/>
      <c r="CV9" s="36"/>
      <c r="CW9" s="53"/>
      <c r="CX9" s="52"/>
      <c r="CY9" s="36"/>
      <c r="CZ9" s="53"/>
      <c r="DA9" s="52"/>
      <c r="DB9" s="36"/>
      <c r="DC9" s="53"/>
      <c r="DD9" s="52"/>
      <c r="DE9" s="36"/>
      <c r="DF9" s="53"/>
      <c r="DG9" s="52"/>
      <c r="DH9" s="36"/>
      <c r="DI9" s="53"/>
      <c r="DJ9" s="52"/>
      <c r="DK9" s="36"/>
      <c r="DL9" s="53"/>
      <c r="DM9" s="52"/>
      <c r="DN9" s="36"/>
      <c r="DO9" s="53"/>
    </row>
    <row r="10" spans="1:119" s="54" customFormat="1" x14ac:dyDescent="0.25">
      <c r="A10" s="27">
        <v>7</v>
      </c>
      <c r="B10" s="37" t="s">
        <v>180</v>
      </c>
      <c r="C10" s="58">
        <f t="shared" si="1"/>
        <v>6</v>
      </c>
      <c r="D10" s="58">
        <f t="shared" si="2"/>
        <v>3</v>
      </c>
      <c r="E10" s="51">
        <f t="shared" si="3"/>
        <v>0</v>
      </c>
      <c r="F10" s="52">
        <v>1</v>
      </c>
      <c r="G10" s="36">
        <v>1</v>
      </c>
      <c r="H10" s="167"/>
      <c r="I10" s="52">
        <v>1</v>
      </c>
      <c r="J10" s="36">
        <v>1</v>
      </c>
      <c r="K10" s="53"/>
      <c r="L10" s="52">
        <v>1</v>
      </c>
      <c r="M10" s="36"/>
      <c r="N10" s="167"/>
      <c r="O10" s="52">
        <v>1</v>
      </c>
      <c r="P10" s="36">
        <v>1</v>
      </c>
      <c r="Q10" s="53"/>
      <c r="R10" s="52">
        <v>1</v>
      </c>
      <c r="S10" s="36"/>
      <c r="T10" s="53"/>
      <c r="U10" s="52">
        <v>1</v>
      </c>
      <c r="V10" s="36"/>
      <c r="W10" s="53"/>
      <c r="X10" s="52"/>
      <c r="Y10" s="36"/>
      <c r="Z10" s="53"/>
      <c r="AA10" s="52"/>
      <c r="AB10" s="36"/>
      <c r="AC10" s="53"/>
      <c r="AD10" s="52"/>
      <c r="AE10" s="36"/>
      <c r="AF10" s="53"/>
      <c r="AG10" s="52"/>
      <c r="AH10" s="36"/>
      <c r="AI10" s="53"/>
      <c r="AJ10" s="52"/>
      <c r="AK10" s="36"/>
      <c r="AL10" s="53"/>
      <c r="AM10" s="52"/>
      <c r="AN10" s="36"/>
      <c r="AO10" s="53"/>
      <c r="AP10" s="52"/>
      <c r="AQ10" s="36"/>
      <c r="AR10" s="53"/>
      <c r="AS10" s="52"/>
      <c r="AT10" s="36"/>
      <c r="AU10" s="53"/>
      <c r="AV10" s="52"/>
      <c r="AW10" s="36"/>
      <c r="AX10" s="53"/>
      <c r="AY10" s="52"/>
      <c r="AZ10" s="36"/>
      <c r="BA10" s="53"/>
      <c r="BB10" s="52"/>
      <c r="BC10" s="36"/>
      <c r="BD10" s="53"/>
      <c r="BE10" s="52"/>
      <c r="BF10" s="36"/>
      <c r="BG10" s="53"/>
      <c r="BH10" s="52"/>
      <c r="BI10" s="36"/>
      <c r="BJ10" s="53"/>
      <c r="BK10" s="52"/>
      <c r="BL10" s="36"/>
      <c r="BM10" s="53"/>
      <c r="BN10" s="52"/>
      <c r="BO10" s="36"/>
      <c r="BP10" s="53"/>
      <c r="BQ10" s="52"/>
      <c r="BR10" s="36"/>
      <c r="BS10" s="53"/>
      <c r="BT10" s="52"/>
      <c r="BU10" s="36"/>
      <c r="BV10" s="53"/>
      <c r="BW10" s="52"/>
      <c r="BX10" s="36"/>
      <c r="BY10" s="53"/>
      <c r="BZ10" s="52"/>
      <c r="CA10" s="36"/>
      <c r="CB10" s="53"/>
      <c r="CC10" s="52"/>
      <c r="CD10" s="36"/>
      <c r="CE10" s="53"/>
      <c r="CF10" s="52"/>
      <c r="CG10" s="36"/>
      <c r="CH10" s="53"/>
      <c r="CI10" s="52"/>
      <c r="CJ10" s="36"/>
      <c r="CK10" s="53"/>
      <c r="CL10" s="52"/>
      <c r="CM10" s="36"/>
      <c r="CN10" s="53"/>
      <c r="CO10" s="52"/>
      <c r="CP10" s="36"/>
      <c r="CQ10" s="53"/>
      <c r="CR10" s="52"/>
      <c r="CS10" s="36"/>
      <c r="CT10" s="53"/>
      <c r="CU10" s="52"/>
      <c r="CV10" s="36"/>
      <c r="CW10" s="53"/>
      <c r="CX10" s="52"/>
      <c r="CY10" s="36"/>
      <c r="CZ10" s="53"/>
      <c r="DA10" s="52"/>
      <c r="DB10" s="36"/>
      <c r="DC10" s="53"/>
      <c r="DD10" s="52"/>
      <c r="DE10" s="36"/>
      <c r="DF10" s="53"/>
      <c r="DG10" s="52"/>
      <c r="DH10" s="36"/>
      <c r="DI10" s="53"/>
      <c r="DJ10" s="52"/>
      <c r="DK10" s="36"/>
      <c r="DL10" s="53"/>
      <c r="DM10" s="52"/>
      <c r="DN10" s="36"/>
      <c r="DO10" s="53"/>
    </row>
    <row r="11" spans="1:119" s="54" customFormat="1" x14ac:dyDescent="0.25">
      <c r="A11" s="27">
        <v>8</v>
      </c>
      <c r="B11" s="37" t="s">
        <v>218</v>
      </c>
      <c r="C11" s="58">
        <f t="shared" si="1"/>
        <v>6</v>
      </c>
      <c r="D11" s="58">
        <f t="shared" si="2"/>
        <v>2</v>
      </c>
      <c r="E11" s="51">
        <f t="shared" si="3"/>
        <v>0</v>
      </c>
      <c r="F11" s="52">
        <v>1</v>
      </c>
      <c r="G11" s="36">
        <v>1</v>
      </c>
      <c r="H11" s="167"/>
      <c r="I11" s="52">
        <v>1</v>
      </c>
      <c r="J11" s="36"/>
      <c r="K11" s="53"/>
      <c r="L11" s="52">
        <v>1</v>
      </c>
      <c r="M11" s="36">
        <v>1</v>
      </c>
      <c r="N11" s="167"/>
      <c r="O11" s="52">
        <v>1</v>
      </c>
      <c r="P11" s="36"/>
      <c r="Q11" s="53"/>
      <c r="R11" s="52">
        <v>1</v>
      </c>
      <c r="S11" s="36"/>
      <c r="T11" s="53"/>
      <c r="U11" s="52">
        <v>1</v>
      </c>
      <c r="V11" s="36"/>
      <c r="W11" s="53"/>
      <c r="X11" s="52"/>
      <c r="Y11" s="36"/>
      <c r="Z11" s="53"/>
      <c r="AA11" s="52"/>
      <c r="AB11" s="36"/>
      <c r="AC11" s="53"/>
      <c r="AD11" s="52"/>
      <c r="AE11" s="36"/>
      <c r="AF11" s="53"/>
      <c r="AG11" s="52"/>
      <c r="AH11" s="36"/>
      <c r="AI11" s="53"/>
      <c r="AJ11" s="52"/>
      <c r="AK11" s="36"/>
      <c r="AL11" s="53"/>
      <c r="AM11" s="52"/>
      <c r="AN11" s="36"/>
      <c r="AO11" s="53"/>
      <c r="AP11" s="52"/>
      <c r="AQ11" s="36"/>
      <c r="AR11" s="53"/>
      <c r="AS11" s="52"/>
      <c r="AT11" s="36"/>
      <c r="AU11" s="53"/>
      <c r="AV11" s="52"/>
      <c r="AW11" s="36"/>
      <c r="AX11" s="53"/>
      <c r="AY11" s="52"/>
      <c r="AZ11" s="36"/>
      <c r="BA11" s="53"/>
      <c r="BB11" s="52"/>
      <c r="BC11" s="36"/>
      <c r="BD11" s="53"/>
      <c r="BE11" s="52"/>
      <c r="BF11" s="36"/>
      <c r="BG11" s="53"/>
      <c r="BH11" s="52"/>
      <c r="BI11" s="36"/>
      <c r="BJ11" s="53"/>
      <c r="BK11" s="52"/>
      <c r="BL11" s="36"/>
      <c r="BM11" s="53"/>
      <c r="BN11" s="52"/>
      <c r="BO11" s="36"/>
      <c r="BP11" s="53"/>
      <c r="BQ11" s="52"/>
      <c r="BR11" s="36"/>
      <c r="BS11" s="53"/>
      <c r="BT11" s="52"/>
      <c r="BU11" s="36"/>
      <c r="BV11" s="53"/>
      <c r="BW11" s="52"/>
      <c r="BX11" s="36"/>
      <c r="BY11" s="53"/>
      <c r="BZ11" s="52"/>
      <c r="CA11" s="36"/>
      <c r="CB11" s="53"/>
      <c r="CC11" s="52"/>
      <c r="CD11" s="36"/>
      <c r="CE11" s="53"/>
      <c r="CF11" s="52"/>
      <c r="CG11" s="36"/>
      <c r="CH11" s="53"/>
      <c r="CI11" s="52"/>
      <c r="CJ11" s="36"/>
      <c r="CK11" s="53"/>
      <c r="CL11" s="52"/>
      <c r="CM11" s="36"/>
      <c r="CN11" s="53"/>
      <c r="CO11" s="52"/>
      <c r="CP11" s="36"/>
      <c r="CQ11" s="53"/>
      <c r="CR11" s="52"/>
      <c r="CS11" s="36"/>
      <c r="CT11" s="53"/>
      <c r="CU11" s="52"/>
      <c r="CV11" s="36"/>
      <c r="CW11" s="53"/>
      <c r="CX11" s="52"/>
      <c r="CY11" s="36"/>
      <c r="CZ11" s="53"/>
      <c r="DA11" s="52"/>
      <c r="DB11" s="36"/>
      <c r="DC11" s="53"/>
      <c r="DD11" s="52"/>
      <c r="DE11" s="36"/>
      <c r="DF11" s="53"/>
      <c r="DG11" s="52"/>
      <c r="DH11" s="36"/>
      <c r="DI11" s="53"/>
      <c r="DJ11" s="52"/>
      <c r="DK11" s="36"/>
      <c r="DL11" s="53"/>
      <c r="DM11" s="52"/>
      <c r="DN11" s="36"/>
      <c r="DO11" s="53"/>
    </row>
    <row r="12" spans="1:119" s="54" customFormat="1" x14ac:dyDescent="0.25">
      <c r="A12" s="27">
        <v>10</v>
      </c>
      <c r="B12" s="37" t="s">
        <v>319</v>
      </c>
      <c r="C12" s="58">
        <f t="shared" si="1"/>
        <v>4</v>
      </c>
      <c r="D12" s="58">
        <f t="shared" si="2"/>
        <v>0</v>
      </c>
      <c r="E12" s="51">
        <f t="shared" si="3"/>
        <v>0</v>
      </c>
      <c r="F12" s="52">
        <v>1</v>
      </c>
      <c r="G12" s="36"/>
      <c r="H12" s="167"/>
      <c r="I12" s="52">
        <v>1</v>
      </c>
      <c r="J12" s="36"/>
      <c r="K12" s="53"/>
      <c r="L12" s="52"/>
      <c r="M12" s="36"/>
      <c r="N12" s="167"/>
      <c r="O12" s="52">
        <v>1</v>
      </c>
      <c r="P12" s="36"/>
      <c r="Q12" s="53"/>
      <c r="R12" s="52">
        <v>1</v>
      </c>
      <c r="S12" s="36"/>
      <c r="T12" s="53"/>
      <c r="U12" s="52"/>
      <c r="V12" s="36"/>
      <c r="W12" s="53"/>
      <c r="X12" s="52"/>
      <c r="Y12" s="36"/>
      <c r="Z12" s="53"/>
      <c r="AA12" s="52"/>
      <c r="AB12" s="36"/>
      <c r="AC12" s="53"/>
      <c r="AD12" s="52"/>
      <c r="AE12" s="36"/>
      <c r="AF12" s="53"/>
      <c r="AG12" s="52"/>
      <c r="AH12" s="36"/>
      <c r="AI12" s="53"/>
      <c r="AJ12" s="52"/>
      <c r="AK12" s="36"/>
      <c r="AL12" s="53"/>
      <c r="AM12" s="52"/>
      <c r="AN12" s="36"/>
      <c r="AO12" s="53"/>
      <c r="AP12" s="52"/>
      <c r="AQ12" s="36"/>
      <c r="AR12" s="53"/>
      <c r="AS12" s="52"/>
      <c r="AT12" s="36"/>
      <c r="AU12" s="53"/>
      <c r="AV12" s="52"/>
      <c r="AW12" s="36"/>
      <c r="AX12" s="53"/>
      <c r="AY12" s="52"/>
      <c r="AZ12" s="36"/>
      <c r="BA12" s="53"/>
      <c r="BB12" s="52"/>
      <c r="BC12" s="36"/>
      <c r="BD12" s="53"/>
      <c r="BE12" s="52"/>
      <c r="BF12" s="36"/>
      <c r="BG12" s="53"/>
      <c r="BH12" s="52"/>
      <c r="BI12" s="36"/>
      <c r="BJ12" s="53"/>
      <c r="BK12" s="52"/>
      <c r="BL12" s="36"/>
      <c r="BM12" s="53"/>
      <c r="BN12" s="52"/>
      <c r="BO12" s="36"/>
      <c r="BP12" s="53"/>
      <c r="BQ12" s="52"/>
      <c r="BR12" s="36"/>
      <c r="BS12" s="53"/>
      <c r="BT12" s="52"/>
      <c r="BU12" s="36"/>
      <c r="BV12" s="53"/>
      <c r="BW12" s="52"/>
      <c r="BX12" s="36"/>
      <c r="BY12" s="53"/>
      <c r="BZ12" s="52"/>
      <c r="CA12" s="36"/>
      <c r="CB12" s="53"/>
      <c r="CC12" s="52"/>
      <c r="CD12" s="36"/>
      <c r="CE12" s="53"/>
      <c r="CF12" s="52"/>
      <c r="CG12" s="36"/>
      <c r="CH12" s="53"/>
      <c r="CI12" s="52"/>
      <c r="CJ12" s="36"/>
      <c r="CK12" s="53"/>
      <c r="CL12" s="52"/>
      <c r="CM12" s="36"/>
      <c r="CN12" s="53"/>
      <c r="CO12" s="52"/>
      <c r="CP12" s="36"/>
      <c r="CQ12" s="53"/>
      <c r="CR12" s="52"/>
      <c r="CS12" s="36"/>
      <c r="CT12" s="53"/>
      <c r="CU12" s="52"/>
      <c r="CV12" s="36"/>
      <c r="CW12" s="53"/>
      <c r="CX12" s="52"/>
      <c r="CY12" s="36"/>
      <c r="CZ12" s="53"/>
      <c r="DA12" s="52"/>
      <c r="DB12" s="36"/>
      <c r="DC12" s="53"/>
      <c r="DD12" s="52"/>
      <c r="DE12" s="36"/>
      <c r="DF12" s="53"/>
      <c r="DG12" s="52"/>
      <c r="DH12" s="36"/>
      <c r="DI12" s="53"/>
      <c r="DJ12" s="52"/>
      <c r="DK12" s="36"/>
      <c r="DL12" s="53"/>
      <c r="DM12" s="52"/>
      <c r="DN12" s="36"/>
      <c r="DO12" s="53"/>
    </row>
    <row r="13" spans="1:119" s="54" customFormat="1" ht="14.25" customHeight="1" x14ac:dyDescent="0.25">
      <c r="A13" s="27">
        <v>12</v>
      </c>
      <c r="B13" s="35" t="s">
        <v>276</v>
      </c>
      <c r="C13" s="58">
        <f t="shared" si="1"/>
        <v>3</v>
      </c>
      <c r="D13" s="58">
        <f t="shared" si="2"/>
        <v>0</v>
      </c>
      <c r="E13" s="51">
        <f t="shared" si="3"/>
        <v>0</v>
      </c>
      <c r="F13" s="52"/>
      <c r="G13" s="36"/>
      <c r="H13" s="167"/>
      <c r="I13" s="52"/>
      <c r="J13" s="36"/>
      <c r="K13" s="53"/>
      <c r="L13" s="52"/>
      <c r="M13" s="36"/>
      <c r="N13" s="167"/>
      <c r="O13" s="52">
        <v>1</v>
      </c>
      <c r="P13" s="36"/>
      <c r="Q13" s="53"/>
      <c r="R13" s="52">
        <v>1</v>
      </c>
      <c r="S13" s="36"/>
      <c r="T13" s="53"/>
      <c r="U13" s="52">
        <v>1</v>
      </c>
      <c r="V13" s="36"/>
      <c r="W13" s="53"/>
      <c r="X13" s="52"/>
      <c r="Y13" s="36"/>
      <c r="Z13" s="53"/>
      <c r="AA13" s="52"/>
      <c r="AB13" s="36"/>
      <c r="AC13" s="53"/>
      <c r="AD13" s="52"/>
      <c r="AE13" s="36"/>
      <c r="AF13" s="53"/>
      <c r="AG13" s="52"/>
      <c r="AH13" s="36"/>
      <c r="AI13" s="53"/>
      <c r="AJ13" s="52"/>
      <c r="AK13" s="36"/>
      <c r="AL13" s="53"/>
      <c r="AM13" s="52"/>
      <c r="AN13" s="36"/>
      <c r="AO13" s="53"/>
      <c r="AP13" s="52"/>
      <c r="AQ13" s="36"/>
      <c r="AR13" s="53"/>
      <c r="AS13" s="52"/>
      <c r="AT13" s="36"/>
      <c r="AU13" s="53"/>
      <c r="AV13" s="52"/>
      <c r="AW13" s="36"/>
      <c r="AX13" s="53"/>
      <c r="AY13" s="52"/>
      <c r="AZ13" s="36"/>
      <c r="BA13" s="53"/>
      <c r="BB13" s="52"/>
      <c r="BC13" s="36"/>
      <c r="BD13" s="53"/>
      <c r="BE13" s="52"/>
      <c r="BF13" s="36"/>
      <c r="BG13" s="53"/>
      <c r="BH13" s="52"/>
      <c r="BI13" s="36"/>
      <c r="BJ13" s="53"/>
      <c r="BK13" s="52"/>
      <c r="BL13" s="36"/>
      <c r="BM13" s="53"/>
      <c r="BN13" s="52"/>
      <c r="BO13" s="36"/>
      <c r="BP13" s="53"/>
      <c r="BQ13" s="52"/>
      <c r="BR13" s="36"/>
      <c r="BS13" s="53"/>
      <c r="BT13" s="52"/>
      <c r="BU13" s="36"/>
      <c r="BV13" s="53"/>
      <c r="BW13" s="52"/>
      <c r="BX13" s="36"/>
      <c r="BY13" s="53"/>
      <c r="BZ13" s="52"/>
      <c r="CA13" s="36"/>
      <c r="CB13" s="53"/>
      <c r="CC13" s="52"/>
      <c r="CD13" s="36"/>
      <c r="CE13" s="53"/>
      <c r="CF13" s="52"/>
      <c r="CG13" s="36"/>
      <c r="CH13" s="53"/>
      <c r="CI13" s="52"/>
      <c r="CJ13" s="36"/>
      <c r="CK13" s="53"/>
      <c r="CL13" s="52"/>
      <c r="CM13" s="36"/>
      <c r="CN13" s="53"/>
      <c r="CO13" s="52"/>
      <c r="CP13" s="36"/>
      <c r="CQ13" s="53"/>
      <c r="CR13" s="52"/>
      <c r="CS13" s="36"/>
      <c r="CT13" s="53"/>
      <c r="CU13" s="52"/>
      <c r="CV13" s="36"/>
      <c r="CW13" s="53"/>
      <c r="CX13" s="52"/>
      <c r="CY13" s="36"/>
      <c r="CZ13" s="53"/>
      <c r="DA13" s="52"/>
      <c r="DB13" s="36"/>
      <c r="DC13" s="53"/>
      <c r="DD13" s="52"/>
      <c r="DE13" s="36"/>
      <c r="DF13" s="53"/>
      <c r="DG13" s="52"/>
      <c r="DH13" s="36"/>
      <c r="DI13" s="53"/>
      <c r="DJ13" s="52"/>
      <c r="DK13" s="36"/>
      <c r="DL13" s="53"/>
      <c r="DM13" s="52"/>
      <c r="DN13" s="36"/>
      <c r="DO13" s="53"/>
    </row>
    <row r="14" spans="1:119" s="54" customFormat="1" ht="14.25" customHeight="1" x14ac:dyDescent="0.25">
      <c r="A14" s="27">
        <v>13</v>
      </c>
      <c r="B14" s="149" t="s">
        <v>312</v>
      </c>
      <c r="C14" s="58">
        <f t="shared" si="1"/>
        <v>0</v>
      </c>
      <c r="D14" s="58">
        <f t="shared" si="2"/>
        <v>0</v>
      </c>
      <c r="E14" s="51">
        <f t="shared" si="3"/>
        <v>0</v>
      </c>
      <c r="F14" s="52"/>
      <c r="G14" s="36"/>
      <c r="H14" s="167"/>
      <c r="I14" s="52"/>
      <c r="J14" s="36"/>
      <c r="K14" s="53"/>
      <c r="L14" s="52"/>
      <c r="M14" s="36"/>
      <c r="N14" s="167"/>
      <c r="O14" s="52"/>
      <c r="P14" s="36"/>
      <c r="Q14" s="53"/>
      <c r="R14" s="52"/>
      <c r="S14" s="36"/>
      <c r="T14" s="53"/>
      <c r="U14" s="52"/>
      <c r="V14" s="36"/>
      <c r="W14" s="53"/>
      <c r="X14" s="52"/>
      <c r="Y14" s="36"/>
      <c r="Z14" s="53"/>
      <c r="AA14" s="52"/>
      <c r="AB14" s="36"/>
      <c r="AC14" s="53"/>
      <c r="AD14" s="52"/>
      <c r="AE14" s="36"/>
      <c r="AF14" s="53"/>
      <c r="AG14" s="52"/>
      <c r="AH14" s="36"/>
      <c r="AI14" s="53"/>
      <c r="AJ14" s="52"/>
      <c r="AK14" s="36"/>
      <c r="AL14" s="53"/>
      <c r="AM14" s="52"/>
      <c r="AN14" s="36"/>
      <c r="AO14" s="53"/>
      <c r="AP14" s="52"/>
      <c r="AQ14" s="36"/>
      <c r="AR14" s="53"/>
      <c r="AS14" s="52"/>
      <c r="AT14" s="36"/>
      <c r="AU14" s="53"/>
      <c r="AV14" s="52"/>
      <c r="AW14" s="36"/>
      <c r="AX14" s="53"/>
      <c r="AY14" s="52"/>
      <c r="AZ14" s="36"/>
      <c r="BA14" s="53"/>
      <c r="BB14" s="52"/>
      <c r="BC14" s="36"/>
      <c r="BD14" s="53"/>
      <c r="BE14" s="52"/>
      <c r="BF14" s="36"/>
      <c r="BG14" s="53"/>
      <c r="BH14" s="52"/>
      <c r="BI14" s="36"/>
      <c r="BJ14" s="53"/>
      <c r="BK14" s="52"/>
      <c r="BL14" s="36"/>
      <c r="BM14" s="53"/>
      <c r="BN14" s="52"/>
      <c r="BO14" s="36"/>
      <c r="BP14" s="53"/>
      <c r="BQ14" s="52"/>
      <c r="BR14" s="36"/>
      <c r="BS14" s="53"/>
      <c r="BT14" s="52"/>
      <c r="BU14" s="36"/>
      <c r="BV14" s="53"/>
      <c r="BW14" s="52"/>
      <c r="BX14" s="36"/>
      <c r="BY14" s="53"/>
      <c r="BZ14" s="52"/>
      <c r="CA14" s="36"/>
      <c r="CB14" s="53"/>
      <c r="CC14" s="52"/>
      <c r="CD14" s="36"/>
      <c r="CE14" s="53"/>
      <c r="CF14" s="52"/>
      <c r="CG14" s="36"/>
      <c r="CH14" s="53"/>
      <c r="CI14" s="52"/>
      <c r="CJ14" s="36"/>
      <c r="CK14" s="53"/>
      <c r="CL14" s="52"/>
      <c r="CM14" s="36"/>
      <c r="CN14" s="53"/>
      <c r="CO14" s="52"/>
      <c r="CP14" s="36"/>
      <c r="CQ14" s="53"/>
      <c r="CR14" s="52"/>
      <c r="CS14" s="36"/>
      <c r="CT14" s="53"/>
      <c r="CU14" s="52"/>
      <c r="CV14" s="36"/>
      <c r="CW14" s="53"/>
      <c r="CX14" s="52"/>
      <c r="CY14" s="36"/>
      <c r="CZ14" s="53"/>
      <c r="DA14" s="52"/>
      <c r="DB14" s="36"/>
      <c r="DC14" s="53"/>
      <c r="DD14" s="52"/>
      <c r="DE14" s="36"/>
      <c r="DF14" s="53"/>
      <c r="DG14" s="52"/>
      <c r="DH14" s="36"/>
      <c r="DI14" s="53"/>
      <c r="DJ14" s="52"/>
      <c r="DK14" s="36"/>
      <c r="DL14" s="53"/>
      <c r="DM14" s="52"/>
      <c r="DN14" s="36"/>
      <c r="DO14" s="53"/>
    </row>
    <row r="15" spans="1:119" s="54" customFormat="1" ht="14.25" customHeight="1" x14ac:dyDescent="0.25">
      <c r="A15" s="27">
        <v>14</v>
      </c>
      <c r="B15" s="149" t="s">
        <v>317</v>
      </c>
      <c r="C15" s="58">
        <f t="shared" si="1"/>
        <v>3</v>
      </c>
      <c r="D15" s="58">
        <f t="shared" si="2"/>
        <v>0</v>
      </c>
      <c r="E15" s="51">
        <f t="shared" si="3"/>
        <v>0</v>
      </c>
      <c r="F15" s="52"/>
      <c r="G15" s="36"/>
      <c r="H15" s="167"/>
      <c r="I15" s="52"/>
      <c r="J15" s="36"/>
      <c r="K15" s="53"/>
      <c r="L15" s="52">
        <v>1</v>
      </c>
      <c r="M15" s="36"/>
      <c r="N15" s="167"/>
      <c r="O15" s="52"/>
      <c r="P15" s="36"/>
      <c r="Q15" s="53"/>
      <c r="R15" s="52">
        <v>1</v>
      </c>
      <c r="S15" s="36"/>
      <c r="T15" s="53"/>
      <c r="U15" s="52">
        <v>1</v>
      </c>
      <c r="V15" s="36"/>
      <c r="W15" s="53"/>
      <c r="X15" s="52"/>
      <c r="Y15" s="36"/>
      <c r="Z15" s="53"/>
      <c r="AA15" s="52"/>
      <c r="AB15" s="36"/>
      <c r="AC15" s="53"/>
      <c r="AD15" s="52"/>
      <c r="AE15" s="36"/>
      <c r="AF15" s="53"/>
      <c r="AG15" s="52"/>
      <c r="AH15" s="36"/>
      <c r="AI15" s="53"/>
      <c r="AJ15" s="52"/>
      <c r="AK15" s="36"/>
      <c r="AL15" s="53"/>
      <c r="AM15" s="52"/>
      <c r="AN15" s="36"/>
      <c r="AO15" s="53"/>
      <c r="AP15" s="52"/>
      <c r="AQ15" s="36"/>
      <c r="AR15" s="53"/>
      <c r="AS15" s="52"/>
      <c r="AT15" s="36"/>
      <c r="AU15" s="53"/>
      <c r="AV15" s="52"/>
      <c r="AW15" s="36"/>
      <c r="AX15" s="53"/>
      <c r="AY15" s="52"/>
      <c r="AZ15" s="36"/>
      <c r="BA15" s="53"/>
      <c r="BB15" s="52"/>
      <c r="BC15" s="36"/>
      <c r="BD15" s="53"/>
      <c r="BE15" s="52"/>
      <c r="BF15" s="36"/>
      <c r="BG15" s="53"/>
      <c r="BH15" s="52"/>
      <c r="BI15" s="36"/>
      <c r="BJ15" s="53"/>
      <c r="BK15" s="52"/>
      <c r="BL15" s="36"/>
      <c r="BM15" s="53"/>
      <c r="BN15" s="52"/>
      <c r="BO15" s="36"/>
      <c r="BP15" s="53"/>
      <c r="BQ15" s="52"/>
      <c r="BR15" s="36"/>
      <c r="BS15" s="53"/>
      <c r="BT15" s="52"/>
      <c r="BU15" s="36"/>
      <c r="BV15" s="53"/>
      <c r="BW15" s="52"/>
      <c r="BX15" s="36"/>
      <c r="BY15" s="53"/>
      <c r="BZ15" s="52"/>
      <c r="CA15" s="36"/>
      <c r="CB15" s="53"/>
      <c r="CC15" s="52"/>
      <c r="CD15" s="36"/>
      <c r="CE15" s="53"/>
      <c r="CF15" s="52"/>
      <c r="CG15" s="36"/>
      <c r="CH15" s="53"/>
      <c r="CI15" s="52"/>
      <c r="CJ15" s="36"/>
      <c r="CK15" s="53"/>
      <c r="CL15" s="52"/>
      <c r="CM15" s="36"/>
      <c r="CN15" s="53"/>
      <c r="CO15" s="52"/>
      <c r="CP15" s="36"/>
      <c r="CQ15" s="53"/>
      <c r="CR15" s="52"/>
      <c r="CS15" s="36"/>
      <c r="CT15" s="53"/>
      <c r="CU15" s="52"/>
      <c r="CV15" s="36"/>
      <c r="CW15" s="53"/>
      <c r="CX15" s="52"/>
      <c r="CY15" s="36"/>
      <c r="CZ15" s="53"/>
      <c r="DA15" s="52"/>
      <c r="DB15" s="36"/>
      <c r="DC15" s="53"/>
      <c r="DD15" s="52"/>
      <c r="DE15" s="36"/>
      <c r="DF15" s="53"/>
      <c r="DG15" s="52"/>
      <c r="DH15" s="36"/>
      <c r="DI15" s="53"/>
      <c r="DJ15" s="52"/>
      <c r="DK15" s="36"/>
      <c r="DL15" s="53"/>
      <c r="DM15" s="52"/>
      <c r="DN15" s="36"/>
      <c r="DO15" s="53"/>
    </row>
    <row r="16" spans="1:119" s="54" customFormat="1" ht="14.25" customHeight="1" x14ac:dyDescent="0.25">
      <c r="A16" s="27">
        <v>15</v>
      </c>
      <c r="B16" s="149" t="s">
        <v>431</v>
      </c>
      <c r="C16" s="58">
        <f t="shared" ref="C16:C28" si="4">SUM(F16,I16,L16,O16,R16,U16,X16,AA16,AD16,AG16,AJ16,AM16,AP16,AS16,AV16,AY16,BB16,BE16,BH16,BK16,BN16,BQ16,BT16,BW16,BZ16,CC16,CF16,CI16,CL16,CO16,CR16,CU16,CX16,DA16,DD16,DG16,DJ16,DM16)</f>
        <v>5</v>
      </c>
      <c r="D16" s="58">
        <f t="shared" ref="D16:D28" si="5">SUM(G16,J16,M16,P16,S16,V16,Y16,AB16,AE16,AH16,AK16,AN16,AQ16,AT16,AW16,AZ16,BC16,BF16,BI16,BL16,BO16,BR16,BU16,BX16,CA16,CD16,CG16,CJ16,CM16,CP16,CS16,CV16,CY16,DB16,DE16,DH16,DK16,DN16)</f>
        <v>0</v>
      </c>
      <c r="E16" s="51">
        <f t="shared" ref="E16:E28" si="6">SUM(H16,K16,N16,Q16,T16,W16,Z16,AC16,AF16,AI16,AL16,AO16,AR16,AU16,AX16,BA16,BD16,BG16,BJ16,BM16,BP16,BS16,BV16,BY16,CB16,CE16,CH16,CK16,CN16,CQ16,CT16,CW16,CZ16,DC16,DF16,DI16,DL16,DO16)</f>
        <v>0</v>
      </c>
      <c r="F16" s="52"/>
      <c r="G16" s="36"/>
      <c r="H16" s="167"/>
      <c r="I16" s="52">
        <v>1</v>
      </c>
      <c r="J16" s="36"/>
      <c r="K16" s="53"/>
      <c r="L16" s="52">
        <v>1</v>
      </c>
      <c r="M16" s="36"/>
      <c r="N16" s="167"/>
      <c r="O16" s="52">
        <v>1</v>
      </c>
      <c r="P16" s="36"/>
      <c r="Q16" s="53"/>
      <c r="R16" s="52">
        <v>1</v>
      </c>
      <c r="S16" s="36"/>
      <c r="T16" s="53"/>
      <c r="U16" s="52">
        <v>1</v>
      </c>
      <c r="V16" s="36"/>
      <c r="W16" s="53"/>
      <c r="X16" s="52"/>
      <c r="Y16" s="36"/>
      <c r="Z16" s="53"/>
      <c r="AA16" s="52"/>
      <c r="AB16" s="36"/>
      <c r="AC16" s="53"/>
      <c r="AD16" s="52"/>
      <c r="AE16" s="36"/>
      <c r="AF16" s="53"/>
      <c r="AG16" s="52"/>
      <c r="AH16" s="36"/>
      <c r="AI16" s="53"/>
      <c r="AJ16" s="52"/>
      <c r="AK16" s="36"/>
      <c r="AL16" s="53"/>
      <c r="AM16" s="52"/>
      <c r="AN16" s="36"/>
      <c r="AO16" s="53"/>
      <c r="AP16" s="52"/>
      <c r="AQ16" s="36"/>
      <c r="AR16" s="53"/>
      <c r="AS16" s="52"/>
      <c r="AT16" s="36"/>
      <c r="AU16" s="53"/>
      <c r="AV16" s="52"/>
      <c r="AW16" s="36"/>
      <c r="AX16" s="53"/>
      <c r="AY16" s="52"/>
      <c r="AZ16" s="36"/>
      <c r="BA16" s="53"/>
      <c r="BB16" s="52"/>
      <c r="BC16" s="36"/>
      <c r="BD16" s="53"/>
      <c r="BE16" s="52"/>
      <c r="BF16" s="36"/>
      <c r="BG16" s="53"/>
      <c r="BH16" s="52"/>
      <c r="BI16" s="36"/>
      <c r="BJ16" s="53"/>
      <c r="BK16" s="52"/>
      <c r="BL16" s="36"/>
      <c r="BM16" s="53"/>
      <c r="BN16" s="52"/>
      <c r="BO16" s="36"/>
      <c r="BP16" s="53"/>
      <c r="BQ16" s="52"/>
      <c r="BR16" s="36"/>
      <c r="BS16" s="53"/>
      <c r="BT16" s="52"/>
      <c r="BU16" s="36"/>
      <c r="BV16" s="53"/>
      <c r="BW16" s="52"/>
      <c r="BX16" s="36"/>
      <c r="BY16" s="53"/>
      <c r="BZ16" s="52"/>
      <c r="CA16" s="36"/>
      <c r="CB16" s="53"/>
      <c r="CC16" s="52"/>
      <c r="CD16" s="36"/>
      <c r="CE16" s="53"/>
      <c r="CF16" s="52"/>
      <c r="CG16" s="36"/>
      <c r="CH16" s="53"/>
      <c r="CI16" s="52"/>
      <c r="CJ16" s="36"/>
      <c r="CK16" s="53"/>
      <c r="CL16" s="52"/>
      <c r="CM16" s="36"/>
      <c r="CN16" s="53"/>
      <c r="CO16" s="52"/>
      <c r="CP16" s="36"/>
      <c r="CQ16" s="53"/>
      <c r="CR16" s="52"/>
      <c r="CS16" s="36"/>
      <c r="CT16" s="53"/>
      <c r="CU16" s="52"/>
      <c r="CV16" s="36"/>
      <c r="CW16" s="53"/>
      <c r="CX16" s="52"/>
      <c r="CY16" s="36"/>
      <c r="CZ16" s="53"/>
      <c r="DA16" s="52"/>
      <c r="DB16" s="36"/>
      <c r="DC16" s="53"/>
      <c r="DD16" s="52"/>
      <c r="DE16" s="36"/>
      <c r="DF16" s="53"/>
      <c r="DG16" s="52"/>
      <c r="DH16" s="36"/>
      <c r="DI16" s="53"/>
      <c r="DJ16" s="52"/>
      <c r="DK16" s="36"/>
      <c r="DL16" s="53"/>
      <c r="DM16" s="52"/>
      <c r="DN16" s="36"/>
      <c r="DO16" s="53"/>
    </row>
    <row r="17" spans="1:119" s="54" customFormat="1" x14ac:dyDescent="0.25">
      <c r="A17" s="27">
        <v>17</v>
      </c>
      <c r="B17" s="148" t="s">
        <v>343</v>
      </c>
      <c r="C17" s="58">
        <f t="shared" si="4"/>
        <v>5</v>
      </c>
      <c r="D17" s="58">
        <f t="shared" si="5"/>
        <v>0</v>
      </c>
      <c r="E17" s="51">
        <f t="shared" si="6"/>
        <v>1</v>
      </c>
      <c r="F17" s="52">
        <v>1</v>
      </c>
      <c r="G17" s="36"/>
      <c r="H17" s="167"/>
      <c r="I17" s="52">
        <v>1</v>
      </c>
      <c r="J17" s="36"/>
      <c r="K17" s="53"/>
      <c r="L17" s="52">
        <v>1</v>
      </c>
      <c r="M17" s="36"/>
      <c r="N17" s="167">
        <v>1</v>
      </c>
      <c r="O17" s="52">
        <v>1</v>
      </c>
      <c r="P17" s="36"/>
      <c r="Q17" s="53"/>
      <c r="R17" s="52">
        <v>1</v>
      </c>
      <c r="S17" s="36"/>
      <c r="T17" s="53"/>
      <c r="U17" s="52"/>
      <c r="V17" s="36"/>
      <c r="W17" s="53"/>
      <c r="X17" s="52"/>
      <c r="Y17" s="36"/>
      <c r="Z17" s="53"/>
      <c r="AA17" s="52"/>
      <c r="AB17" s="36"/>
      <c r="AC17" s="53"/>
      <c r="AD17" s="52"/>
      <c r="AE17" s="36"/>
      <c r="AF17" s="53"/>
      <c r="AG17" s="52"/>
      <c r="AH17" s="36"/>
      <c r="AI17" s="53"/>
      <c r="AJ17" s="52"/>
      <c r="AK17" s="36"/>
      <c r="AL17" s="53"/>
      <c r="AM17" s="52"/>
      <c r="AN17" s="36"/>
      <c r="AO17" s="53"/>
      <c r="AP17" s="52"/>
      <c r="AQ17" s="36"/>
      <c r="AR17" s="53"/>
      <c r="AS17" s="52"/>
      <c r="AT17" s="36"/>
      <c r="AU17" s="53"/>
      <c r="AV17" s="52"/>
      <c r="AW17" s="36"/>
      <c r="AX17" s="53"/>
      <c r="AY17" s="52"/>
      <c r="AZ17" s="36"/>
      <c r="BA17" s="53"/>
      <c r="BB17" s="52"/>
      <c r="BC17" s="36"/>
      <c r="BD17" s="53"/>
      <c r="BE17" s="52"/>
      <c r="BF17" s="36"/>
      <c r="BG17" s="53"/>
      <c r="BH17" s="52"/>
      <c r="BI17" s="36"/>
      <c r="BJ17" s="53"/>
      <c r="BK17" s="52"/>
      <c r="BL17" s="36"/>
      <c r="BM17" s="53"/>
      <c r="BN17" s="52"/>
      <c r="BO17" s="36"/>
      <c r="BP17" s="53"/>
      <c r="BQ17" s="52"/>
      <c r="BR17" s="36"/>
      <c r="BS17" s="53"/>
      <c r="BT17" s="52"/>
      <c r="BU17" s="36"/>
      <c r="BV17" s="53"/>
      <c r="BW17" s="52"/>
      <c r="BX17" s="36"/>
      <c r="BY17" s="53"/>
      <c r="BZ17" s="52"/>
      <c r="CA17" s="36"/>
      <c r="CB17" s="53"/>
      <c r="CC17" s="52"/>
      <c r="CD17" s="36"/>
      <c r="CE17" s="53"/>
      <c r="CF17" s="52"/>
      <c r="CG17" s="36"/>
      <c r="CH17" s="53"/>
      <c r="CI17" s="52"/>
      <c r="CJ17" s="36"/>
      <c r="CK17" s="53"/>
      <c r="CL17" s="52"/>
      <c r="CM17" s="36"/>
      <c r="CN17" s="53"/>
      <c r="CO17" s="52"/>
      <c r="CP17" s="36"/>
      <c r="CQ17" s="53"/>
      <c r="CR17" s="52"/>
      <c r="CS17" s="36"/>
      <c r="CT17" s="53"/>
      <c r="CU17" s="52"/>
      <c r="CV17" s="36"/>
      <c r="CW17" s="53"/>
      <c r="CX17" s="52"/>
      <c r="CY17" s="36"/>
      <c r="CZ17" s="53"/>
      <c r="DA17" s="52"/>
      <c r="DB17" s="36"/>
      <c r="DC17" s="53"/>
      <c r="DD17" s="52"/>
      <c r="DE17" s="36"/>
      <c r="DF17" s="53"/>
      <c r="DG17" s="52"/>
      <c r="DH17" s="36"/>
      <c r="DI17" s="53"/>
      <c r="DJ17" s="52"/>
      <c r="DK17" s="36"/>
      <c r="DL17" s="53"/>
      <c r="DM17" s="52"/>
      <c r="DN17" s="36"/>
      <c r="DO17" s="53"/>
    </row>
    <row r="18" spans="1:119" s="54" customFormat="1" x14ac:dyDescent="0.25">
      <c r="A18" s="27">
        <v>20</v>
      </c>
      <c r="B18" s="148" t="s">
        <v>315</v>
      </c>
      <c r="C18" s="58">
        <f t="shared" si="4"/>
        <v>3</v>
      </c>
      <c r="D18" s="58">
        <f t="shared" si="5"/>
        <v>0</v>
      </c>
      <c r="E18" s="51">
        <f t="shared" si="6"/>
        <v>0</v>
      </c>
      <c r="F18" s="52">
        <v>1</v>
      </c>
      <c r="G18" s="36"/>
      <c r="H18" s="167"/>
      <c r="I18" s="52"/>
      <c r="J18" s="36"/>
      <c r="K18" s="53"/>
      <c r="L18" s="52">
        <v>1</v>
      </c>
      <c r="M18" s="36"/>
      <c r="N18" s="167"/>
      <c r="O18" s="52"/>
      <c r="P18" s="36"/>
      <c r="Q18" s="53"/>
      <c r="R18" s="52"/>
      <c r="S18" s="36"/>
      <c r="T18" s="53"/>
      <c r="U18" s="52">
        <v>1</v>
      </c>
      <c r="V18" s="36"/>
      <c r="W18" s="53"/>
      <c r="X18" s="52"/>
      <c r="Y18" s="36"/>
      <c r="Z18" s="53"/>
      <c r="AA18" s="52"/>
      <c r="AB18" s="36"/>
      <c r="AC18" s="53"/>
      <c r="AD18" s="52"/>
      <c r="AE18" s="36"/>
      <c r="AF18" s="53"/>
      <c r="AG18" s="52"/>
      <c r="AH18" s="36"/>
      <c r="AI18" s="53"/>
      <c r="AJ18" s="52"/>
      <c r="AK18" s="36"/>
      <c r="AL18" s="53"/>
      <c r="AM18" s="52"/>
      <c r="AN18" s="36"/>
      <c r="AO18" s="53"/>
      <c r="AP18" s="52"/>
      <c r="AQ18" s="36"/>
      <c r="AR18" s="53"/>
      <c r="AS18" s="52"/>
      <c r="AT18" s="36"/>
      <c r="AU18" s="53"/>
      <c r="AV18" s="52"/>
      <c r="AW18" s="36"/>
      <c r="AX18" s="53"/>
      <c r="AY18" s="52"/>
      <c r="AZ18" s="36"/>
      <c r="BA18" s="53"/>
      <c r="BB18" s="52"/>
      <c r="BC18" s="36"/>
      <c r="BD18" s="53"/>
      <c r="BE18" s="52"/>
      <c r="BF18" s="36"/>
      <c r="BG18" s="53"/>
      <c r="BH18" s="52"/>
      <c r="BI18" s="36"/>
      <c r="BJ18" s="53"/>
      <c r="BK18" s="52"/>
      <c r="BL18" s="36"/>
      <c r="BM18" s="53"/>
      <c r="BN18" s="52"/>
      <c r="BO18" s="36"/>
      <c r="BP18" s="53"/>
      <c r="BQ18" s="52"/>
      <c r="BR18" s="36"/>
      <c r="BS18" s="53"/>
      <c r="BT18" s="52"/>
      <c r="BU18" s="36"/>
      <c r="BV18" s="53"/>
      <c r="BW18" s="52"/>
      <c r="BX18" s="36"/>
      <c r="BY18" s="53"/>
      <c r="BZ18" s="52"/>
      <c r="CA18" s="36"/>
      <c r="CB18" s="53"/>
      <c r="CC18" s="52"/>
      <c r="CD18" s="36"/>
      <c r="CE18" s="53"/>
      <c r="CF18" s="52"/>
      <c r="CG18" s="36"/>
      <c r="CH18" s="53"/>
      <c r="CI18" s="52"/>
      <c r="CJ18" s="36"/>
      <c r="CK18" s="53"/>
      <c r="CL18" s="52"/>
      <c r="CM18" s="36"/>
      <c r="CN18" s="53"/>
      <c r="CO18" s="52"/>
      <c r="CP18" s="36"/>
      <c r="CQ18" s="53"/>
      <c r="CR18" s="52"/>
      <c r="CS18" s="36"/>
      <c r="CT18" s="53"/>
      <c r="CU18" s="52"/>
      <c r="CV18" s="36"/>
      <c r="CW18" s="53"/>
      <c r="CX18" s="52"/>
      <c r="CY18" s="36"/>
      <c r="CZ18" s="53"/>
      <c r="DA18" s="52"/>
      <c r="DB18" s="36"/>
      <c r="DC18" s="53"/>
      <c r="DD18" s="52"/>
      <c r="DE18" s="36"/>
      <c r="DF18" s="53"/>
      <c r="DG18" s="52"/>
      <c r="DH18" s="36"/>
      <c r="DI18" s="53"/>
      <c r="DJ18" s="52"/>
      <c r="DK18" s="36"/>
      <c r="DL18" s="53"/>
      <c r="DM18" s="52"/>
      <c r="DN18" s="36"/>
      <c r="DO18" s="53"/>
    </row>
    <row r="19" spans="1:119" s="54" customFormat="1" x14ac:dyDescent="0.25">
      <c r="A19" s="28">
        <v>22</v>
      </c>
      <c r="B19" s="40" t="s">
        <v>263</v>
      </c>
      <c r="C19" s="58">
        <f t="shared" si="4"/>
        <v>0</v>
      </c>
      <c r="D19" s="58">
        <f t="shared" si="5"/>
        <v>0</v>
      </c>
      <c r="E19" s="51">
        <f t="shared" si="6"/>
        <v>0</v>
      </c>
      <c r="F19" s="52"/>
      <c r="G19" s="36"/>
      <c r="H19" s="167"/>
      <c r="I19" s="52"/>
      <c r="J19" s="36"/>
      <c r="K19" s="53"/>
      <c r="L19" s="52"/>
      <c r="M19" s="36"/>
      <c r="N19" s="167"/>
      <c r="O19" s="52"/>
      <c r="P19" s="36"/>
      <c r="Q19" s="53"/>
      <c r="R19" s="52"/>
      <c r="S19" s="36"/>
      <c r="T19" s="53"/>
      <c r="U19" s="52"/>
      <c r="V19" s="36"/>
      <c r="W19" s="53"/>
      <c r="X19" s="52"/>
      <c r="Y19" s="36"/>
      <c r="Z19" s="53"/>
      <c r="AA19" s="52"/>
      <c r="AB19" s="36"/>
      <c r="AC19" s="53"/>
      <c r="AD19" s="52"/>
      <c r="AE19" s="36"/>
      <c r="AF19" s="53"/>
      <c r="AG19" s="52"/>
      <c r="AH19" s="36"/>
      <c r="AI19" s="53"/>
      <c r="AJ19" s="52"/>
      <c r="AK19" s="36"/>
      <c r="AL19" s="53"/>
      <c r="AM19" s="52"/>
      <c r="AN19" s="36"/>
      <c r="AO19" s="53"/>
      <c r="AP19" s="52"/>
      <c r="AQ19" s="36"/>
      <c r="AR19" s="53"/>
      <c r="AS19" s="52"/>
      <c r="AT19" s="36"/>
      <c r="AU19" s="53"/>
      <c r="AV19" s="52"/>
      <c r="AW19" s="36"/>
      <c r="AX19" s="53"/>
      <c r="AY19" s="52"/>
      <c r="AZ19" s="36"/>
      <c r="BA19" s="53"/>
      <c r="BB19" s="52"/>
      <c r="BC19" s="36"/>
      <c r="BD19" s="53"/>
      <c r="BE19" s="52"/>
      <c r="BF19" s="36"/>
      <c r="BG19" s="53"/>
      <c r="BH19" s="52"/>
      <c r="BI19" s="36"/>
      <c r="BJ19" s="53"/>
      <c r="BK19" s="52"/>
      <c r="BL19" s="36"/>
      <c r="BM19" s="53"/>
      <c r="BN19" s="52"/>
      <c r="BO19" s="36"/>
      <c r="BP19" s="53"/>
      <c r="BQ19" s="52"/>
      <c r="BR19" s="36"/>
      <c r="BS19" s="53"/>
      <c r="BT19" s="52"/>
      <c r="BU19" s="36"/>
      <c r="BV19" s="53"/>
      <c r="BW19" s="52"/>
      <c r="BX19" s="36"/>
      <c r="BY19" s="53"/>
      <c r="BZ19" s="52"/>
      <c r="CA19" s="36"/>
      <c r="CB19" s="53"/>
      <c r="CC19" s="52"/>
      <c r="CD19" s="36"/>
      <c r="CE19" s="53"/>
      <c r="CF19" s="52"/>
      <c r="CG19" s="36"/>
      <c r="CH19" s="53"/>
      <c r="CI19" s="52"/>
      <c r="CJ19" s="36"/>
      <c r="CK19" s="53"/>
      <c r="CL19" s="52"/>
      <c r="CM19" s="36"/>
      <c r="CN19" s="53"/>
      <c r="CO19" s="52"/>
      <c r="CP19" s="36"/>
      <c r="CQ19" s="53"/>
      <c r="CR19" s="52"/>
      <c r="CS19" s="36"/>
      <c r="CT19" s="53"/>
      <c r="CU19" s="52"/>
      <c r="CV19" s="36"/>
      <c r="CW19" s="53"/>
      <c r="CX19" s="52"/>
      <c r="CY19" s="36"/>
      <c r="CZ19" s="53"/>
      <c r="DA19" s="52"/>
      <c r="DB19" s="36"/>
      <c r="DC19" s="53"/>
      <c r="DD19" s="52"/>
      <c r="DE19" s="36"/>
      <c r="DF19" s="53"/>
      <c r="DG19" s="52"/>
      <c r="DH19" s="36"/>
      <c r="DI19" s="53"/>
      <c r="DJ19" s="52"/>
      <c r="DK19" s="36"/>
      <c r="DL19" s="53"/>
      <c r="DM19" s="52"/>
      <c r="DN19" s="36"/>
      <c r="DO19" s="53"/>
    </row>
    <row r="20" spans="1:119" s="54" customFormat="1" x14ac:dyDescent="0.25">
      <c r="A20" s="27">
        <v>23</v>
      </c>
      <c r="B20" s="37" t="s">
        <v>293</v>
      </c>
      <c r="C20" s="58">
        <f t="shared" si="4"/>
        <v>6</v>
      </c>
      <c r="D20" s="58">
        <f t="shared" si="5"/>
        <v>0</v>
      </c>
      <c r="E20" s="51">
        <f t="shared" si="6"/>
        <v>0</v>
      </c>
      <c r="F20" s="52">
        <v>1</v>
      </c>
      <c r="G20" s="36"/>
      <c r="H20" s="167"/>
      <c r="I20" s="52">
        <v>1</v>
      </c>
      <c r="J20" s="36"/>
      <c r="K20" s="53"/>
      <c r="L20" s="52">
        <v>1</v>
      </c>
      <c r="M20" s="36"/>
      <c r="N20" s="167"/>
      <c r="O20" s="52">
        <v>1</v>
      </c>
      <c r="P20" s="36"/>
      <c r="Q20" s="53"/>
      <c r="R20" s="52">
        <v>1</v>
      </c>
      <c r="S20" s="36"/>
      <c r="T20" s="53"/>
      <c r="U20" s="52">
        <v>1</v>
      </c>
      <c r="V20" s="36"/>
      <c r="W20" s="53"/>
      <c r="X20" s="52"/>
      <c r="Y20" s="36"/>
      <c r="Z20" s="53"/>
      <c r="AA20" s="52"/>
      <c r="AB20" s="36"/>
      <c r="AC20" s="53"/>
      <c r="AD20" s="52"/>
      <c r="AE20" s="36"/>
      <c r="AF20" s="53"/>
      <c r="AG20" s="52"/>
      <c r="AH20" s="36"/>
      <c r="AI20" s="53"/>
      <c r="AJ20" s="52"/>
      <c r="AK20" s="36"/>
      <c r="AL20" s="53"/>
      <c r="AM20" s="52"/>
      <c r="AN20" s="36"/>
      <c r="AO20" s="53"/>
      <c r="AP20" s="52"/>
      <c r="AQ20" s="36"/>
      <c r="AR20" s="53"/>
      <c r="AS20" s="52"/>
      <c r="AT20" s="36"/>
      <c r="AU20" s="53"/>
      <c r="AV20" s="52"/>
      <c r="AW20" s="36"/>
      <c r="AX20" s="53"/>
      <c r="AY20" s="52"/>
      <c r="AZ20" s="36"/>
      <c r="BA20" s="53"/>
      <c r="BB20" s="52"/>
      <c r="BC20" s="36"/>
      <c r="BD20" s="53"/>
      <c r="BE20" s="52"/>
      <c r="BF20" s="36"/>
      <c r="BG20" s="53"/>
      <c r="BH20" s="52"/>
      <c r="BI20" s="36"/>
      <c r="BJ20" s="53"/>
      <c r="BK20" s="52"/>
      <c r="BL20" s="36"/>
      <c r="BM20" s="53"/>
      <c r="BN20" s="52"/>
      <c r="BO20" s="36"/>
      <c r="BP20" s="53"/>
      <c r="BQ20" s="52"/>
      <c r="BR20" s="36"/>
      <c r="BS20" s="53"/>
      <c r="BT20" s="52"/>
      <c r="BU20" s="36"/>
      <c r="BV20" s="53"/>
      <c r="BW20" s="52"/>
      <c r="BX20" s="36"/>
      <c r="BY20" s="53"/>
      <c r="BZ20" s="52"/>
      <c r="CA20" s="36"/>
      <c r="CB20" s="53"/>
      <c r="CC20" s="52"/>
      <c r="CD20" s="36"/>
      <c r="CE20" s="53"/>
      <c r="CF20" s="52"/>
      <c r="CG20" s="36"/>
      <c r="CH20" s="53"/>
      <c r="CI20" s="52"/>
      <c r="CJ20" s="36"/>
      <c r="CK20" s="53"/>
      <c r="CL20" s="52"/>
      <c r="CM20" s="36"/>
      <c r="CN20" s="53"/>
      <c r="CO20" s="52"/>
      <c r="CP20" s="36"/>
      <c r="CQ20" s="53"/>
      <c r="CR20" s="52"/>
      <c r="CS20" s="36"/>
      <c r="CT20" s="53"/>
      <c r="CU20" s="52"/>
      <c r="CV20" s="36"/>
      <c r="CW20" s="53"/>
      <c r="CX20" s="52"/>
      <c r="CY20" s="36"/>
      <c r="CZ20" s="53"/>
      <c r="DA20" s="52"/>
      <c r="DB20" s="36"/>
      <c r="DC20" s="53"/>
      <c r="DD20" s="52"/>
      <c r="DE20" s="36"/>
      <c r="DF20" s="53"/>
      <c r="DG20" s="52"/>
      <c r="DH20" s="36"/>
      <c r="DI20" s="53"/>
      <c r="DJ20" s="52"/>
      <c r="DK20" s="36"/>
      <c r="DL20" s="53"/>
      <c r="DM20" s="52"/>
      <c r="DN20" s="36"/>
      <c r="DO20" s="53"/>
    </row>
    <row r="21" spans="1:119" s="54" customFormat="1" x14ac:dyDescent="0.25">
      <c r="A21" s="28">
        <v>29</v>
      </c>
      <c r="B21" s="148" t="s">
        <v>275</v>
      </c>
      <c r="C21" s="58">
        <f t="shared" si="4"/>
        <v>6</v>
      </c>
      <c r="D21" s="58">
        <f t="shared" si="5"/>
        <v>2</v>
      </c>
      <c r="E21" s="51">
        <f t="shared" si="6"/>
        <v>0</v>
      </c>
      <c r="F21" s="52">
        <v>1</v>
      </c>
      <c r="G21" s="36">
        <v>1</v>
      </c>
      <c r="H21" s="167"/>
      <c r="I21" s="52">
        <v>1</v>
      </c>
      <c r="J21" s="36"/>
      <c r="K21" s="53"/>
      <c r="L21" s="52">
        <v>1</v>
      </c>
      <c r="M21" s="36">
        <v>1</v>
      </c>
      <c r="N21" s="167"/>
      <c r="O21" s="52">
        <v>1</v>
      </c>
      <c r="P21" s="36"/>
      <c r="Q21" s="53"/>
      <c r="R21" s="52">
        <v>1</v>
      </c>
      <c r="S21" s="36"/>
      <c r="T21" s="53"/>
      <c r="U21" s="52">
        <v>1</v>
      </c>
      <c r="V21" s="36"/>
      <c r="W21" s="53"/>
      <c r="X21" s="52"/>
      <c r="Y21" s="36"/>
      <c r="Z21" s="53"/>
      <c r="AA21" s="52"/>
      <c r="AB21" s="36"/>
      <c r="AC21" s="53"/>
      <c r="AD21" s="52"/>
      <c r="AE21" s="36"/>
      <c r="AF21" s="53"/>
      <c r="AG21" s="52"/>
      <c r="AH21" s="36"/>
      <c r="AI21" s="53"/>
      <c r="AJ21" s="52"/>
      <c r="AK21" s="36"/>
      <c r="AL21" s="53"/>
      <c r="AM21" s="52"/>
      <c r="AN21" s="36"/>
      <c r="AO21" s="53"/>
      <c r="AP21" s="52"/>
      <c r="AQ21" s="36"/>
      <c r="AR21" s="53"/>
      <c r="AS21" s="52"/>
      <c r="AT21" s="36"/>
      <c r="AU21" s="53"/>
      <c r="AV21" s="52"/>
      <c r="AW21" s="36"/>
      <c r="AX21" s="53"/>
      <c r="AY21" s="52"/>
      <c r="AZ21" s="36"/>
      <c r="BA21" s="53"/>
      <c r="BB21" s="52"/>
      <c r="BC21" s="36"/>
      <c r="BD21" s="53"/>
      <c r="BE21" s="52"/>
      <c r="BF21" s="36"/>
      <c r="BG21" s="53"/>
      <c r="BH21" s="52"/>
      <c r="BI21" s="36"/>
      <c r="BJ21" s="53"/>
      <c r="BK21" s="52"/>
      <c r="BL21" s="36"/>
      <c r="BM21" s="53"/>
      <c r="BN21" s="52"/>
      <c r="BO21" s="36"/>
      <c r="BP21" s="53"/>
      <c r="BQ21" s="52"/>
      <c r="BR21" s="36"/>
      <c r="BS21" s="53"/>
      <c r="BT21" s="52"/>
      <c r="BU21" s="36"/>
      <c r="BV21" s="53"/>
      <c r="BW21" s="52"/>
      <c r="BX21" s="36"/>
      <c r="BY21" s="53"/>
      <c r="BZ21" s="52"/>
      <c r="CA21" s="36"/>
      <c r="CB21" s="53"/>
      <c r="CC21" s="52"/>
      <c r="CD21" s="36"/>
      <c r="CE21" s="53"/>
      <c r="CF21" s="52"/>
      <c r="CG21" s="36"/>
      <c r="CH21" s="53"/>
      <c r="CI21" s="52"/>
      <c r="CJ21" s="36"/>
      <c r="CK21" s="53"/>
      <c r="CL21" s="52"/>
      <c r="CM21" s="36"/>
      <c r="CN21" s="53"/>
      <c r="CO21" s="52"/>
      <c r="CP21" s="36"/>
      <c r="CQ21" s="53"/>
      <c r="CR21" s="52"/>
      <c r="CS21" s="36"/>
      <c r="CT21" s="53"/>
      <c r="CU21" s="52"/>
      <c r="CV21" s="36"/>
      <c r="CW21" s="53"/>
      <c r="CX21" s="52"/>
      <c r="CY21" s="36"/>
      <c r="CZ21" s="53"/>
      <c r="DA21" s="52"/>
      <c r="DB21" s="36"/>
      <c r="DC21" s="53"/>
      <c r="DD21" s="52"/>
      <c r="DE21" s="36"/>
      <c r="DF21" s="53"/>
      <c r="DG21" s="52"/>
      <c r="DH21" s="36"/>
      <c r="DI21" s="53"/>
      <c r="DJ21" s="52"/>
      <c r="DK21" s="36"/>
      <c r="DL21" s="53"/>
      <c r="DM21" s="52"/>
      <c r="DN21" s="36"/>
      <c r="DO21" s="53"/>
    </row>
    <row r="22" spans="1:119" s="54" customFormat="1" x14ac:dyDescent="0.25">
      <c r="A22" s="28">
        <v>30</v>
      </c>
      <c r="B22" s="148" t="s">
        <v>344</v>
      </c>
      <c r="C22" s="58">
        <f t="shared" si="4"/>
        <v>0</v>
      </c>
      <c r="D22" s="58">
        <f t="shared" si="5"/>
        <v>0</v>
      </c>
      <c r="E22" s="51">
        <f t="shared" si="6"/>
        <v>0</v>
      </c>
      <c r="F22" s="52"/>
      <c r="G22" s="36"/>
      <c r="H22" s="167"/>
      <c r="I22" s="52"/>
      <c r="J22" s="36"/>
      <c r="K22" s="53"/>
      <c r="L22" s="52"/>
      <c r="M22" s="36"/>
      <c r="N22" s="167"/>
      <c r="O22" s="52"/>
      <c r="P22" s="36"/>
      <c r="Q22" s="53"/>
      <c r="R22" s="52"/>
      <c r="S22" s="36"/>
      <c r="T22" s="53"/>
      <c r="U22" s="52"/>
      <c r="V22" s="36"/>
      <c r="W22" s="53"/>
      <c r="X22" s="52"/>
      <c r="Y22" s="36"/>
      <c r="Z22" s="53"/>
      <c r="AA22" s="52"/>
      <c r="AB22" s="36"/>
      <c r="AC22" s="53"/>
      <c r="AD22" s="52"/>
      <c r="AE22" s="36"/>
      <c r="AF22" s="53"/>
      <c r="AG22" s="52"/>
      <c r="AH22" s="36"/>
      <c r="AI22" s="53"/>
      <c r="AJ22" s="52"/>
      <c r="AK22" s="36"/>
      <c r="AL22" s="53"/>
      <c r="AM22" s="52"/>
      <c r="AN22" s="36"/>
      <c r="AO22" s="53"/>
      <c r="AP22" s="52"/>
      <c r="AQ22" s="36"/>
      <c r="AR22" s="53"/>
      <c r="AS22" s="52"/>
      <c r="AT22" s="36"/>
      <c r="AU22" s="53"/>
      <c r="AV22" s="52"/>
      <c r="AW22" s="36"/>
      <c r="AX22" s="53"/>
      <c r="AY22" s="52"/>
      <c r="AZ22" s="36"/>
      <c r="BA22" s="53"/>
      <c r="BB22" s="52"/>
      <c r="BC22" s="36"/>
      <c r="BD22" s="53"/>
      <c r="BE22" s="52"/>
      <c r="BF22" s="36"/>
      <c r="BG22" s="53"/>
      <c r="BH22" s="52"/>
      <c r="BI22" s="36"/>
      <c r="BJ22" s="53"/>
      <c r="BK22" s="52"/>
      <c r="BL22" s="36"/>
      <c r="BM22" s="53"/>
      <c r="BN22" s="52"/>
      <c r="BO22" s="36"/>
      <c r="BP22" s="53"/>
      <c r="BQ22" s="52"/>
      <c r="BR22" s="36"/>
      <c r="BS22" s="53"/>
      <c r="BT22" s="52"/>
      <c r="BU22" s="36"/>
      <c r="BV22" s="53"/>
      <c r="BW22" s="52"/>
      <c r="BX22" s="36"/>
      <c r="BY22" s="53"/>
      <c r="BZ22" s="52"/>
      <c r="CA22" s="36"/>
      <c r="CB22" s="53"/>
      <c r="CC22" s="52"/>
      <c r="CD22" s="36"/>
      <c r="CE22" s="53"/>
      <c r="CF22" s="52"/>
      <c r="CG22" s="36"/>
      <c r="CH22" s="53"/>
      <c r="CI22" s="52"/>
      <c r="CJ22" s="36"/>
      <c r="CK22" s="53"/>
      <c r="CL22" s="52"/>
      <c r="CM22" s="36"/>
      <c r="CN22" s="53"/>
      <c r="CO22" s="52"/>
      <c r="CP22" s="36"/>
      <c r="CQ22" s="53"/>
      <c r="CR22" s="52"/>
      <c r="CS22" s="36"/>
      <c r="CT22" s="53"/>
      <c r="CU22" s="52"/>
      <c r="CV22" s="36"/>
      <c r="CW22" s="53"/>
      <c r="CX22" s="52"/>
      <c r="CY22" s="36"/>
      <c r="CZ22" s="53"/>
      <c r="DA22" s="52"/>
      <c r="DB22" s="36"/>
      <c r="DC22" s="53"/>
      <c r="DD22" s="52"/>
      <c r="DE22" s="36"/>
      <c r="DF22" s="53"/>
      <c r="DG22" s="52"/>
      <c r="DH22" s="36"/>
      <c r="DI22" s="53"/>
      <c r="DJ22" s="52"/>
      <c r="DK22" s="36"/>
      <c r="DL22" s="53"/>
      <c r="DM22" s="52"/>
      <c r="DN22" s="36"/>
      <c r="DO22" s="53"/>
    </row>
    <row r="23" spans="1:119" s="54" customFormat="1" x14ac:dyDescent="0.25">
      <c r="A23" s="28">
        <v>33</v>
      </c>
      <c r="B23" s="148" t="s">
        <v>291</v>
      </c>
      <c r="C23" s="58">
        <f t="shared" si="4"/>
        <v>6</v>
      </c>
      <c r="D23" s="58">
        <f t="shared" si="5"/>
        <v>1</v>
      </c>
      <c r="E23" s="51">
        <f t="shared" si="6"/>
        <v>2</v>
      </c>
      <c r="F23" s="52">
        <v>1</v>
      </c>
      <c r="G23" s="36"/>
      <c r="H23" s="167">
        <v>1</v>
      </c>
      <c r="I23" s="52">
        <v>1</v>
      </c>
      <c r="J23" s="36"/>
      <c r="K23" s="53">
        <v>1</v>
      </c>
      <c r="L23" s="52">
        <v>1</v>
      </c>
      <c r="M23" s="36"/>
      <c r="N23" s="167"/>
      <c r="O23" s="52">
        <v>1</v>
      </c>
      <c r="P23" s="36"/>
      <c r="Q23" s="53"/>
      <c r="R23" s="52">
        <v>1</v>
      </c>
      <c r="S23" s="36"/>
      <c r="T23" s="53"/>
      <c r="U23" s="52">
        <v>1</v>
      </c>
      <c r="V23" s="36">
        <v>1</v>
      </c>
      <c r="W23" s="53"/>
      <c r="X23" s="52"/>
      <c r="Y23" s="36"/>
      <c r="Z23" s="53"/>
      <c r="AA23" s="52"/>
      <c r="AB23" s="36"/>
      <c r="AC23" s="53"/>
      <c r="AD23" s="52"/>
      <c r="AE23" s="36"/>
      <c r="AF23" s="53"/>
      <c r="AG23" s="52"/>
      <c r="AH23" s="36"/>
      <c r="AI23" s="53"/>
      <c r="AJ23" s="52"/>
      <c r="AK23" s="36"/>
      <c r="AL23" s="53"/>
      <c r="AM23" s="52"/>
      <c r="AN23" s="36"/>
      <c r="AO23" s="53"/>
      <c r="AP23" s="52"/>
      <c r="AQ23" s="36"/>
      <c r="AR23" s="53"/>
      <c r="AS23" s="52"/>
      <c r="AT23" s="36"/>
      <c r="AU23" s="53"/>
      <c r="AV23" s="52"/>
      <c r="AW23" s="36"/>
      <c r="AX23" s="53"/>
      <c r="AY23" s="52"/>
      <c r="AZ23" s="36"/>
      <c r="BA23" s="53"/>
      <c r="BB23" s="52"/>
      <c r="BC23" s="36"/>
      <c r="BD23" s="53"/>
      <c r="BE23" s="52"/>
      <c r="BF23" s="36"/>
      <c r="BG23" s="53"/>
      <c r="BH23" s="52"/>
      <c r="BI23" s="36"/>
      <c r="BJ23" s="53"/>
      <c r="BK23" s="52"/>
      <c r="BL23" s="36"/>
      <c r="BM23" s="53"/>
      <c r="BN23" s="52"/>
      <c r="BO23" s="36"/>
      <c r="BP23" s="53"/>
      <c r="BQ23" s="52"/>
      <c r="BR23" s="36"/>
      <c r="BS23" s="53"/>
      <c r="BT23" s="52"/>
      <c r="BU23" s="36"/>
      <c r="BV23" s="53"/>
      <c r="BW23" s="52"/>
      <c r="BX23" s="36"/>
      <c r="BY23" s="53"/>
      <c r="BZ23" s="52"/>
      <c r="CA23" s="36"/>
      <c r="CB23" s="53"/>
      <c r="CC23" s="52"/>
      <c r="CD23" s="36"/>
      <c r="CE23" s="53"/>
      <c r="CF23" s="52"/>
      <c r="CG23" s="36"/>
      <c r="CH23" s="53"/>
      <c r="CI23" s="52"/>
      <c r="CJ23" s="36"/>
      <c r="CK23" s="53"/>
      <c r="CL23" s="52"/>
      <c r="CM23" s="36"/>
      <c r="CN23" s="53"/>
      <c r="CO23" s="52"/>
      <c r="CP23" s="36"/>
      <c r="CQ23" s="53"/>
      <c r="CR23" s="52"/>
      <c r="CS23" s="36"/>
      <c r="CT23" s="53"/>
      <c r="CU23" s="52"/>
      <c r="CV23" s="36"/>
      <c r="CW23" s="53"/>
      <c r="CX23" s="52"/>
      <c r="CY23" s="36"/>
      <c r="CZ23" s="53"/>
      <c r="DA23" s="52"/>
      <c r="DB23" s="36"/>
      <c r="DC23" s="53"/>
      <c r="DD23" s="52"/>
      <c r="DE23" s="36"/>
      <c r="DF23" s="53"/>
      <c r="DG23" s="52"/>
      <c r="DH23" s="36"/>
      <c r="DI23" s="53"/>
      <c r="DJ23" s="52"/>
      <c r="DK23" s="36"/>
      <c r="DL23" s="53"/>
      <c r="DM23" s="52"/>
      <c r="DN23" s="36"/>
      <c r="DO23" s="53"/>
    </row>
    <row r="24" spans="1:119" s="54" customFormat="1" x14ac:dyDescent="0.25">
      <c r="A24" s="28">
        <v>35</v>
      </c>
      <c r="B24" s="148" t="s">
        <v>303</v>
      </c>
      <c r="C24" s="58">
        <f t="shared" si="4"/>
        <v>0</v>
      </c>
      <c r="D24" s="58">
        <f t="shared" si="5"/>
        <v>0</v>
      </c>
      <c r="E24" s="51">
        <f t="shared" si="6"/>
        <v>0</v>
      </c>
      <c r="F24" s="52"/>
      <c r="G24" s="36"/>
      <c r="H24" s="167"/>
      <c r="I24" s="52"/>
      <c r="J24" s="36"/>
      <c r="K24" s="53"/>
      <c r="L24" s="52"/>
      <c r="M24" s="36"/>
      <c r="N24" s="167"/>
      <c r="O24" s="52"/>
      <c r="P24" s="36"/>
      <c r="Q24" s="53"/>
      <c r="R24" s="52"/>
      <c r="S24" s="36"/>
      <c r="T24" s="53"/>
      <c r="U24" s="52"/>
      <c r="V24" s="36"/>
      <c r="W24" s="53"/>
      <c r="X24" s="52"/>
      <c r="Y24" s="36"/>
      <c r="Z24" s="53"/>
      <c r="AA24" s="52"/>
      <c r="AB24" s="36"/>
      <c r="AC24" s="53"/>
      <c r="AD24" s="52"/>
      <c r="AE24" s="36"/>
      <c r="AF24" s="53"/>
      <c r="AG24" s="52"/>
      <c r="AH24" s="36"/>
      <c r="AI24" s="53"/>
      <c r="AJ24" s="52"/>
      <c r="AK24" s="36"/>
      <c r="AL24" s="53"/>
      <c r="AM24" s="52"/>
      <c r="AN24" s="36"/>
      <c r="AO24" s="53"/>
      <c r="AP24" s="52"/>
      <c r="AQ24" s="36"/>
      <c r="AR24" s="53"/>
      <c r="AS24" s="52"/>
      <c r="AT24" s="36"/>
      <c r="AU24" s="53"/>
      <c r="AV24" s="52"/>
      <c r="AW24" s="36"/>
      <c r="AX24" s="53"/>
      <c r="AY24" s="52"/>
      <c r="AZ24" s="36"/>
      <c r="BA24" s="53"/>
      <c r="BB24" s="52"/>
      <c r="BC24" s="36"/>
      <c r="BD24" s="53"/>
      <c r="BE24" s="52"/>
      <c r="BF24" s="36"/>
      <c r="BG24" s="53"/>
      <c r="BH24" s="52"/>
      <c r="BI24" s="36"/>
      <c r="BJ24" s="53"/>
      <c r="BK24" s="52"/>
      <c r="BL24" s="36"/>
      <c r="BM24" s="53"/>
      <c r="BN24" s="52"/>
      <c r="BO24" s="36"/>
      <c r="BP24" s="53"/>
      <c r="BQ24" s="52"/>
      <c r="BR24" s="36"/>
      <c r="BS24" s="53"/>
      <c r="BT24" s="52"/>
      <c r="BU24" s="36"/>
      <c r="BV24" s="53"/>
      <c r="BW24" s="52"/>
      <c r="BX24" s="36"/>
      <c r="BY24" s="53"/>
      <c r="BZ24" s="52"/>
      <c r="CA24" s="36"/>
      <c r="CB24" s="53"/>
      <c r="CC24" s="52"/>
      <c r="CD24" s="36"/>
      <c r="CE24" s="53"/>
      <c r="CF24" s="52"/>
      <c r="CG24" s="36"/>
      <c r="CH24" s="53"/>
      <c r="CI24" s="52"/>
      <c r="CJ24" s="36"/>
      <c r="CK24" s="53"/>
      <c r="CL24" s="52"/>
      <c r="CM24" s="36"/>
      <c r="CN24" s="53"/>
      <c r="CO24" s="52"/>
      <c r="CP24" s="36"/>
      <c r="CQ24" s="53"/>
      <c r="CR24" s="52"/>
      <c r="CS24" s="36"/>
      <c r="CT24" s="53"/>
      <c r="CU24" s="52"/>
      <c r="CV24" s="36"/>
      <c r="CW24" s="53"/>
      <c r="CX24" s="52"/>
      <c r="CY24" s="36"/>
      <c r="CZ24" s="53"/>
      <c r="DA24" s="52"/>
      <c r="DB24" s="36"/>
      <c r="DC24" s="53"/>
      <c r="DD24" s="52"/>
      <c r="DE24" s="36"/>
      <c r="DF24" s="53"/>
      <c r="DG24" s="52"/>
      <c r="DH24" s="36"/>
      <c r="DI24" s="53"/>
      <c r="DJ24" s="52"/>
      <c r="DK24" s="36"/>
      <c r="DL24" s="53"/>
      <c r="DM24" s="52"/>
      <c r="DN24" s="36"/>
      <c r="DO24" s="53"/>
    </row>
    <row r="25" spans="1:119" s="54" customFormat="1" x14ac:dyDescent="0.25">
      <c r="A25" s="28">
        <v>36</v>
      </c>
      <c r="B25" s="148" t="s">
        <v>313</v>
      </c>
      <c r="C25" s="58">
        <f t="shared" si="4"/>
        <v>5</v>
      </c>
      <c r="D25" s="58">
        <f t="shared" si="5"/>
        <v>0</v>
      </c>
      <c r="E25" s="51">
        <f t="shared" si="6"/>
        <v>0</v>
      </c>
      <c r="F25" s="52">
        <v>1</v>
      </c>
      <c r="G25" s="36"/>
      <c r="H25" s="167"/>
      <c r="I25" s="52">
        <v>1</v>
      </c>
      <c r="J25" s="36"/>
      <c r="K25" s="53"/>
      <c r="L25" s="52">
        <v>1</v>
      </c>
      <c r="M25" s="36"/>
      <c r="N25" s="167"/>
      <c r="O25" s="52">
        <v>1</v>
      </c>
      <c r="P25" s="36"/>
      <c r="Q25" s="53"/>
      <c r="R25" s="52">
        <v>1</v>
      </c>
      <c r="S25" s="36"/>
      <c r="T25" s="53"/>
      <c r="U25" s="52"/>
      <c r="V25" s="36"/>
      <c r="W25" s="53"/>
      <c r="X25" s="52"/>
      <c r="Y25" s="36"/>
      <c r="Z25" s="53"/>
      <c r="AA25" s="52"/>
      <c r="AB25" s="36"/>
      <c r="AC25" s="53"/>
      <c r="AD25" s="52"/>
      <c r="AE25" s="36"/>
      <c r="AF25" s="53"/>
      <c r="AG25" s="52"/>
      <c r="AH25" s="36"/>
      <c r="AI25" s="53"/>
      <c r="AJ25" s="52"/>
      <c r="AK25" s="36"/>
      <c r="AL25" s="53"/>
      <c r="AM25" s="52"/>
      <c r="AN25" s="36"/>
      <c r="AO25" s="53"/>
      <c r="AP25" s="52"/>
      <c r="AQ25" s="36"/>
      <c r="AR25" s="53"/>
      <c r="AS25" s="52"/>
      <c r="AT25" s="36"/>
      <c r="AU25" s="53"/>
      <c r="AV25" s="52"/>
      <c r="AW25" s="36"/>
      <c r="AX25" s="53"/>
      <c r="AY25" s="52"/>
      <c r="AZ25" s="36"/>
      <c r="BA25" s="53"/>
      <c r="BB25" s="52"/>
      <c r="BC25" s="36"/>
      <c r="BD25" s="53"/>
      <c r="BE25" s="52"/>
      <c r="BF25" s="36"/>
      <c r="BG25" s="53"/>
      <c r="BH25" s="52"/>
      <c r="BI25" s="36"/>
      <c r="BJ25" s="53"/>
      <c r="BK25" s="52"/>
      <c r="BL25" s="36"/>
      <c r="BM25" s="53"/>
      <c r="BN25" s="52"/>
      <c r="BO25" s="36"/>
      <c r="BP25" s="53"/>
      <c r="BQ25" s="52"/>
      <c r="BR25" s="36"/>
      <c r="BS25" s="53"/>
      <c r="BT25" s="52"/>
      <c r="BU25" s="36"/>
      <c r="BV25" s="53"/>
      <c r="BW25" s="52"/>
      <c r="BX25" s="36"/>
      <c r="BY25" s="53"/>
      <c r="BZ25" s="52"/>
      <c r="CA25" s="36"/>
      <c r="CB25" s="53"/>
      <c r="CC25" s="52"/>
      <c r="CD25" s="36"/>
      <c r="CE25" s="53"/>
      <c r="CF25" s="52"/>
      <c r="CG25" s="36"/>
      <c r="CH25" s="53"/>
      <c r="CI25" s="52"/>
      <c r="CJ25" s="36"/>
      <c r="CK25" s="53"/>
      <c r="CL25" s="52"/>
      <c r="CM25" s="36"/>
      <c r="CN25" s="53"/>
      <c r="CO25" s="52"/>
      <c r="CP25" s="36"/>
      <c r="CQ25" s="53"/>
      <c r="CR25" s="52"/>
      <c r="CS25" s="36"/>
      <c r="CT25" s="53"/>
      <c r="CU25" s="52"/>
      <c r="CV25" s="36"/>
      <c r="CW25" s="53"/>
      <c r="CX25" s="52"/>
      <c r="CY25" s="36"/>
      <c r="CZ25" s="53"/>
      <c r="DA25" s="52"/>
      <c r="DB25" s="36"/>
      <c r="DC25" s="53"/>
      <c r="DD25" s="52"/>
      <c r="DE25" s="36"/>
      <c r="DF25" s="53"/>
      <c r="DG25" s="52"/>
      <c r="DH25" s="36"/>
      <c r="DI25" s="53"/>
      <c r="DJ25" s="52"/>
      <c r="DK25" s="36"/>
      <c r="DL25" s="53"/>
      <c r="DM25" s="52"/>
      <c r="DN25" s="36"/>
      <c r="DO25" s="53"/>
    </row>
    <row r="26" spans="1:119" s="54" customFormat="1" x14ac:dyDescent="0.25">
      <c r="A26" s="28">
        <v>39</v>
      </c>
      <c r="B26" s="148" t="s">
        <v>345</v>
      </c>
      <c r="C26" s="58">
        <f t="shared" si="4"/>
        <v>4</v>
      </c>
      <c r="D26" s="58">
        <f t="shared" si="5"/>
        <v>2</v>
      </c>
      <c r="E26" s="51">
        <f t="shared" si="6"/>
        <v>0</v>
      </c>
      <c r="F26" s="52"/>
      <c r="G26" s="36"/>
      <c r="H26" s="167"/>
      <c r="I26" s="52">
        <v>1</v>
      </c>
      <c r="J26" s="36"/>
      <c r="K26" s="53"/>
      <c r="L26" s="52"/>
      <c r="M26" s="36"/>
      <c r="N26" s="167"/>
      <c r="O26" s="52">
        <v>1</v>
      </c>
      <c r="P26" s="36">
        <v>1</v>
      </c>
      <c r="Q26" s="53"/>
      <c r="R26" s="52">
        <v>1</v>
      </c>
      <c r="S26" s="36"/>
      <c r="T26" s="53"/>
      <c r="U26" s="52">
        <v>1</v>
      </c>
      <c r="V26" s="36">
        <v>1</v>
      </c>
      <c r="W26" s="53"/>
      <c r="X26" s="52"/>
      <c r="Y26" s="36"/>
      <c r="Z26" s="53"/>
      <c r="AA26" s="52"/>
      <c r="AB26" s="36"/>
      <c r="AC26" s="53"/>
      <c r="AD26" s="52"/>
      <c r="AE26" s="36"/>
      <c r="AF26" s="53"/>
      <c r="AG26" s="52"/>
      <c r="AH26" s="36"/>
      <c r="AI26" s="53"/>
      <c r="AJ26" s="52"/>
      <c r="AK26" s="36"/>
      <c r="AL26" s="53"/>
      <c r="AM26" s="52"/>
      <c r="AN26" s="36"/>
      <c r="AO26" s="53"/>
      <c r="AP26" s="52"/>
      <c r="AQ26" s="36"/>
      <c r="AR26" s="53"/>
      <c r="AS26" s="52"/>
      <c r="AT26" s="36"/>
      <c r="AU26" s="53"/>
      <c r="AV26" s="52"/>
      <c r="AW26" s="36"/>
      <c r="AX26" s="53"/>
      <c r="AY26" s="52"/>
      <c r="AZ26" s="36"/>
      <c r="BA26" s="53"/>
      <c r="BB26" s="52"/>
      <c r="BC26" s="36"/>
      <c r="BD26" s="53"/>
      <c r="BE26" s="52"/>
      <c r="BF26" s="36"/>
      <c r="BG26" s="53"/>
      <c r="BH26" s="52"/>
      <c r="BI26" s="36"/>
      <c r="BJ26" s="53"/>
      <c r="BK26" s="52"/>
      <c r="BL26" s="36"/>
      <c r="BM26" s="53"/>
      <c r="BN26" s="52"/>
      <c r="BO26" s="36"/>
      <c r="BP26" s="53"/>
      <c r="BQ26" s="52"/>
      <c r="BR26" s="36"/>
      <c r="BS26" s="53"/>
      <c r="BT26" s="52"/>
      <c r="BU26" s="36"/>
      <c r="BV26" s="53"/>
      <c r="BW26" s="52"/>
      <c r="BX26" s="36"/>
      <c r="BY26" s="53"/>
      <c r="BZ26" s="52"/>
      <c r="CA26" s="36"/>
      <c r="CB26" s="53"/>
      <c r="CC26" s="52"/>
      <c r="CD26" s="36"/>
      <c r="CE26" s="53"/>
      <c r="CF26" s="52"/>
      <c r="CG26" s="36"/>
      <c r="CH26" s="53"/>
      <c r="CI26" s="52"/>
      <c r="CJ26" s="36"/>
      <c r="CK26" s="53"/>
      <c r="CL26" s="52"/>
      <c r="CM26" s="36"/>
      <c r="CN26" s="53"/>
      <c r="CO26" s="52"/>
      <c r="CP26" s="36"/>
      <c r="CQ26" s="53"/>
      <c r="CR26" s="52"/>
      <c r="CS26" s="36"/>
      <c r="CT26" s="53"/>
      <c r="CU26" s="52"/>
      <c r="CV26" s="36"/>
      <c r="CW26" s="53"/>
      <c r="CX26" s="52"/>
      <c r="CY26" s="36"/>
      <c r="CZ26" s="53"/>
      <c r="DA26" s="52"/>
      <c r="DB26" s="36"/>
      <c r="DC26" s="53"/>
      <c r="DD26" s="52"/>
      <c r="DE26" s="36"/>
      <c r="DF26" s="53"/>
      <c r="DG26" s="52"/>
      <c r="DH26" s="36"/>
      <c r="DI26" s="53"/>
      <c r="DJ26" s="52"/>
      <c r="DK26" s="36"/>
      <c r="DL26" s="53"/>
      <c r="DM26" s="52"/>
      <c r="DN26" s="36"/>
      <c r="DO26" s="53"/>
    </row>
    <row r="27" spans="1:119" s="54" customFormat="1" x14ac:dyDescent="0.25">
      <c r="A27" s="27">
        <v>40</v>
      </c>
      <c r="B27" s="149" t="s">
        <v>341</v>
      </c>
      <c r="C27" s="58">
        <f>SUM(F27,I27,L27,O27,R27,U27,X27,AA27,AD27,AG27,AJ27,AM27,AP27,AS27,AV27,AY27,BB27,BE27,BH27,BK27,BN27,BQ27,BT27,BW27,BZ27,CC27,CF27,CI27,CL27,CO27,CR27,CU27,CX27,DA27,DD27,DG27,DJ27,DM27)</f>
        <v>0</v>
      </c>
      <c r="D27" s="58">
        <f>SUM(G27,J27,M27,P27,S27,V27,Y27,AB27,AE27,AH27,AK27,AN27,AQ27,AT27,AW27,AZ27,BC27,BF27,BI27,BL27,BO27,BR27,BU27,BX27,CA27,CD27,CG27,CJ27,CM27,CP27,CS27,CV27,CY27,DB27,DE27,DH27,DK27,DN27)</f>
        <v>0</v>
      </c>
      <c r="E27" s="51">
        <f>SUM(H27,K27,N27,Q27,T27,W27,Z27,AC27,AF27,AI27,AL27,AO27,AR27,AU27,AX27,BA27,BD27,BG27,BJ27,BM27,BP27,BS27,BV27,BY27,CB27,CE27,CH27,CK27,CN27,CQ27,CT27,CW27,CZ27,DC27,DF27,DI27,DL27,DO27)</f>
        <v>0</v>
      </c>
      <c r="F27" s="52"/>
      <c r="G27" s="36"/>
      <c r="H27" s="167"/>
      <c r="I27" s="52"/>
      <c r="J27" s="36"/>
      <c r="K27" s="53"/>
      <c r="L27" s="52"/>
      <c r="M27" s="36"/>
      <c r="N27" s="167"/>
      <c r="O27" s="52"/>
      <c r="P27" s="36"/>
      <c r="Q27" s="53"/>
      <c r="R27" s="52"/>
      <c r="S27" s="36"/>
      <c r="T27" s="53"/>
      <c r="U27" s="52"/>
      <c r="V27" s="36"/>
      <c r="W27" s="53"/>
      <c r="X27" s="52"/>
      <c r="Y27" s="36"/>
      <c r="Z27" s="53"/>
      <c r="AA27" s="52"/>
      <c r="AB27" s="36"/>
      <c r="AC27" s="53"/>
      <c r="AD27" s="52"/>
      <c r="AE27" s="36"/>
      <c r="AF27" s="53"/>
      <c r="AG27" s="52"/>
      <c r="AH27" s="36"/>
      <c r="AI27" s="53"/>
      <c r="AJ27" s="52"/>
      <c r="AK27" s="36"/>
      <c r="AL27" s="53"/>
      <c r="AM27" s="52"/>
      <c r="AN27" s="36"/>
      <c r="AO27" s="53"/>
      <c r="AP27" s="52"/>
      <c r="AQ27" s="36"/>
      <c r="AR27" s="53"/>
      <c r="AS27" s="52"/>
      <c r="AT27" s="36"/>
      <c r="AU27" s="53"/>
      <c r="AV27" s="52"/>
      <c r="AW27" s="36"/>
      <c r="AX27" s="53"/>
      <c r="AY27" s="52"/>
      <c r="AZ27" s="36"/>
      <c r="BA27" s="53"/>
      <c r="BB27" s="52"/>
      <c r="BC27" s="36"/>
      <c r="BD27" s="53"/>
      <c r="BE27" s="52"/>
      <c r="BF27" s="36"/>
      <c r="BG27" s="53"/>
      <c r="BH27" s="52"/>
      <c r="BI27" s="36"/>
      <c r="BJ27" s="53"/>
      <c r="BK27" s="52"/>
      <c r="BL27" s="36"/>
      <c r="BM27" s="53"/>
      <c r="BN27" s="52"/>
      <c r="BO27" s="36"/>
      <c r="BP27" s="53"/>
      <c r="BQ27" s="52"/>
      <c r="BR27" s="36"/>
      <c r="BS27" s="53"/>
      <c r="BT27" s="52"/>
      <c r="BU27" s="36"/>
      <c r="BV27" s="53"/>
      <c r="BW27" s="52"/>
      <c r="BX27" s="36"/>
      <c r="BY27" s="53"/>
      <c r="BZ27" s="52"/>
      <c r="CA27" s="36"/>
      <c r="CB27" s="53"/>
      <c r="CC27" s="52"/>
      <c r="CD27" s="36"/>
      <c r="CE27" s="53"/>
      <c r="CF27" s="52"/>
      <c r="CG27" s="36"/>
      <c r="CH27" s="53"/>
      <c r="CI27" s="52"/>
      <c r="CJ27" s="36"/>
      <c r="CK27" s="53"/>
      <c r="CL27" s="52"/>
      <c r="CM27" s="36"/>
      <c r="CN27" s="53"/>
      <c r="CO27" s="52"/>
      <c r="CP27" s="36"/>
      <c r="CQ27" s="53"/>
      <c r="CR27" s="52"/>
      <c r="CS27" s="36"/>
      <c r="CT27" s="53"/>
      <c r="CU27" s="52"/>
      <c r="CV27" s="36"/>
      <c r="CW27" s="53"/>
      <c r="CX27" s="52"/>
      <c r="CY27" s="36"/>
      <c r="CZ27" s="53"/>
      <c r="DA27" s="52"/>
      <c r="DB27" s="36"/>
      <c r="DC27" s="53"/>
      <c r="DD27" s="52"/>
      <c r="DE27" s="36"/>
      <c r="DF27" s="53"/>
      <c r="DG27" s="52"/>
      <c r="DH27" s="36"/>
      <c r="DI27" s="53"/>
      <c r="DJ27" s="52"/>
      <c r="DK27" s="36"/>
      <c r="DL27" s="53"/>
      <c r="DM27" s="52"/>
      <c r="DN27" s="36"/>
      <c r="DO27" s="53"/>
    </row>
    <row r="28" spans="1:119" s="54" customFormat="1" x14ac:dyDescent="0.25">
      <c r="A28" s="27">
        <v>41</v>
      </c>
      <c r="B28" s="35" t="s">
        <v>277</v>
      </c>
      <c r="C28" s="58">
        <f t="shared" si="4"/>
        <v>6</v>
      </c>
      <c r="D28" s="58">
        <f t="shared" si="5"/>
        <v>0</v>
      </c>
      <c r="E28" s="51">
        <f t="shared" si="6"/>
        <v>3</v>
      </c>
      <c r="F28" s="52">
        <v>1</v>
      </c>
      <c r="G28" s="36"/>
      <c r="H28" s="167"/>
      <c r="I28" s="52">
        <v>1</v>
      </c>
      <c r="J28" s="36"/>
      <c r="K28" s="53"/>
      <c r="L28" s="52">
        <v>1</v>
      </c>
      <c r="M28" s="36"/>
      <c r="N28" s="167">
        <v>1</v>
      </c>
      <c r="O28" s="52">
        <v>1</v>
      </c>
      <c r="P28" s="36"/>
      <c r="Q28" s="53">
        <v>1</v>
      </c>
      <c r="R28" s="52">
        <v>1</v>
      </c>
      <c r="S28" s="36"/>
      <c r="T28" s="53"/>
      <c r="U28" s="52">
        <v>1</v>
      </c>
      <c r="V28" s="36"/>
      <c r="W28" s="53">
        <v>1</v>
      </c>
      <c r="X28" s="52"/>
      <c r="Y28" s="36"/>
      <c r="Z28" s="53"/>
      <c r="AA28" s="52"/>
      <c r="AB28" s="36"/>
      <c r="AC28" s="53"/>
      <c r="AD28" s="52"/>
      <c r="AE28" s="36"/>
      <c r="AF28" s="53"/>
      <c r="AG28" s="52"/>
      <c r="AH28" s="36"/>
      <c r="AI28" s="53"/>
      <c r="AJ28" s="52"/>
      <c r="AK28" s="36"/>
      <c r="AL28" s="53"/>
      <c r="AM28" s="52"/>
      <c r="AN28" s="36"/>
      <c r="AO28" s="53"/>
      <c r="AP28" s="52"/>
      <c r="AQ28" s="36"/>
      <c r="AR28" s="53"/>
      <c r="AS28" s="52"/>
      <c r="AT28" s="36"/>
      <c r="AU28" s="53"/>
      <c r="AV28" s="52"/>
      <c r="AW28" s="36"/>
      <c r="AX28" s="53"/>
      <c r="AY28" s="52"/>
      <c r="AZ28" s="36"/>
      <c r="BA28" s="53"/>
      <c r="BB28" s="52"/>
      <c r="BC28" s="36"/>
      <c r="BD28" s="53"/>
      <c r="BE28" s="52"/>
      <c r="BF28" s="36"/>
      <c r="BG28" s="53"/>
      <c r="BH28" s="52"/>
      <c r="BI28" s="36"/>
      <c r="BJ28" s="53"/>
      <c r="BK28" s="52"/>
      <c r="BL28" s="36"/>
      <c r="BM28" s="53"/>
      <c r="BN28" s="52"/>
      <c r="BO28" s="36"/>
      <c r="BP28" s="53"/>
      <c r="BQ28" s="52"/>
      <c r="BR28" s="36"/>
      <c r="BS28" s="53"/>
      <c r="BT28" s="52"/>
      <c r="BU28" s="36"/>
      <c r="BV28" s="53"/>
      <c r="BW28" s="52"/>
      <c r="BX28" s="36"/>
      <c r="BY28" s="53"/>
      <c r="BZ28" s="52"/>
      <c r="CA28" s="36"/>
      <c r="CB28" s="53"/>
      <c r="CC28" s="52"/>
      <c r="CD28" s="36"/>
      <c r="CE28" s="53"/>
      <c r="CF28" s="52"/>
      <c r="CG28" s="36"/>
      <c r="CH28" s="53"/>
      <c r="CI28" s="52"/>
      <c r="CJ28" s="36"/>
      <c r="CK28" s="53"/>
      <c r="CL28" s="52"/>
      <c r="CM28" s="36"/>
      <c r="CN28" s="53"/>
      <c r="CO28" s="52"/>
      <c r="CP28" s="36"/>
      <c r="CQ28" s="53"/>
      <c r="CR28" s="52"/>
      <c r="CS28" s="36"/>
      <c r="CT28" s="53"/>
      <c r="CU28" s="52"/>
      <c r="CV28" s="36"/>
      <c r="CW28" s="53"/>
      <c r="CX28" s="52"/>
      <c r="CY28" s="36"/>
      <c r="CZ28" s="53"/>
      <c r="DA28" s="52"/>
      <c r="DB28" s="36"/>
      <c r="DC28" s="53"/>
      <c r="DD28" s="52"/>
      <c r="DE28" s="36"/>
      <c r="DF28" s="53"/>
      <c r="DG28" s="52"/>
      <c r="DH28" s="36"/>
      <c r="DI28" s="53"/>
      <c r="DJ28" s="52"/>
      <c r="DK28" s="36"/>
      <c r="DL28" s="53"/>
      <c r="DM28" s="52"/>
      <c r="DN28" s="36"/>
      <c r="DO28" s="53"/>
    </row>
    <row r="29" spans="1:119" s="54" customFormat="1" x14ac:dyDescent="0.25">
      <c r="A29" s="56">
        <v>43</v>
      </c>
      <c r="B29" s="148" t="s">
        <v>327</v>
      </c>
      <c r="C29" s="58">
        <f t="shared" ref="C29:E30" si="7">SUM(F29,I29,L29,O29,R29,U29,X29,AA29,AD29,AG29,AJ29,AM29,AP29,AS29,AV29,AY29,BB29,BE29,BH29,BK29,BN29,BQ29,BT29,BW29,BZ29,CC29,CF29,CI29,CL29,CO29,CR29,CU29,CX29,DA29,DD29,DG29,DJ29,DM29)</f>
        <v>0</v>
      </c>
      <c r="D29" s="58">
        <f t="shared" si="7"/>
        <v>0</v>
      </c>
      <c r="E29" s="51">
        <f t="shared" si="7"/>
        <v>0</v>
      </c>
      <c r="F29" s="52"/>
      <c r="G29" s="36"/>
      <c r="H29" s="167"/>
      <c r="I29" s="52"/>
      <c r="J29" s="36"/>
      <c r="K29" s="53"/>
      <c r="L29" s="52"/>
      <c r="M29" s="36"/>
      <c r="N29" s="167"/>
      <c r="O29" s="52"/>
      <c r="P29" s="36"/>
      <c r="Q29" s="53"/>
      <c r="R29" s="52"/>
      <c r="S29" s="36"/>
      <c r="T29" s="53"/>
      <c r="U29" s="52"/>
      <c r="V29" s="36"/>
      <c r="W29" s="53"/>
      <c r="X29" s="52"/>
      <c r="Y29" s="36"/>
      <c r="Z29" s="53"/>
      <c r="AA29" s="52"/>
      <c r="AB29" s="36"/>
      <c r="AC29" s="53"/>
      <c r="AD29" s="52"/>
      <c r="AE29" s="36"/>
      <c r="AF29" s="53"/>
      <c r="AG29" s="52"/>
      <c r="AH29" s="36"/>
      <c r="AI29" s="53"/>
      <c r="AJ29" s="52"/>
      <c r="AK29" s="36"/>
      <c r="AL29" s="53"/>
      <c r="AM29" s="52"/>
      <c r="AN29" s="36"/>
      <c r="AO29" s="53"/>
      <c r="AP29" s="52"/>
      <c r="AQ29" s="36"/>
      <c r="AR29" s="53"/>
      <c r="AS29" s="52"/>
      <c r="AT29" s="36"/>
      <c r="AU29" s="53"/>
      <c r="AV29" s="52"/>
      <c r="AW29" s="36"/>
      <c r="AX29" s="53"/>
      <c r="AY29" s="52"/>
      <c r="AZ29" s="36"/>
      <c r="BA29" s="53"/>
      <c r="BB29" s="52"/>
      <c r="BC29" s="36"/>
      <c r="BD29" s="53"/>
      <c r="BE29" s="52"/>
      <c r="BF29" s="36"/>
      <c r="BG29" s="53"/>
      <c r="BH29" s="52"/>
      <c r="BI29" s="36"/>
      <c r="BJ29" s="53"/>
      <c r="BK29" s="52"/>
      <c r="BL29" s="36"/>
      <c r="BM29" s="53"/>
      <c r="BN29" s="52"/>
      <c r="BO29" s="36"/>
      <c r="BP29" s="53"/>
      <c r="BQ29" s="52"/>
      <c r="BR29" s="36"/>
      <c r="BS29" s="53"/>
      <c r="BT29" s="52"/>
      <c r="BU29" s="36"/>
      <c r="BV29" s="53"/>
      <c r="BW29" s="52"/>
      <c r="BX29" s="36"/>
      <c r="BY29" s="53"/>
      <c r="BZ29" s="52"/>
      <c r="CA29" s="36"/>
      <c r="CB29" s="53"/>
      <c r="CC29" s="52"/>
      <c r="CD29" s="36"/>
      <c r="CE29" s="53"/>
      <c r="CF29" s="52"/>
      <c r="CG29" s="36"/>
      <c r="CH29" s="53"/>
      <c r="CI29" s="52"/>
      <c r="CJ29" s="36"/>
      <c r="CK29" s="53"/>
      <c r="CL29" s="52"/>
      <c r="CM29" s="36"/>
      <c r="CN29" s="53"/>
      <c r="CO29" s="52"/>
      <c r="CP29" s="36"/>
      <c r="CQ29" s="53"/>
      <c r="CR29" s="52"/>
      <c r="CS29" s="36"/>
      <c r="CT29" s="53"/>
      <c r="CU29" s="52"/>
      <c r="CV29" s="36"/>
      <c r="CW29" s="53"/>
      <c r="CX29" s="52"/>
      <c r="CY29" s="36"/>
      <c r="CZ29" s="53"/>
      <c r="DA29" s="52"/>
      <c r="DB29" s="36"/>
      <c r="DC29" s="53"/>
      <c r="DD29" s="52"/>
      <c r="DE29" s="36"/>
      <c r="DF29" s="53"/>
      <c r="DG29" s="52"/>
      <c r="DH29" s="36"/>
      <c r="DI29" s="53"/>
      <c r="DJ29" s="52"/>
      <c r="DK29" s="36"/>
      <c r="DL29" s="53"/>
      <c r="DM29" s="52"/>
      <c r="DN29" s="36"/>
      <c r="DO29" s="53"/>
    </row>
    <row r="30" spans="1:119" s="54" customFormat="1" x14ac:dyDescent="0.25">
      <c r="A30" s="28">
        <v>44</v>
      </c>
      <c r="B30" s="148" t="s">
        <v>338</v>
      </c>
      <c r="C30" s="58">
        <f t="shared" si="7"/>
        <v>0</v>
      </c>
      <c r="D30" s="58">
        <f t="shared" si="7"/>
        <v>0</v>
      </c>
      <c r="E30" s="51">
        <f t="shared" si="7"/>
        <v>0</v>
      </c>
      <c r="F30" s="52"/>
      <c r="G30" s="36"/>
      <c r="H30" s="167"/>
      <c r="I30" s="52"/>
      <c r="J30" s="36"/>
      <c r="K30" s="53"/>
      <c r="L30" s="52"/>
      <c r="M30" s="36"/>
      <c r="N30" s="167"/>
      <c r="O30" s="52"/>
      <c r="P30" s="36"/>
      <c r="Q30" s="53"/>
      <c r="R30" s="52"/>
      <c r="S30" s="36"/>
      <c r="T30" s="53"/>
      <c r="U30" s="52"/>
      <c r="V30" s="36"/>
      <c r="W30" s="53"/>
      <c r="X30" s="52"/>
      <c r="Y30" s="36"/>
      <c r="Z30" s="53"/>
      <c r="AA30" s="52"/>
      <c r="AB30" s="36"/>
      <c r="AC30" s="53"/>
      <c r="AD30" s="52"/>
      <c r="AE30" s="36"/>
      <c r="AF30" s="53"/>
      <c r="AG30" s="52"/>
      <c r="AH30" s="36"/>
      <c r="AI30" s="53"/>
      <c r="AJ30" s="52"/>
      <c r="AK30" s="36"/>
      <c r="AL30" s="53"/>
      <c r="AM30" s="52"/>
      <c r="AN30" s="36"/>
      <c r="AO30" s="53"/>
      <c r="AP30" s="52"/>
      <c r="AQ30" s="36"/>
      <c r="AR30" s="53"/>
      <c r="AS30" s="52"/>
      <c r="AT30" s="36"/>
      <c r="AU30" s="53"/>
      <c r="AV30" s="52"/>
      <c r="AW30" s="36"/>
      <c r="AX30" s="53"/>
      <c r="AY30" s="52"/>
      <c r="AZ30" s="36"/>
      <c r="BA30" s="53"/>
      <c r="BB30" s="52"/>
      <c r="BC30" s="36"/>
      <c r="BD30" s="53"/>
      <c r="BE30" s="52"/>
      <c r="BF30" s="36"/>
      <c r="BG30" s="53"/>
      <c r="BH30" s="52"/>
      <c r="BI30" s="36"/>
      <c r="BJ30" s="53"/>
      <c r="BK30" s="52"/>
      <c r="BL30" s="36"/>
      <c r="BM30" s="53"/>
      <c r="BN30" s="52"/>
      <c r="BO30" s="36"/>
      <c r="BP30" s="53"/>
      <c r="BQ30" s="52"/>
      <c r="BR30" s="36"/>
      <c r="BS30" s="53"/>
      <c r="BT30" s="52"/>
      <c r="BU30" s="36"/>
      <c r="BV30" s="53"/>
      <c r="BW30" s="52"/>
      <c r="BX30" s="36"/>
      <c r="BY30" s="53"/>
      <c r="BZ30" s="52"/>
      <c r="CA30" s="36"/>
      <c r="CB30" s="53"/>
      <c r="CC30" s="52"/>
      <c r="CD30" s="36"/>
      <c r="CE30" s="53"/>
      <c r="CF30" s="52"/>
      <c r="CG30" s="36"/>
      <c r="CH30" s="53"/>
      <c r="CI30" s="52"/>
      <c r="CJ30" s="36"/>
      <c r="CK30" s="53"/>
      <c r="CL30" s="52"/>
      <c r="CM30" s="36"/>
      <c r="CN30" s="53"/>
      <c r="CO30" s="52"/>
      <c r="CP30" s="36"/>
      <c r="CQ30" s="53"/>
      <c r="CR30" s="52"/>
      <c r="CS30" s="36"/>
      <c r="CT30" s="53"/>
      <c r="CU30" s="52"/>
      <c r="CV30" s="36"/>
      <c r="CW30" s="53"/>
      <c r="CX30" s="52"/>
      <c r="CY30" s="36"/>
      <c r="CZ30" s="53"/>
      <c r="DA30" s="52"/>
      <c r="DB30" s="36"/>
      <c r="DC30" s="53"/>
      <c r="DD30" s="52"/>
      <c r="DE30" s="36"/>
      <c r="DF30" s="53"/>
      <c r="DG30" s="52"/>
      <c r="DH30" s="36"/>
      <c r="DI30" s="53"/>
      <c r="DJ30" s="52"/>
      <c r="DK30" s="36"/>
      <c r="DL30" s="53"/>
      <c r="DM30" s="52"/>
      <c r="DN30" s="36"/>
      <c r="DO30" s="53"/>
    </row>
    <row r="31" spans="1:119" s="54" customFormat="1" x14ac:dyDescent="0.25">
      <c r="A31" s="28">
        <v>45</v>
      </c>
      <c r="B31" s="148" t="s">
        <v>468</v>
      </c>
      <c r="C31" s="58">
        <f t="shared" ref="C31:C38" si="8">SUM(F31,I31,L31,O31,R31,U31,X31,AA31,AD31,AG31,AJ31,AM31,AP31,AS31,AV31,AY31,BB31,BE31,BH31,BK31,BN31,BQ31,BT31,BW31,BZ31,CC31,CF31,CI31,CL31,CO31,CR31,CU31,CX31,DA31,DD31,DG31,DJ31,DM31)</f>
        <v>0</v>
      </c>
      <c r="D31" s="58">
        <f t="shared" ref="D31:D38" si="9">SUM(G31,J31,M31,P31,S31,V31,Y31,AB31,AE31,AH31,AK31,AN31,AQ31,AT31,AW31,AZ31,BC31,BF31,BI31,BL31,BO31,BR31,BU31,BX31,CA31,CD31,CG31,CJ31,CM31,CP31,CS31,CV31,CY31,DB31,DE31,DH31,DK31,DN31)</f>
        <v>0</v>
      </c>
      <c r="E31" s="51">
        <f t="shared" ref="E31:E38" si="10">SUM(H31,K31,N31,Q31,T31,W31,Z31,AC31,AF31,AI31,AL31,AO31,AR31,AU31,AX31,BA31,BD31,BG31,BJ31,BM31,BP31,BS31,BV31,BY31,CB31,CE31,CH31,CK31,CN31,CQ31,CT31,CW31,CZ31,DC31,DF31,DI31,DL31,DO31)</f>
        <v>0</v>
      </c>
      <c r="F31" s="52"/>
      <c r="G31" s="36"/>
      <c r="H31" s="167"/>
      <c r="I31" s="52"/>
      <c r="J31" s="36"/>
      <c r="K31" s="53"/>
      <c r="L31" s="52"/>
      <c r="M31" s="36"/>
      <c r="N31" s="167"/>
      <c r="O31" s="52"/>
      <c r="P31" s="36"/>
      <c r="Q31" s="53"/>
      <c r="R31" s="52"/>
      <c r="S31" s="36"/>
      <c r="T31" s="53"/>
      <c r="U31" s="52"/>
      <c r="V31" s="36"/>
      <c r="W31" s="53"/>
      <c r="X31" s="52"/>
      <c r="Y31" s="36"/>
      <c r="Z31" s="53"/>
      <c r="AA31" s="52"/>
      <c r="AB31" s="36"/>
      <c r="AC31" s="53"/>
      <c r="AD31" s="52"/>
      <c r="AE31" s="36"/>
      <c r="AF31" s="53"/>
      <c r="AG31" s="52"/>
      <c r="AH31" s="36"/>
      <c r="AI31" s="53"/>
      <c r="AJ31" s="52"/>
      <c r="AK31" s="36"/>
      <c r="AL31" s="53"/>
      <c r="AM31" s="52"/>
      <c r="AN31" s="36"/>
      <c r="AO31" s="53"/>
      <c r="AP31" s="52"/>
      <c r="AQ31" s="36"/>
      <c r="AR31" s="53"/>
      <c r="AS31" s="52"/>
      <c r="AT31" s="36"/>
      <c r="AU31" s="53"/>
      <c r="AV31" s="52"/>
      <c r="AW31" s="36"/>
      <c r="AX31" s="53"/>
      <c r="AY31" s="52"/>
      <c r="AZ31" s="36"/>
      <c r="BA31" s="53"/>
      <c r="BB31" s="52"/>
      <c r="BC31" s="36"/>
      <c r="BD31" s="53"/>
      <c r="BE31" s="52"/>
      <c r="BF31" s="36"/>
      <c r="BG31" s="53"/>
      <c r="BH31" s="52"/>
      <c r="BI31" s="36"/>
      <c r="BJ31" s="53"/>
      <c r="BK31" s="52"/>
      <c r="BL31" s="36"/>
      <c r="BM31" s="53"/>
      <c r="BN31" s="52"/>
      <c r="BO31" s="36"/>
      <c r="BP31" s="53"/>
      <c r="BQ31" s="52"/>
      <c r="BR31" s="36"/>
      <c r="BS31" s="53"/>
      <c r="BT31" s="52"/>
      <c r="BU31" s="36"/>
      <c r="BV31" s="53"/>
      <c r="BW31" s="52"/>
      <c r="BX31" s="36"/>
      <c r="BY31" s="53"/>
      <c r="BZ31" s="52"/>
      <c r="CA31" s="36"/>
      <c r="CB31" s="53"/>
      <c r="CC31" s="52"/>
      <c r="CD31" s="36"/>
      <c r="CE31" s="53"/>
      <c r="CF31" s="52"/>
      <c r="CG31" s="36"/>
      <c r="CH31" s="53"/>
      <c r="CI31" s="52"/>
      <c r="CJ31" s="36"/>
      <c r="CK31" s="53"/>
      <c r="CL31" s="52"/>
      <c r="CM31" s="36"/>
      <c r="CN31" s="53"/>
      <c r="CO31" s="52"/>
      <c r="CP31" s="36"/>
      <c r="CQ31" s="53"/>
      <c r="CR31" s="52"/>
      <c r="CS31" s="36"/>
      <c r="CT31" s="53"/>
      <c r="CU31" s="52"/>
      <c r="CV31" s="36"/>
      <c r="CW31" s="53"/>
      <c r="CX31" s="52"/>
      <c r="CY31" s="36"/>
      <c r="CZ31" s="53"/>
      <c r="DA31" s="52"/>
      <c r="DB31" s="36"/>
      <c r="DC31" s="53"/>
      <c r="DD31" s="52"/>
      <c r="DE31" s="36"/>
      <c r="DF31" s="53"/>
      <c r="DG31" s="52"/>
      <c r="DH31" s="36"/>
      <c r="DI31" s="53"/>
      <c r="DJ31" s="52"/>
      <c r="DK31" s="36"/>
      <c r="DL31" s="53"/>
      <c r="DM31" s="52"/>
      <c r="DN31" s="36"/>
      <c r="DO31" s="53"/>
    </row>
    <row r="32" spans="1:119" s="54" customFormat="1" x14ac:dyDescent="0.25">
      <c r="A32" s="27">
        <v>46</v>
      </c>
      <c r="B32" s="34" t="s">
        <v>298</v>
      </c>
      <c r="C32" s="58">
        <f t="shared" si="8"/>
        <v>0</v>
      </c>
      <c r="D32" s="58">
        <f t="shared" si="9"/>
        <v>0</v>
      </c>
      <c r="E32" s="51">
        <f t="shared" si="10"/>
        <v>0</v>
      </c>
      <c r="F32" s="52"/>
      <c r="G32" s="36"/>
      <c r="H32" s="167"/>
      <c r="I32" s="52"/>
      <c r="J32" s="36"/>
      <c r="K32" s="53"/>
      <c r="L32" s="52"/>
      <c r="M32" s="36"/>
      <c r="N32" s="167"/>
      <c r="O32" s="52"/>
      <c r="P32" s="36"/>
      <c r="Q32" s="53"/>
      <c r="R32" s="52"/>
      <c r="S32" s="36"/>
      <c r="T32" s="53"/>
      <c r="U32" s="52"/>
      <c r="V32" s="36"/>
      <c r="W32" s="53"/>
      <c r="X32" s="52"/>
      <c r="Y32" s="36"/>
      <c r="Z32" s="53"/>
      <c r="AA32" s="52"/>
      <c r="AB32" s="36"/>
      <c r="AC32" s="53"/>
      <c r="AD32" s="52"/>
      <c r="AE32" s="36"/>
      <c r="AF32" s="53"/>
      <c r="AG32" s="52"/>
      <c r="AH32" s="36"/>
      <c r="AI32" s="53"/>
      <c r="AJ32" s="52"/>
      <c r="AK32" s="36"/>
      <c r="AL32" s="53"/>
      <c r="AM32" s="52"/>
      <c r="AN32" s="36"/>
      <c r="AO32" s="53"/>
      <c r="AP32" s="52"/>
      <c r="AQ32" s="36"/>
      <c r="AR32" s="53"/>
      <c r="AS32" s="52"/>
      <c r="AT32" s="36"/>
      <c r="AU32" s="53"/>
      <c r="AV32" s="52"/>
      <c r="AW32" s="36"/>
      <c r="AX32" s="53"/>
      <c r="AY32" s="52"/>
      <c r="AZ32" s="36"/>
      <c r="BA32" s="53"/>
      <c r="BB32" s="52"/>
      <c r="BC32" s="36"/>
      <c r="BD32" s="53"/>
      <c r="BE32" s="52"/>
      <c r="BF32" s="36"/>
      <c r="BG32" s="53"/>
      <c r="BH32" s="52"/>
      <c r="BI32" s="36"/>
      <c r="BJ32" s="53"/>
      <c r="BK32" s="52"/>
      <c r="BL32" s="36"/>
      <c r="BM32" s="53"/>
      <c r="BN32" s="52"/>
      <c r="BO32" s="36"/>
      <c r="BP32" s="53"/>
      <c r="BQ32" s="52"/>
      <c r="BR32" s="36"/>
      <c r="BS32" s="53"/>
      <c r="BT32" s="52"/>
      <c r="BU32" s="36"/>
      <c r="BV32" s="53"/>
      <c r="BW32" s="52"/>
      <c r="BX32" s="36"/>
      <c r="BY32" s="53"/>
      <c r="BZ32" s="52"/>
      <c r="CA32" s="36"/>
      <c r="CB32" s="53"/>
      <c r="CC32" s="52"/>
      <c r="CD32" s="36"/>
      <c r="CE32" s="53"/>
      <c r="CF32" s="52"/>
      <c r="CG32" s="36"/>
      <c r="CH32" s="53"/>
      <c r="CI32" s="52"/>
      <c r="CJ32" s="36"/>
      <c r="CK32" s="53"/>
      <c r="CL32" s="52"/>
      <c r="CM32" s="36"/>
      <c r="CN32" s="53"/>
      <c r="CO32" s="52"/>
      <c r="CP32" s="36"/>
      <c r="CQ32" s="53"/>
      <c r="CR32" s="52"/>
      <c r="CS32" s="36"/>
      <c r="CT32" s="53"/>
      <c r="CU32" s="52"/>
      <c r="CV32" s="36"/>
      <c r="CW32" s="53"/>
      <c r="CX32" s="52"/>
      <c r="CY32" s="36"/>
      <c r="CZ32" s="53"/>
      <c r="DA32" s="52"/>
      <c r="DB32" s="36"/>
      <c r="DC32" s="53"/>
      <c r="DD32" s="52"/>
      <c r="DE32" s="36"/>
      <c r="DF32" s="53"/>
      <c r="DG32" s="52"/>
      <c r="DH32" s="36"/>
      <c r="DI32" s="53"/>
      <c r="DJ32" s="52"/>
      <c r="DK32" s="36"/>
      <c r="DL32" s="53"/>
      <c r="DM32" s="52"/>
      <c r="DN32" s="36"/>
      <c r="DO32" s="53"/>
    </row>
    <row r="33" spans="1:119" s="54" customFormat="1" x14ac:dyDescent="0.25">
      <c r="A33" s="27">
        <v>49</v>
      </c>
      <c r="B33" s="35" t="s">
        <v>297</v>
      </c>
      <c r="C33" s="58">
        <f t="shared" si="8"/>
        <v>5</v>
      </c>
      <c r="D33" s="58">
        <f t="shared" si="9"/>
        <v>0</v>
      </c>
      <c r="E33" s="51">
        <f t="shared" si="10"/>
        <v>0</v>
      </c>
      <c r="F33" s="52">
        <v>1</v>
      </c>
      <c r="G33" s="36"/>
      <c r="H33" s="167"/>
      <c r="I33" s="52">
        <v>1</v>
      </c>
      <c r="J33" s="36"/>
      <c r="K33" s="53"/>
      <c r="L33" s="52">
        <v>1</v>
      </c>
      <c r="M33" s="36"/>
      <c r="N33" s="167"/>
      <c r="O33" s="52">
        <v>1</v>
      </c>
      <c r="P33" s="36"/>
      <c r="Q33" s="53"/>
      <c r="R33" s="52"/>
      <c r="S33" s="36"/>
      <c r="T33" s="53"/>
      <c r="U33" s="52">
        <v>1</v>
      </c>
      <c r="V33" s="36"/>
      <c r="W33" s="53"/>
      <c r="X33" s="52"/>
      <c r="Y33" s="36"/>
      <c r="Z33" s="53"/>
      <c r="AA33" s="52"/>
      <c r="AB33" s="36"/>
      <c r="AC33" s="53"/>
      <c r="AD33" s="52"/>
      <c r="AE33" s="36"/>
      <c r="AF33" s="53"/>
      <c r="AG33" s="52"/>
      <c r="AH33" s="36"/>
      <c r="AI33" s="53"/>
      <c r="AJ33" s="52"/>
      <c r="AK33" s="36"/>
      <c r="AL33" s="53"/>
      <c r="AM33" s="52"/>
      <c r="AN33" s="36"/>
      <c r="AO33" s="53"/>
      <c r="AP33" s="52"/>
      <c r="AQ33" s="36"/>
      <c r="AR33" s="53"/>
      <c r="AS33" s="52"/>
      <c r="AT33" s="36"/>
      <c r="AU33" s="53"/>
      <c r="AV33" s="52"/>
      <c r="AW33" s="36"/>
      <c r="AX33" s="53"/>
      <c r="AY33" s="52"/>
      <c r="AZ33" s="36"/>
      <c r="BA33" s="53"/>
      <c r="BB33" s="52"/>
      <c r="BC33" s="36"/>
      <c r="BD33" s="53"/>
      <c r="BE33" s="52"/>
      <c r="BF33" s="36"/>
      <c r="BG33" s="53"/>
      <c r="BH33" s="52"/>
      <c r="BI33" s="36"/>
      <c r="BJ33" s="53"/>
      <c r="BK33" s="52"/>
      <c r="BL33" s="36"/>
      <c r="BM33" s="53"/>
      <c r="BN33" s="52"/>
      <c r="BO33" s="36"/>
      <c r="BP33" s="53"/>
      <c r="BQ33" s="52"/>
      <c r="BR33" s="36"/>
      <c r="BS33" s="53"/>
      <c r="BT33" s="52"/>
      <c r="BU33" s="36"/>
      <c r="BV33" s="53"/>
      <c r="BW33" s="52"/>
      <c r="BX33" s="36"/>
      <c r="BY33" s="53"/>
      <c r="BZ33" s="52"/>
      <c r="CA33" s="36"/>
      <c r="CB33" s="53"/>
      <c r="CC33" s="52"/>
      <c r="CD33" s="36"/>
      <c r="CE33" s="53"/>
      <c r="CF33" s="52"/>
      <c r="CG33" s="36"/>
      <c r="CH33" s="53"/>
      <c r="CI33" s="52"/>
      <c r="CJ33" s="36"/>
      <c r="CK33" s="53"/>
      <c r="CL33" s="52"/>
      <c r="CM33" s="36"/>
      <c r="CN33" s="53"/>
      <c r="CO33" s="52"/>
      <c r="CP33" s="36"/>
      <c r="CQ33" s="53"/>
      <c r="CR33" s="52"/>
      <c r="CS33" s="36"/>
      <c r="CT33" s="53"/>
      <c r="CU33" s="52"/>
      <c r="CV33" s="36"/>
      <c r="CW33" s="53"/>
      <c r="CX33" s="52"/>
      <c r="CY33" s="36"/>
      <c r="CZ33" s="53"/>
      <c r="DA33" s="52"/>
      <c r="DB33" s="36"/>
      <c r="DC33" s="53"/>
      <c r="DD33" s="52"/>
      <c r="DE33" s="36"/>
      <c r="DF33" s="53"/>
      <c r="DG33" s="52"/>
      <c r="DH33" s="36"/>
      <c r="DI33" s="53"/>
      <c r="DJ33" s="52"/>
      <c r="DK33" s="36"/>
      <c r="DL33" s="53"/>
      <c r="DM33" s="52"/>
      <c r="DN33" s="36"/>
      <c r="DO33" s="53"/>
    </row>
    <row r="34" spans="1:119" s="54" customFormat="1" x14ac:dyDescent="0.25">
      <c r="A34" s="28">
        <v>53</v>
      </c>
      <c r="B34" s="148" t="s">
        <v>292</v>
      </c>
      <c r="C34" s="58">
        <f t="shared" si="8"/>
        <v>0</v>
      </c>
      <c r="D34" s="58">
        <f t="shared" si="9"/>
        <v>0</v>
      </c>
      <c r="E34" s="51">
        <f t="shared" si="10"/>
        <v>0</v>
      </c>
      <c r="F34" s="52"/>
      <c r="G34" s="36"/>
      <c r="H34" s="167"/>
      <c r="I34" s="52"/>
      <c r="J34" s="36"/>
      <c r="K34" s="53"/>
      <c r="L34" s="52"/>
      <c r="M34" s="36"/>
      <c r="N34" s="167"/>
      <c r="O34" s="52"/>
      <c r="P34" s="36"/>
      <c r="Q34" s="53"/>
      <c r="R34" s="52"/>
      <c r="S34" s="36"/>
      <c r="T34" s="53"/>
      <c r="U34" s="52"/>
      <c r="V34" s="36"/>
      <c r="W34" s="53"/>
      <c r="X34" s="52"/>
      <c r="Y34" s="36"/>
      <c r="Z34" s="53"/>
      <c r="AA34" s="52"/>
      <c r="AB34" s="36"/>
      <c r="AC34" s="53"/>
      <c r="AD34" s="52"/>
      <c r="AE34" s="36"/>
      <c r="AF34" s="53"/>
      <c r="AG34" s="52"/>
      <c r="AH34" s="36"/>
      <c r="AI34" s="53"/>
      <c r="AJ34" s="52"/>
      <c r="AK34" s="36"/>
      <c r="AL34" s="53"/>
      <c r="AM34" s="52"/>
      <c r="AN34" s="36"/>
      <c r="AO34" s="53"/>
      <c r="AP34" s="52"/>
      <c r="AQ34" s="36"/>
      <c r="AR34" s="53"/>
      <c r="AS34" s="52"/>
      <c r="AT34" s="36"/>
      <c r="AU34" s="53"/>
      <c r="AV34" s="52"/>
      <c r="AW34" s="36"/>
      <c r="AX34" s="53"/>
      <c r="AY34" s="52"/>
      <c r="AZ34" s="36"/>
      <c r="BA34" s="53"/>
      <c r="BB34" s="52"/>
      <c r="BC34" s="36"/>
      <c r="BD34" s="53"/>
      <c r="BE34" s="52"/>
      <c r="BF34" s="36"/>
      <c r="BG34" s="53"/>
      <c r="BH34" s="52"/>
      <c r="BI34" s="36"/>
      <c r="BJ34" s="53"/>
      <c r="BK34" s="52"/>
      <c r="BL34" s="36"/>
      <c r="BM34" s="53"/>
      <c r="BN34" s="52"/>
      <c r="BO34" s="36"/>
      <c r="BP34" s="53"/>
      <c r="BQ34" s="52"/>
      <c r="BR34" s="36"/>
      <c r="BS34" s="53"/>
      <c r="BT34" s="52"/>
      <c r="BU34" s="36"/>
      <c r="BV34" s="53"/>
      <c r="BW34" s="52"/>
      <c r="BX34" s="36"/>
      <c r="BY34" s="53"/>
      <c r="BZ34" s="52"/>
      <c r="CA34" s="36"/>
      <c r="CB34" s="53"/>
      <c r="CC34" s="52"/>
      <c r="CD34" s="36"/>
      <c r="CE34" s="53"/>
      <c r="CF34" s="52"/>
      <c r="CG34" s="36"/>
      <c r="CH34" s="53"/>
      <c r="CI34" s="52"/>
      <c r="CJ34" s="36"/>
      <c r="CK34" s="53"/>
      <c r="CL34" s="52"/>
      <c r="CM34" s="36"/>
      <c r="CN34" s="53"/>
      <c r="CO34" s="52"/>
      <c r="CP34" s="36"/>
      <c r="CQ34" s="53"/>
      <c r="CR34" s="52"/>
      <c r="CS34" s="36"/>
      <c r="CT34" s="53"/>
      <c r="CU34" s="52"/>
      <c r="CV34" s="36"/>
      <c r="CW34" s="53"/>
      <c r="CX34" s="52"/>
      <c r="CY34" s="36"/>
      <c r="CZ34" s="53"/>
      <c r="DA34" s="52"/>
      <c r="DB34" s="36"/>
      <c r="DC34" s="53"/>
      <c r="DD34" s="52"/>
      <c r="DE34" s="36"/>
      <c r="DF34" s="53"/>
      <c r="DG34" s="52"/>
      <c r="DH34" s="36"/>
      <c r="DI34" s="53"/>
      <c r="DJ34" s="52"/>
      <c r="DK34" s="36"/>
      <c r="DL34" s="53"/>
      <c r="DM34" s="52"/>
      <c r="DN34" s="36"/>
      <c r="DO34" s="53"/>
    </row>
    <row r="35" spans="1:119" s="54" customFormat="1" x14ac:dyDescent="0.25">
      <c r="A35" s="28">
        <v>55</v>
      </c>
      <c r="B35" s="37" t="s">
        <v>301</v>
      </c>
      <c r="C35" s="58">
        <f t="shared" si="8"/>
        <v>0</v>
      </c>
      <c r="D35" s="58">
        <f t="shared" si="9"/>
        <v>0</v>
      </c>
      <c r="E35" s="51">
        <f t="shared" si="10"/>
        <v>0</v>
      </c>
      <c r="F35" s="52"/>
      <c r="G35" s="36"/>
      <c r="H35" s="167"/>
      <c r="I35" s="52"/>
      <c r="J35" s="36"/>
      <c r="K35" s="53"/>
      <c r="L35" s="52"/>
      <c r="M35" s="36"/>
      <c r="N35" s="167"/>
      <c r="O35" s="52"/>
      <c r="P35" s="36"/>
      <c r="Q35" s="53"/>
      <c r="R35" s="52"/>
      <c r="S35" s="36"/>
      <c r="T35" s="53"/>
      <c r="U35" s="52"/>
      <c r="V35" s="36"/>
      <c r="W35" s="53"/>
      <c r="X35" s="52"/>
      <c r="Y35" s="36"/>
      <c r="Z35" s="53"/>
      <c r="AA35" s="52"/>
      <c r="AB35" s="36"/>
      <c r="AC35" s="53"/>
      <c r="AD35" s="52"/>
      <c r="AE35" s="36"/>
      <c r="AF35" s="53"/>
      <c r="AG35" s="52"/>
      <c r="AH35" s="36"/>
      <c r="AI35" s="53"/>
      <c r="AJ35" s="52"/>
      <c r="AK35" s="36"/>
      <c r="AL35" s="53"/>
      <c r="AM35" s="52"/>
      <c r="AN35" s="36"/>
      <c r="AO35" s="53"/>
      <c r="AP35" s="52"/>
      <c r="AQ35" s="36"/>
      <c r="AR35" s="53"/>
      <c r="AS35" s="52"/>
      <c r="AT35" s="36"/>
      <c r="AU35" s="53"/>
      <c r="AV35" s="52"/>
      <c r="AW35" s="36"/>
      <c r="AX35" s="53"/>
      <c r="AY35" s="52"/>
      <c r="AZ35" s="36"/>
      <c r="BA35" s="53"/>
      <c r="BB35" s="52"/>
      <c r="BC35" s="36"/>
      <c r="BD35" s="53"/>
      <c r="BE35" s="52"/>
      <c r="BF35" s="36"/>
      <c r="BG35" s="53"/>
      <c r="BH35" s="52"/>
      <c r="BI35" s="36"/>
      <c r="BJ35" s="53"/>
      <c r="BK35" s="52"/>
      <c r="BL35" s="36"/>
      <c r="BM35" s="53"/>
      <c r="BN35" s="52"/>
      <c r="BO35" s="36"/>
      <c r="BP35" s="53"/>
      <c r="BQ35" s="52"/>
      <c r="BR35" s="36"/>
      <c r="BS35" s="53"/>
      <c r="BT35" s="52"/>
      <c r="BU35" s="36"/>
      <c r="BV35" s="53"/>
      <c r="BW35" s="52"/>
      <c r="BX35" s="36"/>
      <c r="BY35" s="53"/>
      <c r="BZ35" s="52"/>
      <c r="CA35" s="36"/>
      <c r="CB35" s="53"/>
      <c r="CC35" s="52"/>
      <c r="CD35" s="36"/>
      <c r="CE35" s="53"/>
      <c r="CF35" s="52"/>
      <c r="CG35" s="36"/>
      <c r="CH35" s="53"/>
      <c r="CI35" s="52"/>
      <c r="CJ35" s="36"/>
      <c r="CK35" s="53"/>
      <c r="CL35" s="52"/>
      <c r="CM35" s="36"/>
      <c r="CN35" s="53"/>
      <c r="CO35" s="52"/>
      <c r="CP35" s="36"/>
      <c r="CQ35" s="53"/>
      <c r="CR35" s="52"/>
      <c r="CS35" s="36"/>
      <c r="CT35" s="53"/>
      <c r="CU35" s="52"/>
      <c r="CV35" s="36"/>
      <c r="CW35" s="53"/>
      <c r="CX35" s="52"/>
      <c r="CY35" s="36"/>
      <c r="CZ35" s="53"/>
      <c r="DA35" s="52"/>
      <c r="DB35" s="36"/>
      <c r="DC35" s="53"/>
      <c r="DD35" s="52"/>
      <c r="DE35" s="36"/>
      <c r="DF35" s="53"/>
      <c r="DG35" s="52"/>
      <c r="DH35" s="36"/>
      <c r="DI35" s="53"/>
      <c r="DJ35" s="52"/>
      <c r="DK35" s="36"/>
      <c r="DL35" s="53"/>
      <c r="DM35" s="52"/>
      <c r="DN35" s="36"/>
      <c r="DO35" s="53"/>
    </row>
    <row r="36" spans="1:119" s="54" customFormat="1" x14ac:dyDescent="0.25">
      <c r="A36" s="27">
        <v>56</v>
      </c>
      <c r="B36" s="149" t="s">
        <v>322</v>
      </c>
      <c r="C36" s="58">
        <f t="shared" si="8"/>
        <v>1</v>
      </c>
      <c r="D36" s="58">
        <f t="shared" si="9"/>
        <v>0</v>
      </c>
      <c r="E36" s="51">
        <f t="shared" si="10"/>
        <v>0</v>
      </c>
      <c r="F36" s="52"/>
      <c r="G36" s="36"/>
      <c r="H36" s="167"/>
      <c r="I36" s="52"/>
      <c r="J36" s="36"/>
      <c r="K36" s="53"/>
      <c r="L36" s="52"/>
      <c r="M36" s="36"/>
      <c r="N36" s="167"/>
      <c r="O36" s="52"/>
      <c r="P36" s="36"/>
      <c r="Q36" s="53"/>
      <c r="R36" s="52">
        <v>1</v>
      </c>
      <c r="S36" s="36"/>
      <c r="T36" s="53"/>
      <c r="U36" s="52"/>
      <c r="V36" s="36"/>
      <c r="W36" s="53"/>
      <c r="X36" s="52"/>
      <c r="Y36" s="36"/>
      <c r="Z36" s="53"/>
      <c r="AA36" s="52"/>
      <c r="AB36" s="36"/>
      <c r="AC36" s="53"/>
      <c r="AD36" s="52"/>
      <c r="AE36" s="36"/>
      <c r="AF36" s="53"/>
      <c r="AG36" s="52"/>
      <c r="AH36" s="36"/>
      <c r="AI36" s="53"/>
      <c r="AJ36" s="52"/>
      <c r="AK36" s="36"/>
      <c r="AL36" s="53"/>
      <c r="AM36" s="52"/>
      <c r="AN36" s="36"/>
      <c r="AO36" s="53"/>
      <c r="AP36" s="52"/>
      <c r="AQ36" s="36"/>
      <c r="AR36" s="53"/>
      <c r="AS36" s="52"/>
      <c r="AT36" s="36"/>
      <c r="AU36" s="53"/>
      <c r="AV36" s="52"/>
      <c r="AW36" s="36"/>
      <c r="AX36" s="53"/>
      <c r="AY36" s="52"/>
      <c r="AZ36" s="36"/>
      <c r="BA36" s="53"/>
      <c r="BB36" s="52"/>
      <c r="BC36" s="36"/>
      <c r="BD36" s="53"/>
      <c r="BE36" s="52"/>
      <c r="BF36" s="36"/>
      <c r="BG36" s="53"/>
      <c r="BH36" s="52"/>
      <c r="BI36" s="36"/>
      <c r="BJ36" s="53"/>
      <c r="BK36" s="52"/>
      <c r="BL36" s="36"/>
      <c r="BM36" s="53"/>
      <c r="BN36" s="52"/>
      <c r="BO36" s="36"/>
      <c r="BP36" s="53"/>
      <c r="BQ36" s="52"/>
      <c r="BR36" s="36"/>
      <c r="BS36" s="53"/>
      <c r="BT36" s="52"/>
      <c r="BU36" s="36"/>
      <c r="BV36" s="53"/>
      <c r="BW36" s="52"/>
      <c r="BX36" s="36"/>
      <c r="BY36" s="53"/>
      <c r="BZ36" s="52"/>
      <c r="CA36" s="36"/>
      <c r="CB36" s="53"/>
      <c r="CC36" s="52"/>
      <c r="CD36" s="36"/>
      <c r="CE36" s="53"/>
      <c r="CF36" s="52"/>
      <c r="CG36" s="36"/>
      <c r="CH36" s="53"/>
      <c r="CI36" s="52"/>
      <c r="CJ36" s="36"/>
      <c r="CK36" s="53"/>
      <c r="CL36" s="52"/>
      <c r="CM36" s="36"/>
      <c r="CN36" s="53"/>
      <c r="CO36" s="52"/>
      <c r="CP36" s="36"/>
      <c r="CQ36" s="53"/>
      <c r="CR36" s="52"/>
      <c r="CS36" s="36"/>
      <c r="CT36" s="53"/>
      <c r="CU36" s="52"/>
      <c r="CV36" s="36"/>
      <c r="CW36" s="53"/>
      <c r="CX36" s="52"/>
      <c r="CY36" s="36"/>
      <c r="CZ36" s="53"/>
      <c r="DA36" s="52"/>
      <c r="DB36" s="36"/>
      <c r="DC36" s="53"/>
      <c r="DD36" s="52"/>
      <c r="DE36" s="36"/>
      <c r="DF36" s="53"/>
      <c r="DG36" s="52"/>
      <c r="DH36" s="36"/>
      <c r="DI36" s="53"/>
      <c r="DJ36" s="52"/>
      <c r="DK36" s="36"/>
      <c r="DL36" s="53"/>
      <c r="DM36" s="52"/>
      <c r="DN36" s="36"/>
      <c r="DO36" s="53"/>
    </row>
    <row r="37" spans="1:119" s="54" customFormat="1" x14ac:dyDescent="0.25">
      <c r="A37" s="28">
        <v>71</v>
      </c>
      <c r="B37" s="148" t="s">
        <v>339</v>
      </c>
      <c r="C37" s="58">
        <f t="shared" si="8"/>
        <v>0</v>
      </c>
      <c r="D37" s="58">
        <f t="shared" si="9"/>
        <v>0</v>
      </c>
      <c r="E37" s="51">
        <f t="shared" si="10"/>
        <v>0</v>
      </c>
      <c r="F37" s="52"/>
      <c r="G37" s="36"/>
      <c r="H37" s="167"/>
      <c r="I37" s="52"/>
      <c r="J37" s="36"/>
      <c r="K37" s="53"/>
      <c r="L37" s="52"/>
      <c r="M37" s="36"/>
      <c r="N37" s="167"/>
      <c r="O37" s="52"/>
      <c r="P37" s="36"/>
      <c r="Q37" s="53"/>
      <c r="R37" s="52"/>
      <c r="S37" s="36"/>
      <c r="T37" s="53"/>
      <c r="U37" s="52"/>
      <c r="V37" s="36"/>
      <c r="W37" s="53"/>
      <c r="X37" s="52"/>
      <c r="Y37" s="36"/>
      <c r="Z37" s="53"/>
      <c r="AA37" s="52"/>
      <c r="AB37" s="36"/>
      <c r="AC37" s="53"/>
      <c r="AD37" s="52"/>
      <c r="AE37" s="36"/>
      <c r="AF37" s="53"/>
      <c r="AG37" s="52"/>
      <c r="AH37" s="36"/>
      <c r="AI37" s="53"/>
      <c r="AJ37" s="52"/>
      <c r="AK37" s="36"/>
      <c r="AL37" s="53"/>
      <c r="AM37" s="52"/>
      <c r="AN37" s="36"/>
      <c r="AO37" s="53"/>
      <c r="AP37" s="52"/>
      <c r="AQ37" s="36"/>
      <c r="AR37" s="53"/>
      <c r="AS37" s="52"/>
      <c r="AT37" s="36"/>
      <c r="AU37" s="53"/>
      <c r="AV37" s="52"/>
      <c r="AW37" s="36"/>
      <c r="AX37" s="53"/>
      <c r="AY37" s="52"/>
      <c r="AZ37" s="36"/>
      <c r="BA37" s="53"/>
      <c r="BB37" s="52"/>
      <c r="BC37" s="36"/>
      <c r="BD37" s="53"/>
      <c r="BE37" s="52"/>
      <c r="BF37" s="36"/>
      <c r="BG37" s="53"/>
      <c r="BH37" s="52"/>
      <c r="BI37" s="36"/>
      <c r="BJ37" s="53"/>
      <c r="BK37" s="52"/>
      <c r="BL37" s="36"/>
      <c r="BM37" s="53"/>
      <c r="BN37" s="52"/>
      <c r="BO37" s="36"/>
      <c r="BP37" s="53"/>
      <c r="BQ37" s="52"/>
      <c r="BR37" s="36"/>
      <c r="BS37" s="53"/>
      <c r="BT37" s="52"/>
      <c r="BU37" s="36"/>
      <c r="BV37" s="53"/>
      <c r="BW37" s="52"/>
      <c r="BX37" s="36"/>
      <c r="BY37" s="53"/>
      <c r="BZ37" s="52"/>
      <c r="CA37" s="36"/>
      <c r="CB37" s="53"/>
      <c r="CC37" s="52"/>
      <c r="CD37" s="36"/>
      <c r="CE37" s="53"/>
      <c r="CF37" s="52"/>
      <c r="CG37" s="36"/>
      <c r="CH37" s="53"/>
      <c r="CI37" s="52"/>
      <c r="CJ37" s="36"/>
      <c r="CK37" s="53"/>
      <c r="CL37" s="52"/>
      <c r="CM37" s="36"/>
      <c r="CN37" s="53"/>
      <c r="CO37" s="52"/>
      <c r="CP37" s="36"/>
      <c r="CQ37" s="53"/>
      <c r="CR37" s="52"/>
      <c r="CS37" s="36"/>
      <c r="CT37" s="53"/>
      <c r="CU37" s="52"/>
      <c r="CV37" s="36"/>
      <c r="CW37" s="53"/>
      <c r="CX37" s="52"/>
      <c r="CY37" s="36"/>
      <c r="CZ37" s="53"/>
      <c r="DA37" s="52"/>
      <c r="DB37" s="36"/>
      <c r="DC37" s="53"/>
      <c r="DD37" s="52"/>
      <c r="DE37" s="36"/>
      <c r="DF37" s="53"/>
      <c r="DG37" s="52"/>
      <c r="DH37" s="36"/>
      <c r="DI37" s="53"/>
      <c r="DJ37" s="52"/>
      <c r="DK37" s="36"/>
      <c r="DL37" s="53"/>
      <c r="DM37" s="52"/>
      <c r="DN37" s="36"/>
      <c r="DO37" s="53"/>
    </row>
    <row r="38" spans="1:119" s="54" customFormat="1" ht="15.75" thickBot="1" x14ac:dyDescent="0.3">
      <c r="A38" s="28">
        <v>89</v>
      </c>
      <c r="B38" s="148" t="s">
        <v>333</v>
      </c>
      <c r="C38" s="58">
        <f t="shared" si="8"/>
        <v>0</v>
      </c>
      <c r="D38" s="58">
        <f t="shared" si="9"/>
        <v>0</v>
      </c>
      <c r="E38" s="51">
        <f t="shared" si="10"/>
        <v>0</v>
      </c>
      <c r="F38" s="146"/>
      <c r="G38" s="163"/>
      <c r="H38" s="201"/>
      <c r="I38" s="146"/>
      <c r="J38" s="163"/>
      <c r="K38" s="147"/>
      <c r="L38" s="146"/>
      <c r="M38" s="163"/>
      <c r="N38" s="201"/>
      <c r="O38" s="146"/>
      <c r="P38" s="163"/>
      <c r="Q38" s="147"/>
      <c r="R38" s="146"/>
      <c r="S38" s="163"/>
      <c r="T38" s="147"/>
      <c r="U38" s="146"/>
      <c r="V38" s="163"/>
      <c r="W38" s="147"/>
      <c r="X38" s="146"/>
      <c r="Y38" s="163"/>
      <c r="Z38" s="147"/>
      <c r="AA38" s="146"/>
      <c r="AB38" s="163"/>
      <c r="AC38" s="147"/>
      <c r="AD38" s="146"/>
      <c r="AE38" s="163"/>
      <c r="AF38" s="147"/>
      <c r="AG38" s="146"/>
      <c r="AH38" s="163"/>
      <c r="AI38" s="147"/>
      <c r="AJ38" s="146"/>
      <c r="AK38" s="163"/>
      <c r="AL38" s="147"/>
      <c r="AM38" s="146"/>
      <c r="AN38" s="163"/>
      <c r="AO38" s="147"/>
      <c r="AP38" s="146"/>
      <c r="AQ38" s="163"/>
      <c r="AR38" s="147"/>
      <c r="AS38" s="146"/>
      <c r="AT38" s="163"/>
      <c r="AU38" s="147"/>
      <c r="AV38" s="146"/>
      <c r="AW38" s="163"/>
      <c r="AX38" s="147"/>
      <c r="AY38" s="146"/>
      <c r="AZ38" s="163"/>
      <c r="BA38" s="147"/>
      <c r="BB38" s="146"/>
      <c r="BC38" s="163"/>
      <c r="BD38" s="147"/>
      <c r="BE38" s="146"/>
      <c r="BF38" s="163"/>
      <c r="BG38" s="147"/>
      <c r="BH38" s="146"/>
      <c r="BI38" s="163"/>
      <c r="BJ38" s="147"/>
      <c r="BK38" s="146"/>
      <c r="BL38" s="163"/>
      <c r="BM38" s="147"/>
      <c r="BN38" s="146"/>
      <c r="BO38" s="163"/>
      <c r="BP38" s="147"/>
      <c r="BQ38" s="146"/>
      <c r="BR38" s="163"/>
      <c r="BS38" s="147"/>
      <c r="BT38" s="146"/>
      <c r="BU38" s="163"/>
      <c r="BV38" s="147"/>
      <c r="BW38" s="146"/>
      <c r="BX38" s="163"/>
      <c r="BY38" s="147"/>
      <c r="BZ38" s="146"/>
      <c r="CA38" s="163"/>
      <c r="CB38" s="147"/>
      <c r="CC38" s="146"/>
      <c r="CD38" s="163"/>
      <c r="CE38" s="147"/>
      <c r="CF38" s="146"/>
      <c r="CG38" s="163"/>
      <c r="CH38" s="147"/>
      <c r="CI38" s="146"/>
      <c r="CJ38" s="163"/>
      <c r="CK38" s="147"/>
      <c r="CL38" s="146"/>
      <c r="CM38" s="163"/>
      <c r="CN38" s="147"/>
      <c r="CO38" s="146"/>
      <c r="CP38" s="163"/>
      <c r="CQ38" s="147"/>
      <c r="CR38" s="146"/>
      <c r="CS38" s="163"/>
      <c r="CT38" s="147"/>
      <c r="CU38" s="146"/>
      <c r="CV38" s="163"/>
      <c r="CW38" s="147"/>
      <c r="CX38" s="146"/>
      <c r="CY38" s="163"/>
      <c r="CZ38" s="147"/>
      <c r="DA38" s="146"/>
      <c r="DB38" s="163"/>
      <c r="DC38" s="147"/>
      <c r="DD38" s="146"/>
      <c r="DE38" s="163"/>
      <c r="DF38" s="147"/>
      <c r="DG38" s="146"/>
      <c r="DH38" s="163"/>
      <c r="DI38" s="147"/>
      <c r="DJ38" s="146"/>
      <c r="DK38" s="163"/>
      <c r="DL38" s="147"/>
      <c r="DM38" s="146"/>
      <c r="DN38" s="163"/>
      <c r="DO38" s="147"/>
    </row>
    <row r="39" spans="1:119" s="54" customFormat="1" x14ac:dyDescent="0.25">
      <c r="A39"/>
      <c r="B39"/>
      <c r="C39"/>
      <c r="D39"/>
      <c r="E39"/>
      <c r="F39" s="73">
        <f t="shared" ref="F39:AK39" si="11">SUM(F4:F38)</f>
        <v>16</v>
      </c>
      <c r="G39" s="73">
        <f t="shared" si="11"/>
        <v>3</v>
      </c>
      <c r="H39" s="73">
        <f t="shared" si="11"/>
        <v>2</v>
      </c>
      <c r="I39" s="73">
        <f t="shared" si="11"/>
        <v>16</v>
      </c>
      <c r="J39" s="73">
        <f t="shared" si="11"/>
        <v>1</v>
      </c>
      <c r="K39" s="73">
        <f t="shared" si="11"/>
        <v>1</v>
      </c>
      <c r="L39" s="73">
        <f t="shared" si="11"/>
        <v>16</v>
      </c>
      <c r="M39" s="73">
        <f t="shared" si="11"/>
        <v>2</v>
      </c>
      <c r="N39" s="73">
        <f t="shared" si="11"/>
        <v>2</v>
      </c>
      <c r="O39" s="73">
        <f t="shared" si="11"/>
        <v>16</v>
      </c>
      <c r="P39" s="73">
        <f t="shared" si="11"/>
        <v>2</v>
      </c>
      <c r="Q39" s="73">
        <f t="shared" si="11"/>
        <v>1</v>
      </c>
      <c r="R39" s="73">
        <f t="shared" si="11"/>
        <v>16</v>
      </c>
      <c r="S39" s="73">
        <f t="shared" si="11"/>
        <v>0</v>
      </c>
      <c r="T39" s="73">
        <f t="shared" si="11"/>
        <v>0</v>
      </c>
      <c r="U39" s="73">
        <f t="shared" si="11"/>
        <v>16</v>
      </c>
      <c r="V39" s="73">
        <f t="shared" si="11"/>
        <v>2</v>
      </c>
      <c r="W39" s="73">
        <f t="shared" si="11"/>
        <v>2</v>
      </c>
      <c r="X39" s="73">
        <f t="shared" si="11"/>
        <v>0</v>
      </c>
      <c r="Y39" s="73">
        <f t="shared" si="11"/>
        <v>0</v>
      </c>
      <c r="Z39" s="73">
        <f t="shared" si="11"/>
        <v>0</v>
      </c>
      <c r="AA39" s="73">
        <f t="shared" si="11"/>
        <v>0</v>
      </c>
      <c r="AB39" s="73">
        <f t="shared" si="11"/>
        <v>0</v>
      </c>
      <c r="AC39" s="73">
        <f t="shared" si="11"/>
        <v>0</v>
      </c>
      <c r="AD39" s="73">
        <f t="shared" si="11"/>
        <v>0</v>
      </c>
      <c r="AE39" s="73">
        <f t="shared" si="11"/>
        <v>0</v>
      </c>
      <c r="AF39" s="73">
        <f t="shared" si="11"/>
        <v>0</v>
      </c>
      <c r="AG39" s="73">
        <f t="shared" si="11"/>
        <v>0</v>
      </c>
      <c r="AH39" s="73">
        <f t="shared" si="11"/>
        <v>0</v>
      </c>
      <c r="AI39" s="73">
        <f t="shared" si="11"/>
        <v>0</v>
      </c>
      <c r="AJ39" s="73">
        <f t="shared" si="11"/>
        <v>0</v>
      </c>
      <c r="AK39" s="73">
        <f t="shared" si="11"/>
        <v>0</v>
      </c>
      <c r="AL39" s="73">
        <f t="shared" ref="AL39:BQ39" si="12">SUM(AL4:AL38)</f>
        <v>0</v>
      </c>
      <c r="AM39" s="73">
        <f t="shared" si="12"/>
        <v>0</v>
      </c>
      <c r="AN39" s="73">
        <f t="shared" si="12"/>
        <v>0</v>
      </c>
      <c r="AO39" s="73">
        <f t="shared" si="12"/>
        <v>0</v>
      </c>
      <c r="AP39" s="73">
        <f t="shared" si="12"/>
        <v>0</v>
      </c>
      <c r="AQ39" s="73">
        <f t="shared" si="12"/>
        <v>0</v>
      </c>
      <c r="AR39" s="73">
        <f t="shared" si="12"/>
        <v>0</v>
      </c>
      <c r="AS39" s="73">
        <f t="shared" si="12"/>
        <v>0</v>
      </c>
      <c r="AT39" s="73">
        <f t="shared" si="12"/>
        <v>0</v>
      </c>
      <c r="AU39" s="73">
        <f t="shared" si="12"/>
        <v>0</v>
      </c>
      <c r="AV39" s="73">
        <f t="shared" si="12"/>
        <v>0</v>
      </c>
      <c r="AW39" s="73">
        <f t="shared" si="12"/>
        <v>0</v>
      </c>
      <c r="AX39" s="73">
        <f t="shared" si="12"/>
        <v>0</v>
      </c>
      <c r="AY39" s="73">
        <f t="shared" si="12"/>
        <v>0</v>
      </c>
      <c r="AZ39" s="73">
        <f t="shared" si="12"/>
        <v>0</v>
      </c>
      <c r="BA39" s="73">
        <f t="shared" si="12"/>
        <v>0</v>
      </c>
      <c r="BB39" s="73">
        <f t="shared" si="12"/>
        <v>0</v>
      </c>
      <c r="BC39" s="73">
        <f t="shared" si="12"/>
        <v>0</v>
      </c>
      <c r="BD39" s="73">
        <f t="shared" si="12"/>
        <v>0</v>
      </c>
      <c r="BE39" s="73">
        <f t="shared" si="12"/>
        <v>0</v>
      </c>
      <c r="BF39" s="73">
        <f t="shared" si="12"/>
        <v>0</v>
      </c>
      <c r="BG39" s="73">
        <f t="shared" si="12"/>
        <v>0</v>
      </c>
      <c r="BH39" s="73">
        <f t="shared" si="12"/>
        <v>0</v>
      </c>
      <c r="BI39" s="73">
        <f t="shared" si="12"/>
        <v>0</v>
      </c>
      <c r="BJ39" s="73">
        <f t="shared" si="12"/>
        <v>0</v>
      </c>
      <c r="BK39" s="73">
        <f t="shared" si="12"/>
        <v>0</v>
      </c>
      <c r="BL39" s="73">
        <f t="shared" si="12"/>
        <v>0</v>
      </c>
      <c r="BM39" s="73">
        <f t="shared" si="12"/>
        <v>0</v>
      </c>
      <c r="BN39" s="73">
        <f t="shared" si="12"/>
        <v>0</v>
      </c>
      <c r="BO39" s="73">
        <f t="shared" si="12"/>
        <v>0</v>
      </c>
      <c r="BP39" s="73">
        <f t="shared" si="12"/>
        <v>0</v>
      </c>
      <c r="BQ39" s="73">
        <f t="shared" si="12"/>
        <v>0</v>
      </c>
      <c r="BR39" s="73">
        <f t="shared" ref="BR39:CW39" si="13">SUM(BR4:BR38)</f>
        <v>0</v>
      </c>
      <c r="BS39" s="73">
        <f t="shared" si="13"/>
        <v>0</v>
      </c>
      <c r="BT39" s="73">
        <f t="shared" si="13"/>
        <v>0</v>
      </c>
      <c r="BU39" s="73">
        <f t="shared" si="13"/>
        <v>0</v>
      </c>
      <c r="BV39" s="73">
        <f t="shared" si="13"/>
        <v>0</v>
      </c>
      <c r="BW39" s="73">
        <f t="shared" si="13"/>
        <v>0</v>
      </c>
      <c r="BX39" s="73">
        <f t="shared" si="13"/>
        <v>0</v>
      </c>
      <c r="BY39" s="73">
        <f t="shared" si="13"/>
        <v>0</v>
      </c>
      <c r="BZ39" s="73">
        <f t="shared" si="13"/>
        <v>0</v>
      </c>
      <c r="CA39" s="73">
        <f t="shared" si="13"/>
        <v>0</v>
      </c>
      <c r="CB39" s="73">
        <f t="shared" si="13"/>
        <v>0</v>
      </c>
      <c r="CC39" s="73">
        <f t="shared" si="13"/>
        <v>0</v>
      </c>
      <c r="CD39" s="73">
        <f t="shared" si="13"/>
        <v>0</v>
      </c>
      <c r="CE39" s="73">
        <f t="shared" si="13"/>
        <v>0</v>
      </c>
      <c r="CF39" s="73">
        <f t="shared" si="13"/>
        <v>0</v>
      </c>
      <c r="CG39" s="73">
        <f t="shared" si="13"/>
        <v>0</v>
      </c>
      <c r="CH39" s="73">
        <f t="shared" si="13"/>
        <v>0</v>
      </c>
      <c r="CI39" s="73">
        <f t="shared" si="13"/>
        <v>0</v>
      </c>
      <c r="CJ39" s="73">
        <f t="shared" si="13"/>
        <v>0</v>
      </c>
      <c r="CK39" s="73">
        <f t="shared" si="13"/>
        <v>0</v>
      </c>
      <c r="CL39" s="73">
        <f t="shared" si="13"/>
        <v>0</v>
      </c>
      <c r="CM39" s="73">
        <f t="shared" si="13"/>
        <v>0</v>
      </c>
      <c r="CN39" s="73">
        <f t="shared" si="13"/>
        <v>0</v>
      </c>
      <c r="CO39" s="73">
        <f t="shared" si="13"/>
        <v>0</v>
      </c>
      <c r="CP39" s="73">
        <f t="shared" si="13"/>
        <v>0</v>
      </c>
      <c r="CQ39" s="73">
        <f t="shared" si="13"/>
        <v>0</v>
      </c>
      <c r="CR39" s="73">
        <f t="shared" si="13"/>
        <v>0</v>
      </c>
      <c r="CS39" s="73">
        <f t="shared" si="13"/>
        <v>0</v>
      </c>
      <c r="CT39" s="73">
        <f t="shared" si="13"/>
        <v>0</v>
      </c>
      <c r="CU39" s="73">
        <f t="shared" si="13"/>
        <v>0</v>
      </c>
      <c r="CV39" s="73">
        <f t="shared" si="13"/>
        <v>0</v>
      </c>
      <c r="CW39" s="73">
        <f t="shared" si="13"/>
        <v>0</v>
      </c>
      <c r="CX39" s="73">
        <f t="shared" ref="CX39:DO39" si="14">SUM(CX4:CX38)</f>
        <v>0</v>
      </c>
      <c r="CY39" s="73">
        <f t="shared" si="14"/>
        <v>0</v>
      </c>
      <c r="CZ39" s="73">
        <f t="shared" si="14"/>
        <v>0</v>
      </c>
      <c r="DA39" s="73">
        <f t="shared" si="14"/>
        <v>0</v>
      </c>
      <c r="DB39" s="73">
        <f t="shared" si="14"/>
        <v>0</v>
      </c>
      <c r="DC39" s="73">
        <f t="shared" si="14"/>
        <v>0</v>
      </c>
      <c r="DD39" s="73">
        <f t="shared" si="14"/>
        <v>0</v>
      </c>
      <c r="DE39" s="73">
        <f t="shared" si="14"/>
        <v>0</v>
      </c>
      <c r="DF39" s="73">
        <f t="shared" si="14"/>
        <v>0</v>
      </c>
      <c r="DG39" s="73">
        <f t="shared" si="14"/>
        <v>0</v>
      </c>
      <c r="DH39" s="73">
        <f t="shared" si="14"/>
        <v>0</v>
      </c>
      <c r="DI39" s="73">
        <f t="shared" si="14"/>
        <v>0</v>
      </c>
      <c r="DJ39" s="73">
        <f t="shared" si="14"/>
        <v>0</v>
      </c>
      <c r="DK39" s="73">
        <f t="shared" si="14"/>
        <v>0</v>
      </c>
      <c r="DL39" s="73">
        <f t="shared" si="14"/>
        <v>0</v>
      </c>
      <c r="DM39" s="73">
        <f t="shared" si="14"/>
        <v>0</v>
      </c>
      <c r="DN39" s="73">
        <f t="shared" si="14"/>
        <v>0</v>
      </c>
      <c r="DO39" s="73">
        <f t="shared" si="14"/>
        <v>0</v>
      </c>
    </row>
  </sheetData>
  <mergeCells count="79">
    <mergeCell ref="DM1:DO1"/>
    <mergeCell ref="DM2:DO2"/>
    <mergeCell ref="DA1:DC1"/>
    <mergeCell ref="DA2:DC2"/>
    <mergeCell ref="DD1:DF1"/>
    <mergeCell ref="DD2:DF2"/>
    <mergeCell ref="DG1:DI1"/>
    <mergeCell ref="DG2:DI2"/>
    <mergeCell ref="CU1:CW1"/>
    <mergeCell ref="CU2:CW2"/>
    <mergeCell ref="CX1:CZ1"/>
    <mergeCell ref="CX2:CZ2"/>
    <mergeCell ref="DJ1:DL1"/>
    <mergeCell ref="DJ2:DL2"/>
    <mergeCell ref="CL1:CN1"/>
    <mergeCell ref="CL2:CN2"/>
    <mergeCell ref="CO1:CQ1"/>
    <mergeCell ref="CO2:CQ2"/>
    <mergeCell ref="CR1:CT1"/>
    <mergeCell ref="CR2:CT2"/>
    <mergeCell ref="CC1:CE1"/>
    <mergeCell ref="CC2:CE2"/>
    <mergeCell ref="CF1:CH1"/>
    <mergeCell ref="CF2:CH2"/>
    <mergeCell ref="CI1:CK1"/>
    <mergeCell ref="CI2:CK2"/>
    <mergeCell ref="BT1:BV1"/>
    <mergeCell ref="BT2:BV2"/>
    <mergeCell ref="BW1:BY1"/>
    <mergeCell ref="BW2:BY2"/>
    <mergeCell ref="BZ1:CB1"/>
    <mergeCell ref="BZ2:CB2"/>
    <mergeCell ref="BK1:BM1"/>
    <mergeCell ref="BK2:BM2"/>
    <mergeCell ref="BN1:BP1"/>
    <mergeCell ref="BN2:BP2"/>
    <mergeCell ref="BQ1:BS1"/>
    <mergeCell ref="BQ2:BS2"/>
    <mergeCell ref="AS1:AU1"/>
    <mergeCell ref="AS2:AU2"/>
    <mergeCell ref="AV1:AX1"/>
    <mergeCell ref="AV2:AX2"/>
    <mergeCell ref="BH1:BJ1"/>
    <mergeCell ref="BH2:BJ2"/>
    <mergeCell ref="AY2:BA2"/>
    <mergeCell ref="BB2:BD2"/>
    <mergeCell ref="BE2:BG2"/>
    <mergeCell ref="AJ1:AL1"/>
    <mergeCell ref="AJ2:AL2"/>
    <mergeCell ref="AM1:AO1"/>
    <mergeCell ref="AM2:AO2"/>
    <mergeCell ref="AP2:AR2"/>
    <mergeCell ref="E2:E3"/>
    <mergeCell ref="F1:H1"/>
    <mergeCell ref="I1:K1"/>
    <mergeCell ref="I2:K2"/>
    <mergeCell ref="F2:H2"/>
    <mergeCell ref="AA2:AC2"/>
    <mergeCell ref="L2:N2"/>
    <mergeCell ref="O2:Q2"/>
    <mergeCell ref="R2:T2"/>
    <mergeCell ref="U2:W2"/>
    <mergeCell ref="X2:Z2"/>
    <mergeCell ref="AD2:AF2"/>
    <mergeCell ref="AG2:AI2"/>
    <mergeCell ref="BB1:BD1"/>
    <mergeCell ref="BE1:BG1"/>
    <mergeCell ref="C2:C3"/>
    <mergeCell ref="D2:D3"/>
    <mergeCell ref="AA1:AC1"/>
    <mergeCell ref="AD1:AF1"/>
    <mergeCell ref="AG1:AI1"/>
    <mergeCell ref="AP1:AR1"/>
    <mergeCell ref="AY1:BA1"/>
    <mergeCell ref="L1:N1"/>
    <mergeCell ref="O1:Q1"/>
    <mergeCell ref="R1:T1"/>
    <mergeCell ref="U1:W1"/>
    <mergeCell ref="X1:Z1"/>
  </mergeCells>
  <conditionalFormatting sqref="F4:DO38">
    <cfRule type="cellIs" dxfId="18" priority="1" operator="between">
      <formula>1</formula>
      <formula>5</formula>
    </cfRule>
    <cfRule type="cellIs" dxfId="17" priority="2" operator="equal">
      <formula>1</formula>
    </cfRule>
  </conditionalFormatting>
  <conditionalFormatting sqref="DP4:XFD39">
    <cfRule type="cellIs" dxfId="16" priority="77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AX39"/>
  <sheetViews>
    <sheetView zoomScale="85" zoomScaleNormal="85" workbookViewId="0">
      <selection activeCell="C30" sqref="C30:E38"/>
    </sheetView>
  </sheetViews>
  <sheetFormatPr defaultColWidth="4.7109375" defaultRowHeight="15" x14ac:dyDescent="0.25"/>
  <cols>
    <col min="1" max="1" width="3.42578125" customWidth="1"/>
    <col min="2" max="2" width="25.7109375" customWidth="1"/>
    <col min="3" max="3" width="6.140625" bestFit="1" customWidth="1"/>
    <col min="4" max="5" width="5.85546875" customWidth="1"/>
    <col min="6" max="8" width="5.28515625" customWidth="1"/>
    <col min="25" max="29" width="4.7109375" customWidth="1"/>
  </cols>
  <sheetData>
    <row r="1" spans="1:50" ht="15.75" thickBot="1" x14ac:dyDescent="0.3">
      <c r="C1" s="237" t="s">
        <v>396</v>
      </c>
      <c r="D1" s="237" t="s">
        <v>397</v>
      </c>
      <c r="E1" s="237" t="s">
        <v>398</v>
      </c>
      <c r="F1" s="228" t="s">
        <v>302</v>
      </c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30"/>
      <c r="AD1" s="240" t="s">
        <v>281</v>
      </c>
      <c r="AE1" s="241"/>
      <c r="AF1" s="241"/>
      <c r="AG1" s="241"/>
      <c r="AH1" s="241"/>
      <c r="AI1" s="242"/>
      <c r="AJ1" s="228" t="s">
        <v>282</v>
      </c>
      <c r="AK1" s="229"/>
      <c r="AL1" s="229"/>
      <c r="AM1" s="229"/>
      <c r="AN1" s="229"/>
      <c r="AO1" s="230"/>
      <c r="AP1" s="231" t="s">
        <v>283</v>
      </c>
      <c r="AQ1" s="232"/>
      <c r="AR1" s="232"/>
      <c r="AS1" s="232"/>
      <c r="AT1" s="232"/>
      <c r="AU1" s="233"/>
      <c r="AV1" s="234" t="s">
        <v>86</v>
      </c>
      <c r="AW1" s="235"/>
      <c r="AX1" s="236"/>
    </row>
    <row r="2" spans="1:50" x14ac:dyDescent="0.25">
      <c r="A2" s="3"/>
      <c r="B2" s="5"/>
      <c r="C2" s="238"/>
      <c r="D2" s="238"/>
      <c r="E2" s="238"/>
      <c r="F2" s="225" t="s">
        <v>458</v>
      </c>
      <c r="G2" s="226"/>
      <c r="H2" s="227"/>
      <c r="I2" s="225" t="s">
        <v>461</v>
      </c>
      <c r="J2" s="226"/>
      <c r="K2" s="227"/>
      <c r="L2" s="225" t="s">
        <v>462</v>
      </c>
      <c r="M2" s="226"/>
      <c r="N2" s="227"/>
      <c r="O2" s="225" t="s">
        <v>463</v>
      </c>
      <c r="P2" s="226"/>
      <c r="Q2" s="227"/>
      <c r="R2" s="225" t="s">
        <v>464</v>
      </c>
      <c r="S2" s="226"/>
      <c r="T2" s="227"/>
      <c r="U2" s="225" t="s">
        <v>465</v>
      </c>
      <c r="V2" s="226"/>
      <c r="W2" s="227"/>
      <c r="X2" s="225" t="s">
        <v>466</v>
      </c>
      <c r="Y2" s="226"/>
      <c r="Z2" s="227"/>
      <c r="AA2" s="225" t="s">
        <v>467</v>
      </c>
      <c r="AB2" s="226"/>
      <c r="AC2" s="226"/>
      <c r="AD2" s="225"/>
      <c r="AE2" s="226"/>
      <c r="AF2" s="227"/>
      <c r="AG2" s="225"/>
      <c r="AH2" s="226"/>
      <c r="AI2" s="227"/>
      <c r="AJ2" s="225"/>
      <c r="AK2" s="226"/>
      <c r="AL2" s="227"/>
      <c r="AM2" s="225"/>
      <c r="AN2" s="226"/>
      <c r="AO2" s="227"/>
      <c r="AP2" s="225"/>
      <c r="AQ2" s="226"/>
      <c r="AR2" s="227"/>
      <c r="AS2" s="225"/>
      <c r="AT2" s="226"/>
      <c r="AU2" s="227"/>
      <c r="AV2" s="225"/>
      <c r="AW2" s="226"/>
      <c r="AX2" s="227"/>
    </row>
    <row r="3" spans="1:50" x14ac:dyDescent="0.25">
      <c r="A3" s="3" t="s">
        <v>48</v>
      </c>
      <c r="B3" s="5" t="s">
        <v>1</v>
      </c>
      <c r="C3" s="239"/>
      <c r="D3" s="239"/>
      <c r="E3" s="239"/>
      <c r="F3" s="169" t="s">
        <v>393</v>
      </c>
      <c r="G3" s="164" t="s">
        <v>394</v>
      </c>
      <c r="H3" s="170" t="s">
        <v>395</v>
      </c>
      <c r="I3" s="169" t="s">
        <v>393</v>
      </c>
      <c r="J3" s="164" t="s">
        <v>394</v>
      </c>
      <c r="K3" s="170" t="s">
        <v>395</v>
      </c>
      <c r="L3" s="169" t="s">
        <v>393</v>
      </c>
      <c r="M3" s="164" t="s">
        <v>394</v>
      </c>
      <c r="N3" s="170" t="s">
        <v>395</v>
      </c>
      <c r="O3" s="169" t="s">
        <v>393</v>
      </c>
      <c r="P3" s="164" t="s">
        <v>394</v>
      </c>
      <c r="Q3" s="170" t="s">
        <v>395</v>
      </c>
      <c r="R3" s="169" t="s">
        <v>393</v>
      </c>
      <c r="S3" s="164" t="s">
        <v>394</v>
      </c>
      <c r="T3" s="170" t="s">
        <v>395</v>
      </c>
      <c r="U3" s="169" t="s">
        <v>393</v>
      </c>
      <c r="V3" s="164" t="s">
        <v>394</v>
      </c>
      <c r="W3" s="170" t="s">
        <v>395</v>
      </c>
      <c r="X3" s="169" t="s">
        <v>393</v>
      </c>
      <c r="Y3" s="164" t="s">
        <v>394</v>
      </c>
      <c r="Z3" s="170" t="s">
        <v>395</v>
      </c>
      <c r="AA3" s="169" t="s">
        <v>393</v>
      </c>
      <c r="AB3" s="164" t="s">
        <v>394</v>
      </c>
      <c r="AC3" s="166" t="s">
        <v>395</v>
      </c>
      <c r="AD3" s="169" t="s">
        <v>393</v>
      </c>
      <c r="AE3" s="164" t="s">
        <v>394</v>
      </c>
      <c r="AF3" s="170" t="s">
        <v>395</v>
      </c>
      <c r="AG3" s="169" t="s">
        <v>393</v>
      </c>
      <c r="AH3" s="164" t="s">
        <v>394</v>
      </c>
      <c r="AI3" s="170" t="s">
        <v>395</v>
      </c>
      <c r="AJ3" s="169" t="s">
        <v>393</v>
      </c>
      <c r="AK3" s="164" t="s">
        <v>394</v>
      </c>
      <c r="AL3" s="170" t="s">
        <v>395</v>
      </c>
      <c r="AM3" s="169" t="s">
        <v>393</v>
      </c>
      <c r="AN3" s="164" t="s">
        <v>394</v>
      </c>
      <c r="AO3" s="170" t="s">
        <v>395</v>
      </c>
      <c r="AP3" s="169" t="s">
        <v>393</v>
      </c>
      <c r="AQ3" s="164" t="s">
        <v>394</v>
      </c>
      <c r="AR3" s="170" t="s">
        <v>395</v>
      </c>
      <c r="AS3" s="169" t="s">
        <v>393</v>
      </c>
      <c r="AT3" s="164" t="s">
        <v>394</v>
      </c>
      <c r="AU3" s="170" t="s">
        <v>395</v>
      </c>
      <c r="AV3" s="169" t="s">
        <v>393</v>
      </c>
      <c r="AW3" s="164" t="s">
        <v>394</v>
      </c>
      <c r="AX3" s="170" t="s">
        <v>395</v>
      </c>
    </row>
    <row r="4" spans="1:50" x14ac:dyDescent="0.25">
      <c r="A4" s="27">
        <v>1</v>
      </c>
      <c r="B4" s="37" t="s">
        <v>278</v>
      </c>
      <c r="C4" s="58">
        <f>SUM(F4,I4,L4,O4,R4,X4,AA4,AD4,U4,AG4,AJ4,AM4,AP4,AS4,AV4)</f>
        <v>1</v>
      </c>
      <c r="D4" s="58">
        <f t="shared" ref="D4:E4" si="0">SUM(G4,J4,M4,P4,S4,Y4,AB4,AE4,V4,AH4,AK4,AN4,AQ4,AT4,AW4)</f>
        <v>0</v>
      </c>
      <c r="E4" s="58">
        <f t="shared" si="0"/>
        <v>0</v>
      </c>
      <c r="F4" s="52">
        <v>1</v>
      </c>
      <c r="G4" s="36"/>
      <c r="H4" s="53"/>
      <c r="I4" s="52"/>
      <c r="J4" s="36"/>
      <c r="K4" s="53"/>
      <c r="L4" s="52"/>
      <c r="M4" s="36"/>
      <c r="N4" s="53"/>
      <c r="O4" s="52"/>
      <c r="P4" s="36"/>
      <c r="Q4" s="53"/>
      <c r="R4" s="52"/>
      <c r="S4" s="36"/>
      <c r="T4" s="53"/>
      <c r="U4" s="52"/>
      <c r="V4" s="36"/>
      <c r="W4" s="53"/>
      <c r="X4" s="52"/>
      <c r="Y4" s="36"/>
      <c r="Z4" s="53"/>
      <c r="AA4" s="52"/>
      <c r="AB4" s="36"/>
      <c r="AC4" s="167"/>
      <c r="AD4" s="52"/>
      <c r="AE4" s="36"/>
      <c r="AF4" s="53"/>
      <c r="AG4" s="52"/>
      <c r="AH4" s="36"/>
      <c r="AI4" s="53"/>
      <c r="AJ4" s="52"/>
      <c r="AK4" s="36"/>
      <c r="AL4" s="53"/>
      <c r="AM4" s="52"/>
      <c r="AN4" s="36"/>
      <c r="AO4" s="53"/>
      <c r="AP4" s="52"/>
      <c r="AQ4" s="36"/>
      <c r="AR4" s="53"/>
      <c r="AS4" s="52"/>
      <c r="AT4" s="36"/>
      <c r="AU4" s="53"/>
      <c r="AV4" s="52"/>
      <c r="AW4" s="36"/>
      <c r="AX4" s="75"/>
    </row>
    <row r="5" spans="1:50" x14ac:dyDescent="0.25">
      <c r="A5" s="27">
        <v>2</v>
      </c>
      <c r="B5" s="35" t="s">
        <v>196</v>
      </c>
      <c r="C5" s="58">
        <f t="shared" ref="C5:C15" si="1">SUM(F5,I5,L5,O5,R5,X5,AA5,AD5,U5,AG5,AJ5,AM5,AP5,AS5,AV5)</f>
        <v>0</v>
      </c>
      <c r="D5" s="58">
        <f t="shared" ref="D5:D15" si="2">SUM(G5,J5,M5,P5,S5,Y5,AB5,AE5,V5,AH5,AK5,AN5,AQ5,AT5,AW5)</f>
        <v>0</v>
      </c>
      <c r="E5" s="58">
        <f t="shared" ref="E5:E15" si="3">SUM(H5,K5,N5,Q5,T5,Z5,AC5,AF5,W5,AI5,AL5,AO5,AR5,AU5,AX5)</f>
        <v>0</v>
      </c>
      <c r="F5" s="52"/>
      <c r="G5" s="36"/>
      <c r="H5" s="53"/>
      <c r="I5" s="52"/>
      <c r="J5" s="36"/>
      <c r="K5" s="53"/>
      <c r="L5" s="52"/>
      <c r="M5" s="36"/>
      <c r="N5" s="53"/>
      <c r="O5" s="52"/>
      <c r="P5" s="36"/>
      <c r="Q5" s="53"/>
      <c r="R5" s="52"/>
      <c r="S5" s="36"/>
      <c r="T5" s="53"/>
      <c r="U5" s="52"/>
      <c r="V5" s="36"/>
      <c r="W5" s="53"/>
      <c r="X5" s="52"/>
      <c r="Y5" s="36"/>
      <c r="Z5" s="53"/>
      <c r="AA5" s="52"/>
      <c r="AB5" s="36"/>
      <c r="AC5" s="167"/>
      <c r="AD5" s="52"/>
      <c r="AE5" s="36"/>
      <c r="AF5" s="53"/>
      <c r="AG5" s="52"/>
      <c r="AH5" s="36"/>
      <c r="AI5" s="53"/>
      <c r="AJ5" s="52"/>
      <c r="AK5" s="36"/>
      <c r="AL5" s="53"/>
      <c r="AM5" s="52"/>
      <c r="AN5" s="36"/>
      <c r="AO5" s="53"/>
      <c r="AP5" s="52"/>
      <c r="AQ5" s="36"/>
      <c r="AR5" s="53"/>
      <c r="AS5" s="52"/>
      <c r="AT5" s="36"/>
      <c r="AU5" s="53"/>
      <c r="AV5" s="52"/>
      <c r="AW5" s="36"/>
      <c r="AX5" s="75"/>
    </row>
    <row r="6" spans="1:50" x14ac:dyDescent="0.25">
      <c r="A6" s="27">
        <v>3</v>
      </c>
      <c r="B6" s="35" t="s">
        <v>316</v>
      </c>
      <c r="C6" s="58">
        <f t="shared" si="1"/>
        <v>0</v>
      </c>
      <c r="D6" s="58">
        <f t="shared" si="2"/>
        <v>0</v>
      </c>
      <c r="E6" s="58">
        <f t="shared" si="3"/>
        <v>0</v>
      </c>
      <c r="F6" s="52"/>
      <c r="G6" s="36"/>
      <c r="H6" s="53"/>
      <c r="I6" s="52"/>
      <c r="J6" s="36"/>
      <c r="K6" s="53"/>
      <c r="L6" s="52"/>
      <c r="M6" s="36"/>
      <c r="N6" s="53"/>
      <c r="O6" s="52"/>
      <c r="P6" s="36"/>
      <c r="Q6" s="53"/>
      <c r="R6" s="52"/>
      <c r="S6" s="36"/>
      <c r="T6" s="53"/>
      <c r="U6" s="52"/>
      <c r="V6" s="36"/>
      <c r="W6" s="53"/>
      <c r="X6" s="52"/>
      <c r="Y6" s="36"/>
      <c r="Z6" s="53"/>
      <c r="AA6" s="52"/>
      <c r="AB6" s="36"/>
      <c r="AC6" s="167"/>
      <c r="AD6" s="52"/>
      <c r="AE6" s="36"/>
      <c r="AF6" s="53"/>
      <c r="AG6" s="52"/>
      <c r="AH6" s="36"/>
      <c r="AI6" s="53"/>
      <c r="AJ6" s="52"/>
      <c r="AK6" s="36"/>
      <c r="AL6" s="53"/>
      <c r="AM6" s="52"/>
      <c r="AN6" s="36"/>
      <c r="AO6" s="53"/>
      <c r="AP6" s="52"/>
      <c r="AQ6" s="36"/>
      <c r="AR6" s="53"/>
      <c r="AS6" s="52"/>
      <c r="AT6" s="36"/>
      <c r="AU6" s="53"/>
      <c r="AV6" s="52"/>
      <c r="AW6" s="36"/>
      <c r="AX6" s="75"/>
    </row>
    <row r="7" spans="1:50" x14ac:dyDescent="0.25">
      <c r="A7" s="27">
        <v>4</v>
      </c>
      <c r="B7" s="37" t="s">
        <v>220</v>
      </c>
      <c r="C7" s="58">
        <f t="shared" si="1"/>
        <v>1</v>
      </c>
      <c r="D7" s="58">
        <f t="shared" si="2"/>
        <v>0</v>
      </c>
      <c r="E7" s="58">
        <f t="shared" si="3"/>
        <v>0</v>
      </c>
      <c r="F7" s="52">
        <v>1</v>
      </c>
      <c r="G7" s="36"/>
      <c r="H7" s="53"/>
      <c r="I7" s="52"/>
      <c r="J7" s="36"/>
      <c r="K7" s="53"/>
      <c r="L7" s="52"/>
      <c r="M7" s="36"/>
      <c r="N7" s="53"/>
      <c r="O7" s="52"/>
      <c r="P7" s="36"/>
      <c r="Q7" s="53"/>
      <c r="R7" s="52"/>
      <c r="S7" s="36"/>
      <c r="T7" s="53"/>
      <c r="U7" s="52"/>
      <c r="V7" s="36"/>
      <c r="W7" s="53"/>
      <c r="X7" s="52"/>
      <c r="Y7" s="36"/>
      <c r="Z7" s="53"/>
      <c r="AA7" s="52"/>
      <c r="AB7" s="36"/>
      <c r="AC7" s="167"/>
      <c r="AD7" s="52"/>
      <c r="AE7" s="36"/>
      <c r="AF7" s="53"/>
      <c r="AG7" s="52"/>
      <c r="AH7" s="36"/>
      <c r="AI7" s="53"/>
      <c r="AJ7" s="52"/>
      <c r="AK7" s="36"/>
      <c r="AL7" s="53"/>
      <c r="AM7" s="52"/>
      <c r="AN7" s="36"/>
      <c r="AO7" s="53"/>
      <c r="AP7" s="52"/>
      <c r="AQ7" s="36"/>
      <c r="AR7" s="53"/>
      <c r="AS7" s="52"/>
      <c r="AT7" s="36"/>
      <c r="AU7" s="53"/>
      <c r="AV7" s="52"/>
      <c r="AW7" s="36"/>
      <c r="AX7" s="75"/>
    </row>
    <row r="8" spans="1:50" x14ac:dyDescent="0.25">
      <c r="A8" s="27">
        <v>5</v>
      </c>
      <c r="B8" s="37" t="s">
        <v>318</v>
      </c>
      <c r="C8" s="58">
        <f t="shared" si="1"/>
        <v>1</v>
      </c>
      <c r="D8" s="58">
        <f t="shared" si="2"/>
        <v>0</v>
      </c>
      <c r="E8" s="58">
        <f t="shared" si="3"/>
        <v>0</v>
      </c>
      <c r="F8" s="52">
        <v>1</v>
      </c>
      <c r="G8" s="36"/>
      <c r="H8" s="53"/>
      <c r="I8" s="52"/>
      <c r="J8" s="36"/>
      <c r="K8" s="53"/>
      <c r="L8" s="52"/>
      <c r="M8" s="36"/>
      <c r="N8" s="53"/>
      <c r="O8" s="52"/>
      <c r="P8" s="36"/>
      <c r="Q8" s="53"/>
      <c r="R8" s="52"/>
      <c r="S8" s="36"/>
      <c r="T8" s="53"/>
      <c r="U8" s="52"/>
      <c r="V8" s="36"/>
      <c r="W8" s="53"/>
      <c r="X8" s="52"/>
      <c r="Y8" s="36"/>
      <c r="Z8" s="53"/>
      <c r="AA8" s="52"/>
      <c r="AB8" s="36"/>
      <c r="AC8" s="167"/>
      <c r="AD8" s="52"/>
      <c r="AE8" s="36"/>
      <c r="AF8" s="53"/>
      <c r="AG8" s="52"/>
      <c r="AH8" s="36"/>
      <c r="AI8" s="53"/>
      <c r="AJ8" s="52"/>
      <c r="AK8" s="36"/>
      <c r="AL8" s="53"/>
      <c r="AM8" s="52"/>
      <c r="AN8" s="36"/>
      <c r="AO8" s="53"/>
      <c r="AP8" s="52"/>
      <c r="AQ8" s="36"/>
      <c r="AR8" s="53"/>
      <c r="AS8" s="52"/>
      <c r="AT8" s="36"/>
      <c r="AU8" s="53"/>
      <c r="AV8" s="52"/>
      <c r="AW8" s="36"/>
      <c r="AX8" s="75"/>
    </row>
    <row r="9" spans="1:50" x14ac:dyDescent="0.25">
      <c r="A9" s="27">
        <v>6</v>
      </c>
      <c r="B9" s="37" t="s">
        <v>198</v>
      </c>
      <c r="C9" s="58">
        <f t="shared" si="1"/>
        <v>1</v>
      </c>
      <c r="D9" s="58">
        <f t="shared" si="2"/>
        <v>0</v>
      </c>
      <c r="E9" s="58">
        <f t="shared" si="3"/>
        <v>0</v>
      </c>
      <c r="F9" s="52">
        <v>1</v>
      </c>
      <c r="G9" s="36"/>
      <c r="H9" s="53"/>
      <c r="I9" s="52"/>
      <c r="J9" s="36"/>
      <c r="K9" s="53"/>
      <c r="L9" s="52"/>
      <c r="M9" s="36"/>
      <c r="N9" s="53"/>
      <c r="O9" s="52"/>
      <c r="P9" s="36"/>
      <c r="Q9" s="53"/>
      <c r="R9" s="52"/>
      <c r="S9" s="36"/>
      <c r="T9" s="53"/>
      <c r="U9" s="52"/>
      <c r="V9" s="36"/>
      <c r="W9" s="53"/>
      <c r="X9" s="52"/>
      <c r="Y9" s="36"/>
      <c r="Z9" s="53"/>
      <c r="AA9" s="52"/>
      <c r="AB9" s="36"/>
      <c r="AC9" s="167"/>
      <c r="AD9" s="52"/>
      <c r="AE9" s="36"/>
      <c r="AF9" s="53"/>
      <c r="AG9" s="52"/>
      <c r="AH9" s="36"/>
      <c r="AI9" s="53"/>
      <c r="AJ9" s="52"/>
      <c r="AK9" s="36"/>
      <c r="AL9" s="53"/>
      <c r="AM9" s="52"/>
      <c r="AN9" s="36"/>
      <c r="AO9" s="53"/>
      <c r="AP9" s="52"/>
      <c r="AQ9" s="36"/>
      <c r="AR9" s="53"/>
      <c r="AS9" s="52"/>
      <c r="AT9" s="36"/>
      <c r="AU9" s="53"/>
      <c r="AV9" s="52"/>
      <c r="AW9" s="36"/>
      <c r="AX9" s="75"/>
    </row>
    <row r="10" spans="1:50" x14ac:dyDescent="0.25">
      <c r="A10" s="27">
        <v>7</v>
      </c>
      <c r="B10" s="37" t="s">
        <v>180</v>
      </c>
      <c r="C10" s="58">
        <f t="shared" si="1"/>
        <v>1</v>
      </c>
      <c r="D10" s="58">
        <f t="shared" si="2"/>
        <v>0</v>
      </c>
      <c r="E10" s="58">
        <f t="shared" si="3"/>
        <v>0</v>
      </c>
      <c r="F10" s="52">
        <v>1</v>
      </c>
      <c r="G10" s="36"/>
      <c r="H10" s="53"/>
      <c r="I10" s="52"/>
      <c r="J10" s="36"/>
      <c r="K10" s="53"/>
      <c r="L10" s="52"/>
      <c r="M10" s="36"/>
      <c r="N10" s="53"/>
      <c r="O10" s="52"/>
      <c r="P10" s="36"/>
      <c r="Q10" s="53"/>
      <c r="R10" s="52"/>
      <c r="S10" s="36"/>
      <c r="T10" s="53"/>
      <c r="U10" s="52"/>
      <c r="V10" s="36"/>
      <c r="W10" s="53"/>
      <c r="X10" s="52"/>
      <c r="Y10" s="36"/>
      <c r="Z10" s="53"/>
      <c r="AA10" s="52"/>
      <c r="AB10" s="36"/>
      <c r="AC10" s="167"/>
      <c r="AD10" s="52"/>
      <c r="AE10" s="36"/>
      <c r="AF10" s="53"/>
      <c r="AG10" s="52"/>
      <c r="AH10" s="36"/>
      <c r="AI10" s="53"/>
      <c r="AJ10" s="52"/>
      <c r="AK10" s="36"/>
      <c r="AL10" s="53"/>
      <c r="AM10" s="52"/>
      <c r="AN10" s="36"/>
      <c r="AO10" s="53"/>
      <c r="AP10" s="52"/>
      <c r="AQ10" s="36"/>
      <c r="AR10" s="53"/>
      <c r="AS10" s="52"/>
      <c r="AT10" s="36"/>
      <c r="AU10" s="53"/>
      <c r="AV10" s="52"/>
      <c r="AW10" s="36"/>
      <c r="AX10" s="75"/>
    </row>
    <row r="11" spans="1:50" x14ac:dyDescent="0.25">
      <c r="A11" s="27">
        <v>8</v>
      </c>
      <c r="B11" s="37" t="s">
        <v>218</v>
      </c>
      <c r="C11" s="58">
        <f t="shared" si="1"/>
        <v>1</v>
      </c>
      <c r="D11" s="58">
        <f t="shared" si="2"/>
        <v>1</v>
      </c>
      <c r="E11" s="58">
        <f t="shared" si="3"/>
        <v>0</v>
      </c>
      <c r="F11" s="52">
        <v>1</v>
      </c>
      <c r="G11" s="36">
        <v>1</v>
      </c>
      <c r="H11" s="53"/>
      <c r="I11" s="52"/>
      <c r="J11" s="36"/>
      <c r="K11" s="53"/>
      <c r="L11" s="52"/>
      <c r="M11" s="36"/>
      <c r="N11" s="53"/>
      <c r="O11" s="52"/>
      <c r="P11" s="36"/>
      <c r="Q11" s="53"/>
      <c r="R11" s="52"/>
      <c r="S11" s="36"/>
      <c r="T11" s="53"/>
      <c r="U11" s="52"/>
      <c r="V11" s="36"/>
      <c r="W11" s="53"/>
      <c r="X11" s="52"/>
      <c r="Y11" s="36"/>
      <c r="Z11" s="53"/>
      <c r="AA11" s="52"/>
      <c r="AB11" s="36"/>
      <c r="AC11" s="167"/>
      <c r="AD11" s="52"/>
      <c r="AE11" s="36"/>
      <c r="AF11" s="53"/>
      <c r="AG11" s="52"/>
      <c r="AH11" s="36"/>
      <c r="AI11" s="53"/>
      <c r="AJ11" s="52"/>
      <c r="AK11" s="36"/>
      <c r="AL11" s="53"/>
      <c r="AM11" s="52"/>
      <c r="AN11" s="36"/>
      <c r="AO11" s="53"/>
      <c r="AP11" s="52"/>
      <c r="AQ11" s="36"/>
      <c r="AR11" s="53"/>
      <c r="AS11" s="52"/>
      <c r="AT11" s="36"/>
      <c r="AU11" s="53"/>
      <c r="AV11" s="52"/>
      <c r="AW11" s="36"/>
      <c r="AX11" s="75"/>
    </row>
    <row r="12" spans="1:50" x14ac:dyDescent="0.25">
      <c r="A12" s="27">
        <v>10</v>
      </c>
      <c r="B12" s="37" t="s">
        <v>319</v>
      </c>
      <c r="C12" s="58">
        <f t="shared" si="1"/>
        <v>1</v>
      </c>
      <c r="D12" s="58">
        <f t="shared" si="2"/>
        <v>0</v>
      </c>
      <c r="E12" s="58">
        <f t="shared" si="3"/>
        <v>0</v>
      </c>
      <c r="F12" s="52">
        <v>1</v>
      </c>
      <c r="G12" s="36"/>
      <c r="H12" s="53"/>
      <c r="I12" s="52"/>
      <c r="J12" s="36"/>
      <c r="K12" s="53"/>
      <c r="L12" s="52"/>
      <c r="M12" s="36"/>
      <c r="N12" s="53"/>
      <c r="O12" s="52"/>
      <c r="P12" s="36"/>
      <c r="Q12" s="53"/>
      <c r="R12" s="52"/>
      <c r="S12" s="36"/>
      <c r="T12" s="53"/>
      <c r="U12" s="52"/>
      <c r="V12" s="36"/>
      <c r="W12" s="53"/>
      <c r="X12" s="52"/>
      <c r="Y12" s="36"/>
      <c r="Z12" s="53"/>
      <c r="AA12" s="52"/>
      <c r="AB12" s="36"/>
      <c r="AC12" s="167"/>
      <c r="AD12" s="52"/>
      <c r="AE12" s="36"/>
      <c r="AF12" s="53"/>
      <c r="AG12" s="52"/>
      <c r="AH12" s="36"/>
      <c r="AI12" s="53"/>
      <c r="AJ12" s="52"/>
      <c r="AK12" s="36"/>
      <c r="AL12" s="53"/>
      <c r="AM12" s="52"/>
      <c r="AN12" s="36"/>
      <c r="AO12" s="53"/>
      <c r="AP12" s="52"/>
      <c r="AQ12" s="36"/>
      <c r="AR12" s="53"/>
      <c r="AS12" s="52"/>
      <c r="AT12" s="36"/>
      <c r="AU12" s="53"/>
      <c r="AV12" s="52"/>
      <c r="AW12" s="36"/>
      <c r="AX12" s="75"/>
    </row>
    <row r="13" spans="1:50" x14ac:dyDescent="0.25">
      <c r="A13" s="27">
        <v>12</v>
      </c>
      <c r="B13" s="35" t="s">
        <v>276</v>
      </c>
      <c r="C13" s="58">
        <f t="shared" si="1"/>
        <v>0</v>
      </c>
      <c r="D13" s="58">
        <f t="shared" si="2"/>
        <v>0</v>
      </c>
      <c r="E13" s="58">
        <f t="shared" si="3"/>
        <v>0</v>
      </c>
      <c r="F13" s="52"/>
      <c r="G13" s="36"/>
      <c r="H13" s="53"/>
      <c r="I13" s="52"/>
      <c r="J13" s="36"/>
      <c r="K13" s="53"/>
      <c r="L13" s="52"/>
      <c r="M13" s="36"/>
      <c r="N13" s="53"/>
      <c r="O13" s="52"/>
      <c r="P13" s="36"/>
      <c r="Q13" s="53"/>
      <c r="R13" s="52"/>
      <c r="S13" s="36"/>
      <c r="T13" s="53"/>
      <c r="U13" s="52"/>
      <c r="V13" s="36"/>
      <c r="W13" s="53"/>
      <c r="X13" s="52"/>
      <c r="Y13" s="36"/>
      <c r="Z13" s="53"/>
      <c r="AA13" s="52"/>
      <c r="AB13" s="36"/>
      <c r="AC13" s="167"/>
      <c r="AD13" s="52"/>
      <c r="AE13" s="36"/>
      <c r="AF13" s="53"/>
      <c r="AG13" s="52"/>
      <c r="AH13" s="36"/>
      <c r="AI13" s="53"/>
      <c r="AJ13" s="52"/>
      <c r="AK13" s="36"/>
      <c r="AL13" s="53"/>
      <c r="AM13" s="52"/>
      <c r="AN13" s="36"/>
      <c r="AO13" s="53"/>
      <c r="AP13" s="52"/>
      <c r="AQ13" s="36"/>
      <c r="AR13" s="53"/>
      <c r="AS13" s="52"/>
      <c r="AT13" s="36"/>
      <c r="AU13" s="53"/>
      <c r="AV13" s="52"/>
      <c r="AW13" s="36"/>
      <c r="AX13" s="75"/>
    </row>
    <row r="14" spans="1:50" x14ac:dyDescent="0.25">
      <c r="A14" s="27">
        <v>13</v>
      </c>
      <c r="B14" s="149" t="s">
        <v>312</v>
      </c>
      <c r="C14" s="58">
        <f t="shared" si="1"/>
        <v>0</v>
      </c>
      <c r="D14" s="58">
        <f t="shared" si="2"/>
        <v>0</v>
      </c>
      <c r="E14" s="58">
        <f t="shared" si="3"/>
        <v>0</v>
      </c>
      <c r="F14" s="52"/>
      <c r="G14" s="36"/>
      <c r="H14" s="53"/>
      <c r="I14" s="52"/>
      <c r="J14" s="36"/>
      <c r="K14" s="53"/>
      <c r="L14" s="52"/>
      <c r="M14" s="36"/>
      <c r="N14" s="53"/>
      <c r="O14" s="52"/>
      <c r="P14" s="36"/>
      <c r="Q14" s="53"/>
      <c r="R14" s="52"/>
      <c r="S14" s="36"/>
      <c r="T14" s="53"/>
      <c r="U14" s="52"/>
      <c r="V14" s="36"/>
      <c r="W14" s="53"/>
      <c r="X14" s="52"/>
      <c r="Y14" s="36"/>
      <c r="Z14" s="53"/>
      <c r="AA14" s="52"/>
      <c r="AB14" s="36"/>
      <c r="AC14" s="167"/>
      <c r="AD14" s="52"/>
      <c r="AE14" s="36"/>
      <c r="AF14" s="53"/>
      <c r="AG14" s="52"/>
      <c r="AH14" s="36"/>
      <c r="AI14" s="53"/>
      <c r="AJ14" s="52"/>
      <c r="AK14" s="36"/>
      <c r="AL14" s="53"/>
      <c r="AM14" s="52"/>
      <c r="AN14" s="36"/>
      <c r="AO14" s="53"/>
      <c r="AP14" s="52"/>
      <c r="AQ14" s="36"/>
      <c r="AR14" s="53"/>
      <c r="AS14" s="52"/>
      <c r="AT14" s="36"/>
      <c r="AU14" s="53"/>
      <c r="AV14" s="52"/>
      <c r="AW14" s="36"/>
      <c r="AX14" s="75"/>
    </row>
    <row r="15" spans="1:50" x14ac:dyDescent="0.25">
      <c r="A15" s="27">
        <v>14</v>
      </c>
      <c r="B15" s="149" t="s">
        <v>317</v>
      </c>
      <c r="C15" s="58">
        <f t="shared" si="1"/>
        <v>1</v>
      </c>
      <c r="D15" s="58">
        <f t="shared" si="2"/>
        <v>0</v>
      </c>
      <c r="E15" s="58">
        <f t="shared" si="3"/>
        <v>0</v>
      </c>
      <c r="F15" s="52">
        <v>1</v>
      </c>
      <c r="G15" s="36"/>
      <c r="H15" s="53"/>
      <c r="I15" s="52"/>
      <c r="J15" s="36"/>
      <c r="K15" s="53"/>
      <c r="L15" s="52"/>
      <c r="M15" s="36"/>
      <c r="N15" s="53"/>
      <c r="O15" s="52"/>
      <c r="P15" s="36"/>
      <c r="Q15" s="53"/>
      <c r="R15" s="52"/>
      <c r="S15" s="36"/>
      <c r="T15" s="53"/>
      <c r="U15" s="52"/>
      <c r="V15" s="36"/>
      <c r="W15" s="53"/>
      <c r="X15" s="52"/>
      <c r="Y15" s="36"/>
      <c r="Z15" s="53"/>
      <c r="AA15" s="52"/>
      <c r="AB15" s="36"/>
      <c r="AC15" s="167"/>
      <c r="AD15" s="52"/>
      <c r="AE15" s="36"/>
      <c r="AF15" s="53"/>
      <c r="AG15" s="52"/>
      <c r="AH15" s="36"/>
      <c r="AI15" s="53"/>
      <c r="AJ15" s="52"/>
      <c r="AK15" s="36"/>
      <c r="AL15" s="53"/>
      <c r="AM15" s="52"/>
      <c r="AN15" s="36"/>
      <c r="AO15" s="53"/>
      <c r="AP15" s="52"/>
      <c r="AQ15" s="36"/>
      <c r="AR15" s="53"/>
      <c r="AS15" s="52"/>
      <c r="AT15" s="36"/>
      <c r="AU15" s="53"/>
      <c r="AV15" s="52"/>
      <c r="AW15" s="36"/>
      <c r="AX15" s="75"/>
    </row>
    <row r="16" spans="1:50" x14ac:dyDescent="0.25">
      <c r="A16" s="27">
        <v>15</v>
      </c>
      <c r="B16" s="149" t="s">
        <v>431</v>
      </c>
      <c r="C16" s="58">
        <f t="shared" ref="C16:C28" si="4">SUM(F16,I16,L16,O16,R16,X16,AA16,AD16,U16,AG16,AJ16,AM16,AP16,AS16,AV16)</f>
        <v>1</v>
      </c>
      <c r="D16" s="58">
        <f t="shared" ref="D16:D28" si="5">SUM(G16,J16,M16,P16,S16,Y16,AB16,AE16,V16,AH16,AK16,AN16,AQ16,AT16,AW16)</f>
        <v>0</v>
      </c>
      <c r="E16" s="58">
        <f t="shared" ref="E16:E28" si="6">SUM(H16,K16,N16,Q16,T16,Z16,AC16,AF16,W16,AI16,AL16,AO16,AR16,AU16,AX16)</f>
        <v>0</v>
      </c>
      <c r="F16" s="52">
        <v>1</v>
      </c>
      <c r="G16" s="36"/>
      <c r="H16" s="53"/>
      <c r="I16" s="52"/>
      <c r="J16" s="36"/>
      <c r="K16" s="53"/>
      <c r="L16" s="52"/>
      <c r="M16" s="36"/>
      <c r="N16" s="53"/>
      <c r="O16" s="52"/>
      <c r="P16" s="36"/>
      <c r="Q16" s="53"/>
      <c r="R16" s="52"/>
      <c r="S16" s="36"/>
      <c r="T16" s="53"/>
      <c r="U16" s="52"/>
      <c r="V16" s="36"/>
      <c r="W16" s="53"/>
      <c r="X16" s="52"/>
      <c r="Y16" s="36"/>
      <c r="Z16" s="53"/>
      <c r="AA16" s="52"/>
      <c r="AB16" s="36"/>
      <c r="AC16" s="167"/>
      <c r="AD16" s="52"/>
      <c r="AE16" s="36"/>
      <c r="AF16" s="53"/>
      <c r="AG16" s="52"/>
      <c r="AH16" s="36"/>
      <c r="AI16" s="53"/>
      <c r="AJ16" s="52"/>
      <c r="AK16" s="36"/>
      <c r="AL16" s="53"/>
      <c r="AM16" s="52"/>
      <c r="AN16" s="36"/>
      <c r="AO16" s="53"/>
      <c r="AP16" s="52"/>
      <c r="AQ16" s="36"/>
      <c r="AR16" s="53"/>
      <c r="AS16" s="52"/>
      <c r="AT16" s="36"/>
      <c r="AU16" s="53"/>
      <c r="AV16" s="52"/>
      <c r="AW16" s="36"/>
      <c r="AX16" s="75"/>
    </row>
    <row r="17" spans="1:50" x14ac:dyDescent="0.25">
      <c r="A17" s="27">
        <v>17</v>
      </c>
      <c r="B17" s="148" t="s">
        <v>343</v>
      </c>
      <c r="C17" s="58">
        <f t="shared" si="4"/>
        <v>1</v>
      </c>
      <c r="D17" s="58">
        <f t="shared" si="5"/>
        <v>0</v>
      </c>
      <c r="E17" s="58">
        <f t="shared" si="6"/>
        <v>1</v>
      </c>
      <c r="F17" s="52">
        <v>1</v>
      </c>
      <c r="G17" s="36"/>
      <c r="H17" s="53">
        <v>1</v>
      </c>
      <c r="I17" s="52"/>
      <c r="J17" s="36"/>
      <c r="K17" s="53"/>
      <c r="L17" s="52"/>
      <c r="M17" s="36"/>
      <c r="N17" s="53"/>
      <c r="O17" s="52"/>
      <c r="P17" s="36"/>
      <c r="Q17" s="53"/>
      <c r="R17" s="52"/>
      <c r="S17" s="36"/>
      <c r="T17" s="53"/>
      <c r="U17" s="52"/>
      <c r="V17" s="36"/>
      <c r="W17" s="53"/>
      <c r="X17" s="52"/>
      <c r="Y17" s="36"/>
      <c r="Z17" s="53"/>
      <c r="AA17" s="52"/>
      <c r="AB17" s="36"/>
      <c r="AC17" s="167"/>
      <c r="AD17" s="52"/>
      <c r="AE17" s="36"/>
      <c r="AF17" s="53"/>
      <c r="AG17" s="52"/>
      <c r="AH17" s="36"/>
      <c r="AI17" s="53"/>
      <c r="AJ17" s="52"/>
      <c r="AK17" s="36"/>
      <c r="AL17" s="53"/>
      <c r="AM17" s="52"/>
      <c r="AN17" s="36"/>
      <c r="AO17" s="53"/>
      <c r="AP17" s="52"/>
      <c r="AQ17" s="36"/>
      <c r="AR17" s="53"/>
      <c r="AS17" s="52"/>
      <c r="AT17" s="36"/>
      <c r="AU17" s="53"/>
      <c r="AV17" s="52"/>
      <c r="AW17" s="36"/>
      <c r="AX17" s="75"/>
    </row>
    <row r="18" spans="1:50" x14ac:dyDescent="0.25">
      <c r="A18" s="27">
        <v>20</v>
      </c>
      <c r="B18" s="148" t="s">
        <v>315</v>
      </c>
      <c r="C18" s="58">
        <f t="shared" si="4"/>
        <v>1</v>
      </c>
      <c r="D18" s="58">
        <f t="shared" si="5"/>
        <v>0</v>
      </c>
      <c r="E18" s="58">
        <f t="shared" si="6"/>
        <v>0</v>
      </c>
      <c r="F18" s="52">
        <v>1</v>
      </c>
      <c r="G18" s="36"/>
      <c r="H18" s="53"/>
      <c r="I18" s="52"/>
      <c r="J18" s="36"/>
      <c r="K18" s="53"/>
      <c r="L18" s="52"/>
      <c r="M18" s="36"/>
      <c r="N18" s="53"/>
      <c r="O18" s="52"/>
      <c r="P18" s="36"/>
      <c r="Q18" s="53"/>
      <c r="R18" s="52"/>
      <c r="S18" s="36"/>
      <c r="T18" s="53"/>
      <c r="U18" s="52"/>
      <c r="V18" s="36"/>
      <c r="W18" s="53"/>
      <c r="X18" s="52"/>
      <c r="Y18" s="36"/>
      <c r="Z18" s="53"/>
      <c r="AA18" s="52"/>
      <c r="AB18" s="36"/>
      <c r="AC18" s="167"/>
      <c r="AD18" s="52"/>
      <c r="AE18" s="36"/>
      <c r="AF18" s="53"/>
      <c r="AG18" s="52"/>
      <c r="AH18" s="36"/>
      <c r="AI18" s="53"/>
      <c r="AJ18" s="52"/>
      <c r="AK18" s="36"/>
      <c r="AL18" s="53"/>
      <c r="AM18" s="52"/>
      <c r="AN18" s="36"/>
      <c r="AO18" s="53"/>
      <c r="AP18" s="52"/>
      <c r="AQ18" s="36"/>
      <c r="AR18" s="53"/>
      <c r="AS18" s="52"/>
      <c r="AT18" s="36"/>
      <c r="AU18" s="53"/>
      <c r="AV18" s="52"/>
      <c r="AW18" s="36"/>
      <c r="AX18" s="75"/>
    </row>
    <row r="19" spans="1:50" x14ac:dyDescent="0.25">
      <c r="A19" s="28">
        <v>22</v>
      </c>
      <c r="B19" s="40" t="s">
        <v>263</v>
      </c>
      <c r="C19" s="58">
        <f t="shared" si="4"/>
        <v>0</v>
      </c>
      <c r="D19" s="58">
        <f t="shared" si="5"/>
        <v>0</v>
      </c>
      <c r="E19" s="58">
        <f t="shared" si="6"/>
        <v>0</v>
      </c>
      <c r="F19" s="52"/>
      <c r="G19" s="36"/>
      <c r="H19" s="53"/>
      <c r="I19" s="52"/>
      <c r="J19" s="36"/>
      <c r="K19" s="53"/>
      <c r="L19" s="52"/>
      <c r="M19" s="36"/>
      <c r="N19" s="53"/>
      <c r="O19" s="52"/>
      <c r="P19" s="36"/>
      <c r="Q19" s="53"/>
      <c r="R19" s="52"/>
      <c r="S19" s="36"/>
      <c r="T19" s="53"/>
      <c r="U19" s="52"/>
      <c r="V19" s="36"/>
      <c r="W19" s="53"/>
      <c r="X19" s="52"/>
      <c r="Y19" s="36"/>
      <c r="Z19" s="53"/>
      <c r="AA19" s="52"/>
      <c r="AB19" s="36"/>
      <c r="AC19" s="167"/>
      <c r="AD19" s="52"/>
      <c r="AE19" s="36"/>
      <c r="AF19" s="53"/>
      <c r="AG19" s="52"/>
      <c r="AH19" s="36"/>
      <c r="AI19" s="53"/>
      <c r="AJ19" s="52"/>
      <c r="AK19" s="36"/>
      <c r="AL19" s="53"/>
      <c r="AM19" s="52"/>
      <c r="AN19" s="36"/>
      <c r="AO19" s="53"/>
      <c r="AP19" s="52"/>
      <c r="AQ19" s="36"/>
      <c r="AR19" s="53"/>
      <c r="AS19" s="52"/>
      <c r="AT19" s="36"/>
      <c r="AU19" s="53"/>
      <c r="AV19" s="52"/>
      <c r="AW19" s="36"/>
      <c r="AX19" s="75"/>
    </row>
    <row r="20" spans="1:50" x14ac:dyDescent="0.25">
      <c r="A20" s="27">
        <v>23</v>
      </c>
      <c r="B20" s="37" t="s">
        <v>293</v>
      </c>
      <c r="C20" s="58">
        <f t="shared" si="4"/>
        <v>1</v>
      </c>
      <c r="D20" s="58">
        <f t="shared" si="5"/>
        <v>0</v>
      </c>
      <c r="E20" s="58">
        <f t="shared" si="6"/>
        <v>0</v>
      </c>
      <c r="F20" s="52">
        <v>1</v>
      </c>
      <c r="G20" s="36"/>
      <c r="H20" s="53"/>
      <c r="I20" s="52"/>
      <c r="J20" s="36"/>
      <c r="K20" s="53"/>
      <c r="L20" s="52"/>
      <c r="M20" s="36"/>
      <c r="N20" s="53"/>
      <c r="O20" s="52"/>
      <c r="P20" s="36"/>
      <c r="Q20" s="53"/>
      <c r="R20" s="52"/>
      <c r="S20" s="36"/>
      <c r="T20" s="53"/>
      <c r="U20" s="52"/>
      <c r="V20" s="36"/>
      <c r="W20" s="53"/>
      <c r="X20" s="52"/>
      <c r="Y20" s="36"/>
      <c r="Z20" s="53"/>
      <c r="AA20" s="52"/>
      <c r="AB20" s="36"/>
      <c r="AC20" s="167"/>
      <c r="AD20" s="52"/>
      <c r="AE20" s="36"/>
      <c r="AF20" s="53"/>
      <c r="AG20" s="52"/>
      <c r="AH20" s="36"/>
      <c r="AI20" s="53"/>
      <c r="AJ20" s="52"/>
      <c r="AK20" s="36"/>
      <c r="AL20" s="53"/>
      <c r="AM20" s="52"/>
      <c r="AN20" s="36"/>
      <c r="AO20" s="53"/>
      <c r="AP20" s="52"/>
      <c r="AQ20" s="36"/>
      <c r="AR20" s="53"/>
      <c r="AS20" s="52"/>
      <c r="AT20" s="36"/>
      <c r="AU20" s="53"/>
      <c r="AV20" s="52"/>
      <c r="AW20" s="36"/>
      <c r="AX20" s="75"/>
    </row>
    <row r="21" spans="1:50" x14ac:dyDescent="0.25">
      <c r="A21" s="28">
        <v>29</v>
      </c>
      <c r="B21" s="148" t="s">
        <v>275</v>
      </c>
      <c r="C21" s="58">
        <f t="shared" si="4"/>
        <v>1</v>
      </c>
      <c r="D21" s="58">
        <f t="shared" si="5"/>
        <v>0</v>
      </c>
      <c r="E21" s="58">
        <f t="shared" si="6"/>
        <v>0</v>
      </c>
      <c r="F21" s="52">
        <v>1</v>
      </c>
      <c r="G21" s="36"/>
      <c r="H21" s="53"/>
      <c r="I21" s="52"/>
      <c r="J21" s="36"/>
      <c r="K21" s="53"/>
      <c r="L21" s="52"/>
      <c r="M21" s="36"/>
      <c r="N21" s="53"/>
      <c r="O21" s="52"/>
      <c r="P21" s="36"/>
      <c r="Q21" s="53"/>
      <c r="R21" s="52"/>
      <c r="S21" s="36"/>
      <c r="T21" s="53"/>
      <c r="U21" s="52"/>
      <c r="V21" s="36"/>
      <c r="W21" s="53"/>
      <c r="X21" s="52"/>
      <c r="Y21" s="36"/>
      <c r="Z21" s="53"/>
      <c r="AA21" s="52"/>
      <c r="AB21" s="36"/>
      <c r="AC21" s="167"/>
      <c r="AD21" s="52"/>
      <c r="AE21" s="36"/>
      <c r="AF21" s="53"/>
      <c r="AG21" s="52"/>
      <c r="AH21" s="36"/>
      <c r="AI21" s="53"/>
      <c r="AJ21" s="52"/>
      <c r="AK21" s="36"/>
      <c r="AL21" s="53"/>
      <c r="AM21" s="52"/>
      <c r="AN21" s="36"/>
      <c r="AO21" s="53"/>
      <c r="AP21" s="52"/>
      <c r="AQ21" s="36"/>
      <c r="AR21" s="53"/>
      <c r="AS21" s="52"/>
      <c r="AT21" s="36"/>
      <c r="AU21" s="53"/>
      <c r="AV21" s="52"/>
      <c r="AW21" s="36"/>
      <c r="AX21" s="75"/>
    </row>
    <row r="22" spans="1:50" x14ac:dyDescent="0.25">
      <c r="A22" s="28">
        <v>30</v>
      </c>
      <c r="B22" s="148" t="s">
        <v>344</v>
      </c>
      <c r="C22" s="58">
        <f t="shared" si="4"/>
        <v>0</v>
      </c>
      <c r="D22" s="58">
        <f t="shared" si="5"/>
        <v>0</v>
      </c>
      <c r="E22" s="58">
        <f t="shared" si="6"/>
        <v>0</v>
      </c>
      <c r="F22" s="52"/>
      <c r="G22" s="36"/>
      <c r="H22" s="53"/>
      <c r="I22" s="52"/>
      <c r="J22" s="36"/>
      <c r="K22" s="53"/>
      <c r="L22" s="52"/>
      <c r="M22" s="36"/>
      <c r="N22" s="53"/>
      <c r="O22" s="52"/>
      <c r="P22" s="36"/>
      <c r="Q22" s="53"/>
      <c r="R22" s="52"/>
      <c r="S22" s="36"/>
      <c r="T22" s="53"/>
      <c r="U22" s="52"/>
      <c r="V22" s="36"/>
      <c r="W22" s="53"/>
      <c r="X22" s="52"/>
      <c r="Y22" s="36"/>
      <c r="Z22" s="53"/>
      <c r="AA22" s="52"/>
      <c r="AB22" s="36"/>
      <c r="AC22" s="167"/>
      <c r="AD22" s="52"/>
      <c r="AE22" s="36"/>
      <c r="AF22" s="53"/>
      <c r="AG22" s="52"/>
      <c r="AH22" s="36"/>
      <c r="AI22" s="53"/>
      <c r="AJ22" s="52"/>
      <c r="AK22" s="36"/>
      <c r="AL22" s="53"/>
      <c r="AM22" s="52"/>
      <c r="AN22" s="36"/>
      <c r="AO22" s="53"/>
      <c r="AP22" s="52"/>
      <c r="AQ22" s="36"/>
      <c r="AR22" s="53"/>
      <c r="AS22" s="52"/>
      <c r="AT22" s="36"/>
      <c r="AU22" s="53"/>
      <c r="AV22" s="52"/>
      <c r="AW22" s="36"/>
      <c r="AX22" s="75"/>
    </row>
    <row r="23" spans="1:50" x14ac:dyDescent="0.25">
      <c r="A23" s="28">
        <v>33</v>
      </c>
      <c r="B23" s="148" t="s">
        <v>291</v>
      </c>
      <c r="C23" s="58">
        <f t="shared" si="4"/>
        <v>0</v>
      </c>
      <c r="D23" s="58">
        <f t="shared" si="5"/>
        <v>0</v>
      </c>
      <c r="E23" s="58">
        <f t="shared" si="6"/>
        <v>0</v>
      </c>
      <c r="F23" s="52"/>
      <c r="G23" s="36"/>
      <c r="H23" s="53"/>
      <c r="I23" s="52"/>
      <c r="J23" s="36"/>
      <c r="K23" s="53"/>
      <c r="L23" s="52"/>
      <c r="M23" s="36"/>
      <c r="N23" s="53"/>
      <c r="O23" s="52"/>
      <c r="P23" s="36"/>
      <c r="Q23" s="53"/>
      <c r="R23" s="52"/>
      <c r="S23" s="36"/>
      <c r="T23" s="53"/>
      <c r="U23" s="52"/>
      <c r="V23" s="36"/>
      <c r="W23" s="53"/>
      <c r="X23" s="52"/>
      <c r="Y23" s="36"/>
      <c r="Z23" s="53"/>
      <c r="AA23" s="52"/>
      <c r="AB23" s="36"/>
      <c r="AC23" s="167"/>
      <c r="AD23" s="52"/>
      <c r="AE23" s="36"/>
      <c r="AF23" s="53"/>
      <c r="AG23" s="52"/>
      <c r="AH23" s="36"/>
      <c r="AI23" s="53"/>
      <c r="AJ23" s="52"/>
      <c r="AK23" s="36"/>
      <c r="AL23" s="53"/>
      <c r="AM23" s="52"/>
      <c r="AN23" s="36"/>
      <c r="AO23" s="53"/>
      <c r="AP23" s="52"/>
      <c r="AQ23" s="36"/>
      <c r="AR23" s="53"/>
      <c r="AS23" s="52"/>
      <c r="AT23" s="36"/>
      <c r="AU23" s="53"/>
      <c r="AV23" s="52"/>
      <c r="AW23" s="36"/>
      <c r="AX23" s="75"/>
    </row>
    <row r="24" spans="1:50" x14ac:dyDescent="0.25">
      <c r="A24" s="28">
        <v>35</v>
      </c>
      <c r="B24" s="148" t="s">
        <v>303</v>
      </c>
      <c r="C24" s="58">
        <f t="shared" si="4"/>
        <v>0</v>
      </c>
      <c r="D24" s="58">
        <f t="shared" si="5"/>
        <v>0</v>
      </c>
      <c r="E24" s="58">
        <f t="shared" si="6"/>
        <v>0</v>
      </c>
      <c r="F24" s="52"/>
      <c r="G24" s="36"/>
      <c r="H24" s="53"/>
      <c r="I24" s="52"/>
      <c r="J24" s="36"/>
      <c r="K24" s="53"/>
      <c r="L24" s="52"/>
      <c r="M24" s="36"/>
      <c r="N24" s="53"/>
      <c r="O24" s="52"/>
      <c r="P24" s="36"/>
      <c r="Q24" s="53"/>
      <c r="R24" s="52"/>
      <c r="S24" s="36"/>
      <c r="T24" s="53"/>
      <c r="U24" s="52"/>
      <c r="V24" s="36"/>
      <c r="W24" s="53"/>
      <c r="X24" s="52"/>
      <c r="Y24" s="36"/>
      <c r="Z24" s="53"/>
      <c r="AA24" s="52"/>
      <c r="AB24" s="36"/>
      <c r="AC24" s="167"/>
      <c r="AD24" s="52"/>
      <c r="AE24" s="36"/>
      <c r="AF24" s="53"/>
      <c r="AG24" s="52"/>
      <c r="AH24" s="36"/>
      <c r="AI24" s="53"/>
      <c r="AJ24" s="52"/>
      <c r="AK24" s="36"/>
      <c r="AL24" s="53"/>
      <c r="AM24" s="52"/>
      <c r="AN24" s="36"/>
      <c r="AO24" s="53"/>
      <c r="AP24" s="52"/>
      <c r="AQ24" s="36"/>
      <c r="AR24" s="53"/>
      <c r="AS24" s="52"/>
      <c r="AT24" s="36"/>
      <c r="AU24" s="53"/>
      <c r="AV24" s="52"/>
      <c r="AW24" s="36"/>
      <c r="AX24" s="75"/>
    </row>
    <row r="25" spans="1:50" x14ac:dyDescent="0.25">
      <c r="A25" s="28">
        <v>36</v>
      </c>
      <c r="B25" s="148" t="s">
        <v>313</v>
      </c>
      <c r="C25" s="58">
        <f t="shared" si="4"/>
        <v>1</v>
      </c>
      <c r="D25" s="58">
        <f t="shared" si="5"/>
        <v>0</v>
      </c>
      <c r="E25" s="58">
        <f t="shared" si="6"/>
        <v>0</v>
      </c>
      <c r="F25" s="52">
        <v>1</v>
      </c>
      <c r="G25" s="36"/>
      <c r="H25" s="53"/>
      <c r="I25" s="52"/>
      <c r="J25" s="36"/>
      <c r="K25" s="53"/>
      <c r="L25" s="52"/>
      <c r="M25" s="36"/>
      <c r="N25" s="53"/>
      <c r="O25" s="52"/>
      <c r="P25" s="36"/>
      <c r="Q25" s="53"/>
      <c r="R25" s="52"/>
      <c r="S25" s="36"/>
      <c r="T25" s="53"/>
      <c r="U25" s="52"/>
      <c r="V25" s="36"/>
      <c r="W25" s="53"/>
      <c r="X25" s="52"/>
      <c r="Y25" s="36"/>
      <c r="Z25" s="53"/>
      <c r="AA25" s="52"/>
      <c r="AB25" s="36"/>
      <c r="AC25" s="167"/>
      <c r="AD25" s="52"/>
      <c r="AE25" s="36"/>
      <c r="AF25" s="53"/>
      <c r="AG25" s="52"/>
      <c r="AH25" s="36"/>
      <c r="AI25" s="53"/>
      <c r="AJ25" s="52"/>
      <c r="AK25" s="36"/>
      <c r="AL25" s="53"/>
      <c r="AM25" s="52"/>
      <c r="AN25" s="36"/>
      <c r="AO25" s="53"/>
      <c r="AP25" s="52"/>
      <c r="AQ25" s="36"/>
      <c r="AR25" s="53"/>
      <c r="AS25" s="52"/>
      <c r="AT25" s="36"/>
      <c r="AU25" s="53"/>
      <c r="AV25" s="52"/>
      <c r="AW25" s="36"/>
      <c r="AX25" s="75"/>
    </row>
    <row r="26" spans="1:50" x14ac:dyDescent="0.25">
      <c r="A26" s="28">
        <v>39</v>
      </c>
      <c r="B26" s="148" t="s">
        <v>345</v>
      </c>
      <c r="C26" s="58">
        <f t="shared" si="4"/>
        <v>1</v>
      </c>
      <c r="D26" s="58">
        <f t="shared" si="5"/>
        <v>0</v>
      </c>
      <c r="E26" s="58">
        <f t="shared" si="6"/>
        <v>0</v>
      </c>
      <c r="F26" s="52">
        <v>1</v>
      </c>
      <c r="G26" s="36"/>
      <c r="H26" s="53"/>
      <c r="I26" s="52"/>
      <c r="J26" s="36"/>
      <c r="K26" s="53"/>
      <c r="L26" s="52"/>
      <c r="M26" s="36"/>
      <c r="N26" s="53"/>
      <c r="O26" s="52"/>
      <c r="P26" s="36"/>
      <c r="Q26" s="53"/>
      <c r="R26" s="52"/>
      <c r="S26" s="36"/>
      <c r="T26" s="53"/>
      <c r="U26" s="52"/>
      <c r="V26" s="36"/>
      <c r="W26" s="53"/>
      <c r="X26" s="52"/>
      <c r="Y26" s="36"/>
      <c r="Z26" s="53"/>
      <c r="AA26" s="52"/>
      <c r="AB26" s="36"/>
      <c r="AC26" s="167"/>
      <c r="AD26" s="52"/>
      <c r="AE26" s="36"/>
      <c r="AF26" s="53"/>
      <c r="AG26" s="52"/>
      <c r="AH26" s="36"/>
      <c r="AI26" s="53"/>
      <c r="AJ26" s="52"/>
      <c r="AK26" s="36"/>
      <c r="AL26" s="53"/>
      <c r="AM26" s="52"/>
      <c r="AN26" s="36"/>
      <c r="AO26" s="53"/>
      <c r="AP26" s="52"/>
      <c r="AQ26" s="36"/>
      <c r="AR26" s="53"/>
      <c r="AS26" s="52"/>
      <c r="AT26" s="36"/>
      <c r="AU26" s="53"/>
      <c r="AV26" s="52"/>
      <c r="AW26" s="36"/>
      <c r="AX26" s="75"/>
    </row>
    <row r="27" spans="1:50" x14ac:dyDescent="0.25">
      <c r="A27" s="27">
        <v>40</v>
      </c>
      <c r="B27" s="149" t="s">
        <v>341</v>
      </c>
      <c r="C27" s="58">
        <f>SUM(F27,I27,L27,O27,R27,X27,AA27,AD27,U27,AG27,AJ27,AM27,AP27,AS27,AV27)</f>
        <v>0</v>
      </c>
      <c r="D27" s="58">
        <f>SUM(G27,J27,M27,P27,S27,Y27,AB27,AE27,V27,AH27,AK27,AN27,AQ27,AT27,AW27)</f>
        <v>0</v>
      </c>
      <c r="E27" s="58">
        <f>SUM(H27,K27,N27,Q27,T27,Z27,AC27,AF27,W27,AI27,AL27,AO27,AR27,AU27,AX27)</f>
        <v>0</v>
      </c>
      <c r="F27" s="49"/>
      <c r="G27" s="165"/>
      <c r="H27" s="50"/>
      <c r="I27" s="49"/>
      <c r="J27" s="165"/>
      <c r="K27" s="50"/>
      <c r="L27" s="49"/>
      <c r="M27" s="165"/>
      <c r="N27" s="50"/>
      <c r="O27" s="49"/>
      <c r="P27" s="165"/>
      <c r="Q27" s="50"/>
      <c r="R27" s="49"/>
      <c r="S27" s="165"/>
      <c r="T27" s="50"/>
      <c r="U27" s="49"/>
      <c r="V27" s="165"/>
      <c r="W27" s="50"/>
      <c r="X27" s="49"/>
      <c r="Y27" s="165"/>
      <c r="Z27" s="50"/>
      <c r="AA27" s="49"/>
      <c r="AB27" s="165"/>
      <c r="AC27" s="168"/>
      <c r="AD27" s="49"/>
      <c r="AE27" s="165"/>
      <c r="AF27" s="50"/>
      <c r="AG27" s="49"/>
      <c r="AH27" s="165"/>
      <c r="AI27" s="50"/>
      <c r="AJ27" s="49"/>
      <c r="AK27" s="165"/>
      <c r="AL27" s="50"/>
      <c r="AM27" s="49"/>
      <c r="AN27" s="165"/>
      <c r="AO27" s="50"/>
      <c r="AP27" s="49"/>
      <c r="AQ27" s="165"/>
      <c r="AR27" s="50"/>
      <c r="AS27" s="49"/>
      <c r="AT27" s="165"/>
      <c r="AU27" s="50"/>
      <c r="AV27" s="49"/>
      <c r="AW27" s="165"/>
      <c r="AX27" s="75"/>
    </row>
    <row r="28" spans="1:50" x14ac:dyDescent="0.25">
      <c r="A28" s="27">
        <v>41</v>
      </c>
      <c r="B28" s="35" t="s">
        <v>277</v>
      </c>
      <c r="C28" s="58">
        <f t="shared" si="4"/>
        <v>1</v>
      </c>
      <c r="D28" s="58">
        <f t="shared" si="5"/>
        <v>0</v>
      </c>
      <c r="E28" s="58">
        <f t="shared" si="6"/>
        <v>0</v>
      </c>
      <c r="F28" s="52">
        <v>1</v>
      </c>
      <c r="G28" s="36"/>
      <c r="H28" s="53"/>
      <c r="I28" s="52"/>
      <c r="J28" s="36"/>
      <c r="K28" s="53"/>
      <c r="L28" s="52"/>
      <c r="M28" s="36"/>
      <c r="N28" s="53"/>
      <c r="O28" s="52"/>
      <c r="P28" s="36"/>
      <c r="Q28" s="53"/>
      <c r="R28" s="52"/>
      <c r="S28" s="36"/>
      <c r="T28" s="53"/>
      <c r="U28" s="52"/>
      <c r="V28" s="36"/>
      <c r="W28" s="53"/>
      <c r="X28" s="52"/>
      <c r="Y28" s="36"/>
      <c r="Z28" s="53"/>
      <c r="AA28" s="52"/>
      <c r="AB28" s="36"/>
      <c r="AC28" s="167"/>
      <c r="AD28" s="52"/>
      <c r="AE28" s="36"/>
      <c r="AF28" s="53"/>
      <c r="AG28" s="52"/>
      <c r="AH28" s="36"/>
      <c r="AI28" s="53"/>
      <c r="AJ28" s="52"/>
      <c r="AK28" s="36"/>
      <c r="AL28" s="53"/>
      <c r="AM28" s="52"/>
      <c r="AN28" s="36"/>
      <c r="AO28" s="53"/>
      <c r="AP28" s="52"/>
      <c r="AQ28" s="36"/>
      <c r="AR28" s="53"/>
      <c r="AS28" s="52"/>
      <c r="AT28" s="36"/>
      <c r="AU28" s="53"/>
      <c r="AV28" s="52"/>
      <c r="AW28" s="36"/>
      <c r="AX28" s="75"/>
    </row>
    <row r="29" spans="1:50" x14ac:dyDescent="0.25">
      <c r="A29" s="56">
        <v>43</v>
      </c>
      <c r="B29" s="148" t="s">
        <v>327</v>
      </c>
      <c r="C29" s="58">
        <f t="shared" ref="C29:E30" si="7">SUM(F29,I29,L29,O29,R29,X29,AA29,AD29,U29,AG29,AJ29,AM29,AP29,AS29,AV29)</f>
        <v>0</v>
      </c>
      <c r="D29" s="58">
        <f t="shared" si="7"/>
        <v>0</v>
      </c>
      <c r="E29" s="58">
        <f t="shared" si="7"/>
        <v>0</v>
      </c>
      <c r="F29" s="49"/>
      <c r="G29" s="165"/>
      <c r="H29" s="50"/>
      <c r="I29" s="49"/>
      <c r="J29" s="165"/>
      <c r="K29" s="50"/>
      <c r="L29" s="49"/>
      <c r="M29" s="165"/>
      <c r="N29" s="50"/>
      <c r="O29" s="49"/>
      <c r="P29" s="165"/>
      <c r="Q29" s="50"/>
      <c r="R29" s="49"/>
      <c r="S29" s="165"/>
      <c r="T29" s="50"/>
      <c r="U29" s="49"/>
      <c r="V29" s="165"/>
      <c r="W29" s="50"/>
      <c r="X29" s="49"/>
      <c r="Y29" s="165"/>
      <c r="Z29" s="50"/>
      <c r="AA29" s="49"/>
      <c r="AB29" s="165"/>
      <c r="AC29" s="168"/>
      <c r="AD29" s="49"/>
      <c r="AE29" s="165"/>
      <c r="AF29" s="50"/>
      <c r="AG29" s="49"/>
      <c r="AH29" s="165"/>
      <c r="AI29" s="50"/>
      <c r="AJ29" s="49"/>
      <c r="AK29" s="165"/>
      <c r="AL29" s="50"/>
      <c r="AM29" s="49"/>
      <c r="AN29" s="165"/>
      <c r="AO29" s="50"/>
      <c r="AP29" s="49"/>
      <c r="AQ29" s="165"/>
      <c r="AR29" s="50"/>
      <c r="AS29" s="49"/>
      <c r="AT29" s="165"/>
      <c r="AU29" s="50"/>
      <c r="AV29" s="49"/>
      <c r="AW29" s="165"/>
      <c r="AX29" s="75"/>
    </row>
    <row r="30" spans="1:50" x14ac:dyDescent="0.25">
      <c r="A30" s="28">
        <v>44</v>
      </c>
      <c r="B30" s="148" t="s">
        <v>338</v>
      </c>
      <c r="C30" s="58">
        <f t="shared" si="7"/>
        <v>0</v>
      </c>
      <c r="D30" s="58">
        <f t="shared" si="7"/>
        <v>0</v>
      </c>
      <c r="E30" s="58">
        <f t="shared" si="7"/>
        <v>0</v>
      </c>
      <c r="F30" s="49"/>
      <c r="G30" s="165"/>
      <c r="H30" s="50"/>
      <c r="I30" s="49"/>
      <c r="J30" s="165"/>
      <c r="K30" s="50"/>
      <c r="L30" s="49"/>
      <c r="M30" s="165"/>
      <c r="N30" s="50"/>
      <c r="O30" s="49"/>
      <c r="P30" s="165"/>
      <c r="Q30" s="50"/>
      <c r="R30" s="49"/>
      <c r="S30" s="165"/>
      <c r="T30" s="50"/>
      <c r="U30" s="49"/>
      <c r="V30" s="165"/>
      <c r="W30" s="50"/>
      <c r="X30" s="49"/>
      <c r="Y30" s="165"/>
      <c r="Z30" s="50"/>
      <c r="AA30" s="49"/>
      <c r="AB30" s="165"/>
      <c r="AC30" s="168"/>
      <c r="AD30" s="49"/>
      <c r="AE30" s="165"/>
      <c r="AF30" s="50"/>
      <c r="AG30" s="49"/>
      <c r="AH30" s="165"/>
      <c r="AI30" s="50"/>
      <c r="AJ30" s="49"/>
      <c r="AK30" s="165"/>
      <c r="AL30" s="50"/>
      <c r="AM30" s="49"/>
      <c r="AN30" s="165"/>
      <c r="AO30" s="50"/>
      <c r="AP30" s="49"/>
      <c r="AQ30" s="165"/>
      <c r="AR30" s="50"/>
      <c r="AS30" s="49"/>
      <c r="AT30" s="165"/>
      <c r="AU30" s="50"/>
      <c r="AV30" s="49"/>
      <c r="AW30" s="165"/>
      <c r="AX30" s="75"/>
    </row>
    <row r="31" spans="1:50" x14ac:dyDescent="0.25">
      <c r="A31" s="28">
        <v>45</v>
      </c>
      <c r="B31" s="148" t="s">
        <v>468</v>
      </c>
      <c r="C31" s="58">
        <f t="shared" ref="C31:C38" si="8">SUM(F31,I31,L31,O31,R31,X31,AA31,AD31,U31,AG31,AJ31,AM31,AP31,AS31,AV31)</f>
        <v>0</v>
      </c>
      <c r="D31" s="58">
        <f t="shared" ref="D31:D38" si="9">SUM(G31,J31,M31,P31,S31,Y31,AB31,AE31,V31,AH31,AK31,AN31,AQ31,AT31,AW31)</f>
        <v>0</v>
      </c>
      <c r="E31" s="58">
        <f t="shared" ref="E31:E38" si="10">SUM(H31,K31,N31,Q31,T31,Z31,AC31,AF31,W31,AI31,AL31,AO31,AR31,AU31,AX31)</f>
        <v>0</v>
      </c>
      <c r="F31" s="49"/>
      <c r="G31" s="165"/>
      <c r="H31" s="50"/>
      <c r="I31" s="49"/>
      <c r="J31" s="165"/>
      <c r="K31" s="50"/>
      <c r="L31" s="49"/>
      <c r="M31" s="165"/>
      <c r="N31" s="50"/>
      <c r="O31" s="49"/>
      <c r="P31" s="165"/>
      <c r="Q31" s="50"/>
      <c r="R31" s="49"/>
      <c r="S31" s="165"/>
      <c r="T31" s="50"/>
      <c r="U31" s="49"/>
      <c r="V31" s="165"/>
      <c r="W31" s="50"/>
      <c r="X31" s="49"/>
      <c r="Y31" s="165"/>
      <c r="Z31" s="50"/>
      <c r="AA31" s="49"/>
      <c r="AB31" s="165"/>
      <c r="AC31" s="168"/>
      <c r="AD31" s="49"/>
      <c r="AE31" s="165"/>
      <c r="AF31" s="50"/>
      <c r="AG31" s="49"/>
      <c r="AH31" s="165"/>
      <c r="AI31" s="50"/>
      <c r="AJ31" s="49"/>
      <c r="AK31" s="165"/>
      <c r="AL31" s="50"/>
      <c r="AM31" s="49"/>
      <c r="AN31" s="165"/>
      <c r="AO31" s="50"/>
      <c r="AP31" s="49"/>
      <c r="AQ31" s="165"/>
      <c r="AR31" s="50"/>
      <c r="AS31" s="49"/>
      <c r="AT31" s="165"/>
      <c r="AU31" s="50"/>
      <c r="AV31" s="49"/>
      <c r="AW31" s="165"/>
      <c r="AX31" s="75"/>
    </row>
    <row r="32" spans="1:50" x14ac:dyDescent="0.25">
      <c r="A32" s="27">
        <v>46</v>
      </c>
      <c r="B32" s="34" t="s">
        <v>298</v>
      </c>
      <c r="C32" s="58">
        <f t="shared" si="8"/>
        <v>0</v>
      </c>
      <c r="D32" s="58">
        <f t="shared" si="9"/>
        <v>0</v>
      </c>
      <c r="E32" s="58">
        <f t="shared" si="10"/>
        <v>0</v>
      </c>
      <c r="F32" s="52"/>
      <c r="G32" s="36"/>
      <c r="H32" s="53"/>
      <c r="I32" s="52"/>
      <c r="J32" s="36"/>
      <c r="K32" s="53"/>
      <c r="L32" s="52"/>
      <c r="M32" s="36"/>
      <c r="N32" s="53"/>
      <c r="O32" s="52"/>
      <c r="P32" s="36"/>
      <c r="Q32" s="53"/>
      <c r="R32" s="52"/>
      <c r="S32" s="36"/>
      <c r="T32" s="53"/>
      <c r="U32" s="52"/>
      <c r="V32" s="36"/>
      <c r="W32" s="53"/>
      <c r="X32" s="52"/>
      <c r="Y32" s="36"/>
      <c r="Z32" s="53"/>
      <c r="AA32" s="52"/>
      <c r="AB32" s="36"/>
      <c r="AC32" s="167"/>
      <c r="AD32" s="52"/>
      <c r="AE32" s="36"/>
      <c r="AF32" s="53"/>
      <c r="AG32" s="52"/>
      <c r="AH32" s="36"/>
      <c r="AI32" s="53"/>
      <c r="AJ32" s="52"/>
      <c r="AK32" s="36"/>
      <c r="AL32" s="53"/>
      <c r="AM32" s="52"/>
      <c r="AN32" s="36"/>
      <c r="AO32" s="53"/>
      <c r="AP32" s="52"/>
      <c r="AQ32" s="36"/>
      <c r="AR32" s="53"/>
      <c r="AS32" s="52"/>
      <c r="AT32" s="36"/>
      <c r="AU32" s="53"/>
      <c r="AV32" s="52"/>
      <c r="AW32" s="36"/>
      <c r="AX32" s="75"/>
    </row>
    <row r="33" spans="1:50" x14ac:dyDescent="0.25">
      <c r="A33" s="27">
        <v>49</v>
      </c>
      <c r="B33" s="35" t="s">
        <v>297</v>
      </c>
      <c r="C33" s="58">
        <f t="shared" si="8"/>
        <v>0</v>
      </c>
      <c r="D33" s="58">
        <f t="shared" si="9"/>
        <v>0</v>
      </c>
      <c r="E33" s="58">
        <f t="shared" si="10"/>
        <v>0</v>
      </c>
      <c r="F33" s="49"/>
      <c r="G33" s="165"/>
      <c r="H33" s="50"/>
      <c r="I33" s="49"/>
      <c r="J33" s="165"/>
      <c r="K33" s="50"/>
      <c r="L33" s="49"/>
      <c r="M33" s="165"/>
      <c r="N33" s="50"/>
      <c r="O33" s="49"/>
      <c r="P33" s="165"/>
      <c r="Q33" s="50"/>
      <c r="R33" s="49"/>
      <c r="S33" s="165"/>
      <c r="T33" s="50"/>
      <c r="U33" s="49"/>
      <c r="V33" s="165"/>
      <c r="W33" s="50"/>
      <c r="X33" s="49"/>
      <c r="Y33" s="165"/>
      <c r="Z33" s="50"/>
      <c r="AA33" s="49"/>
      <c r="AB33" s="165"/>
      <c r="AC33" s="168"/>
      <c r="AD33" s="49"/>
      <c r="AE33" s="165"/>
      <c r="AF33" s="50"/>
      <c r="AG33" s="49"/>
      <c r="AH33" s="165"/>
      <c r="AI33" s="50"/>
      <c r="AJ33" s="49"/>
      <c r="AK33" s="165"/>
      <c r="AL33" s="50"/>
      <c r="AM33" s="49"/>
      <c r="AN33" s="165"/>
      <c r="AO33" s="50"/>
      <c r="AP33" s="49"/>
      <c r="AQ33" s="165"/>
      <c r="AR33" s="50"/>
      <c r="AS33" s="49"/>
      <c r="AT33" s="165"/>
      <c r="AU33" s="50"/>
      <c r="AV33" s="49"/>
      <c r="AW33" s="165"/>
      <c r="AX33" s="75"/>
    </row>
    <row r="34" spans="1:50" x14ac:dyDescent="0.25">
      <c r="A34" s="28">
        <v>53</v>
      </c>
      <c r="B34" s="148" t="s">
        <v>292</v>
      </c>
      <c r="C34" s="58">
        <f t="shared" si="8"/>
        <v>0</v>
      </c>
      <c r="D34" s="58">
        <f t="shared" si="9"/>
        <v>0</v>
      </c>
      <c r="E34" s="58">
        <f t="shared" si="10"/>
        <v>0</v>
      </c>
      <c r="F34" s="49"/>
      <c r="G34" s="165"/>
      <c r="H34" s="50"/>
      <c r="I34" s="49"/>
      <c r="J34" s="165"/>
      <c r="K34" s="50"/>
      <c r="L34" s="49"/>
      <c r="M34" s="165"/>
      <c r="N34" s="50"/>
      <c r="O34" s="49"/>
      <c r="P34" s="165"/>
      <c r="Q34" s="50"/>
      <c r="R34" s="49"/>
      <c r="S34" s="165"/>
      <c r="T34" s="50"/>
      <c r="U34" s="49"/>
      <c r="V34" s="165"/>
      <c r="W34" s="50"/>
      <c r="X34" s="49"/>
      <c r="Y34" s="165"/>
      <c r="Z34" s="50"/>
      <c r="AA34" s="49"/>
      <c r="AB34" s="165"/>
      <c r="AC34" s="168"/>
      <c r="AD34" s="49"/>
      <c r="AE34" s="165"/>
      <c r="AF34" s="50"/>
      <c r="AG34" s="49"/>
      <c r="AH34" s="165"/>
      <c r="AI34" s="50"/>
      <c r="AJ34" s="49"/>
      <c r="AK34" s="165"/>
      <c r="AL34" s="50"/>
      <c r="AM34" s="49"/>
      <c r="AN34" s="165"/>
      <c r="AO34" s="50"/>
      <c r="AP34" s="49"/>
      <c r="AQ34" s="165"/>
      <c r="AR34" s="50"/>
      <c r="AS34" s="49"/>
      <c r="AT34" s="165"/>
      <c r="AU34" s="50"/>
      <c r="AV34" s="49"/>
      <c r="AW34" s="165"/>
      <c r="AX34" s="75"/>
    </row>
    <row r="35" spans="1:50" x14ac:dyDescent="0.25">
      <c r="A35" s="28">
        <v>55</v>
      </c>
      <c r="B35" s="37" t="s">
        <v>301</v>
      </c>
      <c r="C35" s="58">
        <f t="shared" si="8"/>
        <v>0</v>
      </c>
      <c r="D35" s="58">
        <f t="shared" si="9"/>
        <v>0</v>
      </c>
      <c r="E35" s="58">
        <f t="shared" si="10"/>
        <v>0</v>
      </c>
      <c r="F35" s="49"/>
      <c r="G35" s="165"/>
      <c r="H35" s="50"/>
      <c r="I35" s="49"/>
      <c r="J35" s="165"/>
      <c r="K35" s="50"/>
      <c r="L35" s="49"/>
      <c r="M35" s="165"/>
      <c r="N35" s="50"/>
      <c r="O35" s="49"/>
      <c r="P35" s="165"/>
      <c r="Q35" s="50"/>
      <c r="R35" s="49"/>
      <c r="S35" s="165"/>
      <c r="T35" s="50"/>
      <c r="U35" s="49"/>
      <c r="V35" s="165"/>
      <c r="W35" s="50"/>
      <c r="X35" s="49"/>
      <c r="Y35" s="165"/>
      <c r="Z35" s="50"/>
      <c r="AA35" s="49"/>
      <c r="AB35" s="165"/>
      <c r="AC35" s="168"/>
      <c r="AD35" s="49"/>
      <c r="AE35" s="165"/>
      <c r="AF35" s="50"/>
      <c r="AG35" s="49"/>
      <c r="AH35" s="165"/>
      <c r="AI35" s="50"/>
      <c r="AJ35" s="49"/>
      <c r="AK35" s="165"/>
      <c r="AL35" s="50"/>
      <c r="AM35" s="49"/>
      <c r="AN35" s="165"/>
      <c r="AO35" s="50"/>
      <c r="AP35" s="49"/>
      <c r="AQ35" s="165"/>
      <c r="AR35" s="50"/>
      <c r="AS35" s="49"/>
      <c r="AT35" s="165"/>
      <c r="AU35" s="50"/>
      <c r="AV35" s="49"/>
      <c r="AW35" s="165"/>
      <c r="AX35" s="75"/>
    </row>
    <row r="36" spans="1:50" x14ac:dyDescent="0.25">
      <c r="A36" s="27">
        <v>56</v>
      </c>
      <c r="B36" s="149" t="s">
        <v>322</v>
      </c>
      <c r="C36" s="58">
        <f t="shared" si="8"/>
        <v>0</v>
      </c>
      <c r="D36" s="58">
        <f t="shared" si="9"/>
        <v>0</v>
      </c>
      <c r="E36" s="58">
        <f t="shared" si="10"/>
        <v>0</v>
      </c>
      <c r="F36" s="49"/>
      <c r="G36" s="165"/>
      <c r="H36" s="50"/>
      <c r="I36" s="49"/>
      <c r="J36" s="165"/>
      <c r="K36" s="50"/>
      <c r="L36" s="49"/>
      <c r="M36" s="165"/>
      <c r="N36" s="50"/>
      <c r="O36" s="49"/>
      <c r="P36" s="165"/>
      <c r="Q36" s="50"/>
      <c r="R36" s="49"/>
      <c r="S36" s="165"/>
      <c r="T36" s="50"/>
      <c r="U36" s="49"/>
      <c r="V36" s="165"/>
      <c r="W36" s="50"/>
      <c r="X36" s="49"/>
      <c r="Y36" s="165"/>
      <c r="Z36" s="50"/>
      <c r="AA36" s="49"/>
      <c r="AB36" s="165"/>
      <c r="AC36" s="168"/>
      <c r="AD36" s="49"/>
      <c r="AE36" s="165"/>
      <c r="AF36" s="50"/>
      <c r="AG36" s="49"/>
      <c r="AH36" s="165"/>
      <c r="AI36" s="50"/>
      <c r="AJ36" s="49"/>
      <c r="AK36" s="165"/>
      <c r="AL36" s="50"/>
      <c r="AM36" s="49"/>
      <c r="AN36" s="165"/>
      <c r="AO36" s="50"/>
      <c r="AP36" s="49"/>
      <c r="AQ36" s="165"/>
      <c r="AR36" s="50"/>
      <c r="AS36" s="49"/>
      <c r="AT36" s="165"/>
      <c r="AU36" s="50"/>
      <c r="AV36" s="49"/>
      <c r="AW36" s="165"/>
      <c r="AX36" s="75"/>
    </row>
    <row r="37" spans="1:50" x14ac:dyDescent="0.25">
      <c r="A37" s="28">
        <v>71</v>
      </c>
      <c r="B37" s="148" t="s">
        <v>339</v>
      </c>
      <c r="C37" s="58">
        <f t="shared" si="8"/>
        <v>0</v>
      </c>
      <c r="D37" s="58">
        <f t="shared" si="9"/>
        <v>0</v>
      </c>
      <c r="E37" s="58">
        <f t="shared" si="10"/>
        <v>0</v>
      </c>
      <c r="F37" s="49"/>
      <c r="G37" s="165"/>
      <c r="H37" s="50"/>
      <c r="I37" s="49"/>
      <c r="J37" s="165"/>
      <c r="K37" s="50"/>
      <c r="L37" s="49"/>
      <c r="M37" s="165"/>
      <c r="N37" s="50"/>
      <c r="O37" s="49"/>
      <c r="P37" s="165"/>
      <c r="Q37" s="50"/>
      <c r="R37" s="49"/>
      <c r="S37" s="165"/>
      <c r="T37" s="50"/>
      <c r="U37" s="49"/>
      <c r="V37" s="165"/>
      <c r="W37" s="50"/>
      <c r="X37" s="49"/>
      <c r="Y37" s="165"/>
      <c r="Z37" s="50"/>
      <c r="AA37" s="49"/>
      <c r="AB37" s="165"/>
      <c r="AC37" s="168"/>
      <c r="AD37" s="49"/>
      <c r="AE37" s="165"/>
      <c r="AF37" s="50"/>
      <c r="AG37" s="49"/>
      <c r="AH37" s="165"/>
      <c r="AI37" s="50"/>
      <c r="AJ37" s="49"/>
      <c r="AK37" s="165"/>
      <c r="AL37" s="50"/>
      <c r="AM37" s="49"/>
      <c r="AN37" s="165"/>
      <c r="AO37" s="50"/>
      <c r="AP37" s="49"/>
      <c r="AQ37" s="165"/>
      <c r="AR37" s="50"/>
      <c r="AS37" s="49"/>
      <c r="AT37" s="165"/>
      <c r="AU37" s="50"/>
      <c r="AV37" s="49"/>
      <c r="AW37" s="165"/>
      <c r="AX37" s="75"/>
    </row>
    <row r="38" spans="1:50" x14ac:dyDescent="0.25">
      <c r="A38" s="28">
        <v>89</v>
      </c>
      <c r="B38" s="148" t="s">
        <v>333</v>
      </c>
      <c r="C38" s="58">
        <f t="shared" si="8"/>
        <v>0</v>
      </c>
      <c r="D38" s="58">
        <f t="shared" si="9"/>
        <v>0</v>
      </c>
      <c r="E38" s="58">
        <f t="shared" si="10"/>
        <v>0</v>
      </c>
      <c r="F38" s="49"/>
      <c r="G38" s="165"/>
      <c r="H38" s="50"/>
      <c r="I38" s="49"/>
      <c r="J38" s="165"/>
      <c r="K38" s="50"/>
      <c r="L38" s="49"/>
      <c r="M38" s="165"/>
      <c r="N38" s="50"/>
      <c r="O38" s="49"/>
      <c r="P38" s="165"/>
      <c r="Q38" s="50"/>
      <c r="R38" s="49"/>
      <c r="S38" s="165"/>
      <c r="T38" s="50"/>
      <c r="U38" s="49"/>
      <c r="V38" s="165"/>
      <c r="W38" s="50"/>
      <c r="X38" s="49"/>
      <c r="Y38" s="165"/>
      <c r="Z38" s="50"/>
      <c r="AA38" s="49"/>
      <c r="AB38" s="165"/>
      <c r="AC38" s="168"/>
      <c r="AD38" s="49"/>
      <c r="AE38" s="165"/>
      <c r="AF38" s="50"/>
      <c r="AG38" s="49"/>
      <c r="AH38" s="165"/>
      <c r="AI38" s="50"/>
      <c r="AJ38" s="49"/>
      <c r="AK38" s="165"/>
      <c r="AL38" s="50"/>
      <c r="AM38" s="49"/>
      <c r="AN38" s="165"/>
      <c r="AO38" s="50"/>
      <c r="AP38" s="49"/>
      <c r="AQ38" s="165"/>
      <c r="AR38" s="50"/>
      <c r="AS38" s="49"/>
      <c r="AT38" s="165"/>
      <c r="AU38" s="50"/>
      <c r="AV38" s="49"/>
      <c r="AW38" s="165"/>
      <c r="AX38" s="75"/>
    </row>
    <row r="39" spans="1:50" ht="15.75" thickBot="1" x14ac:dyDescent="0.3">
      <c r="F39" s="171">
        <f t="shared" ref="F39:AX39" si="11">SUM(F4:F38)</f>
        <v>16</v>
      </c>
      <c r="G39" s="172">
        <f t="shared" si="11"/>
        <v>1</v>
      </c>
      <c r="H39" s="173">
        <f t="shared" si="11"/>
        <v>1</v>
      </c>
      <c r="I39" s="171">
        <f t="shared" si="11"/>
        <v>0</v>
      </c>
      <c r="J39" s="172">
        <f t="shared" si="11"/>
        <v>0</v>
      </c>
      <c r="K39" s="173">
        <f t="shared" si="11"/>
        <v>0</v>
      </c>
      <c r="L39" s="171">
        <f t="shared" si="11"/>
        <v>0</v>
      </c>
      <c r="M39" s="172">
        <f t="shared" si="11"/>
        <v>0</v>
      </c>
      <c r="N39" s="173">
        <f t="shared" si="11"/>
        <v>0</v>
      </c>
      <c r="O39" s="171">
        <f t="shared" si="11"/>
        <v>0</v>
      </c>
      <c r="P39" s="172">
        <f t="shared" si="11"/>
        <v>0</v>
      </c>
      <c r="Q39" s="173">
        <f t="shared" si="11"/>
        <v>0</v>
      </c>
      <c r="R39" s="171">
        <f t="shared" si="11"/>
        <v>0</v>
      </c>
      <c r="S39" s="172">
        <f t="shared" si="11"/>
        <v>0</v>
      </c>
      <c r="T39" s="173">
        <f t="shared" si="11"/>
        <v>0</v>
      </c>
      <c r="U39" s="171">
        <f t="shared" si="11"/>
        <v>0</v>
      </c>
      <c r="V39" s="172">
        <f t="shared" si="11"/>
        <v>0</v>
      </c>
      <c r="W39" s="173">
        <f t="shared" si="11"/>
        <v>0</v>
      </c>
      <c r="X39" s="171">
        <f t="shared" si="11"/>
        <v>0</v>
      </c>
      <c r="Y39" s="172">
        <f t="shared" si="11"/>
        <v>0</v>
      </c>
      <c r="Z39" s="173">
        <f t="shared" si="11"/>
        <v>0</v>
      </c>
      <c r="AA39" s="171">
        <f t="shared" si="11"/>
        <v>0</v>
      </c>
      <c r="AB39" s="172">
        <f t="shared" si="11"/>
        <v>0</v>
      </c>
      <c r="AC39" s="174">
        <f t="shared" si="11"/>
        <v>0</v>
      </c>
      <c r="AD39" s="171">
        <f t="shared" si="11"/>
        <v>0</v>
      </c>
      <c r="AE39" s="172">
        <f t="shared" si="11"/>
        <v>0</v>
      </c>
      <c r="AF39" s="173">
        <f t="shared" si="11"/>
        <v>0</v>
      </c>
      <c r="AG39" s="171">
        <f t="shared" si="11"/>
        <v>0</v>
      </c>
      <c r="AH39" s="172">
        <f t="shared" si="11"/>
        <v>0</v>
      </c>
      <c r="AI39" s="173">
        <f t="shared" si="11"/>
        <v>0</v>
      </c>
      <c r="AJ39" s="171">
        <f t="shared" si="11"/>
        <v>0</v>
      </c>
      <c r="AK39" s="172">
        <f t="shared" si="11"/>
        <v>0</v>
      </c>
      <c r="AL39" s="173">
        <f t="shared" si="11"/>
        <v>0</v>
      </c>
      <c r="AM39" s="171">
        <f t="shared" si="11"/>
        <v>0</v>
      </c>
      <c r="AN39" s="172">
        <f t="shared" si="11"/>
        <v>0</v>
      </c>
      <c r="AO39" s="173">
        <f t="shared" si="11"/>
        <v>0</v>
      </c>
      <c r="AP39" s="171">
        <f t="shared" si="11"/>
        <v>0</v>
      </c>
      <c r="AQ39" s="172">
        <f t="shared" si="11"/>
        <v>0</v>
      </c>
      <c r="AR39" s="173">
        <f t="shared" si="11"/>
        <v>0</v>
      </c>
      <c r="AS39" s="171">
        <f t="shared" si="11"/>
        <v>0</v>
      </c>
      <c r="AT39" s="172">
        <f t="shared" si="11"/>
        <v>0</v>
      </c>
      <c r="AU39" s="173">
        <f t="shared" si="11"/>
        <v>0</v>
      </c>
      <c r="AV39" s="171">
        <f t="shared" si="11"/>
        <v>0</v>
      </c>
      <c r="AW39" s="172">
        <f t="shared" si="11"/>
        <v>0</v>
      </c>
      <c r="AX39" s="173">
        <f t="shared" si="11"/>
        <v>0</v>
      </c>
    </row>
  </sheetData>
  <mergeCells count="23">
    <mergeCell ref="AJ1:AO1"/>
    <mergeCell ref="AP1:AU1"/>
    <mergeCell ref="AV1:AX1"/>
    <mergeCell ref="C1:C3"/>
    <mergeCell ref="D1:D3"/>
    <mergeCell ref="E1:E3"/>
    <mergeCell ref="AD2:AF2"/>
    <mergeCell ref="AG2:AI2"/>
    <mergeCell ref="AJ2:AL2"/>
    <mergeCell ref="AM2:AO2"/>
    <mergeCell ref="AP2:AR2"/>
    <mergeCell ref="AS2:AU2"/>
    <mergeCell ref="AV2:AX2"/>
    <mergeCell ref="AD1:AI1"/>
    <mergeCell ref="F2:H2"/>
    <mergeCell ref="I2:K2"/>
    <mergeCell ref="L2:N2"/>
    <mergeCell ref="F1:AC1"/>
    <mergeCell ref="O2:Q2"/>
    <mergeCell ref="R2:T2"/>
    <mergeCell ref="U2:W2"/>
    <mergeCell ref="X2:Z2"/>
    <mergeCell ref="AA2:AC2"/>
  </mergeCells>
  <conditionalFormatting sqref="F4:AW32">
    <cfRule type="cellIs" dxfId="15" priority="1" operator="equal">
      <formula>1</formula>
    </cfRule>
  </conditionalFormatting>
  <conditionalFormatting sqref="F4:AW38">
    <cfRule type="cellIs" dxfId="14" priority="3" operator="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W39"/>
  <sheetViews>
    <sheetView zoomScale="85" zoomScaleNormal="85" zoomScalePageLayoutView="130" workbookViewId="0">
      <selection activeCell="AG26" sqref="AG26"/>
    </sheetView>
  </sheetViews>
  <sheetFormatPr defaultColWidth="4.140625" defaultRowHeight="15" x14ac:dyDescent="0.25"/>
  <cols>
    <col min="1" max="1" width="3.42578125" customWidth="1"/>
    <col min="2" max="2" width="25.7109375" customWidth="1"/>
    <col min="3" max="5" width="5.7109375" customWidth="1"/>
    <col min="6" max="6" width="4.7109375" customWidth="1"/>
    <col min="7" max="8" width="4.42578125" customWidth="1"/>
    <col min="9" max="9" width="4.7109375" bestFit="1" customWidth="1"/>
    <col min="12" max="12" width="4.7109375" bestFit="1" customWidth="1"/>
    <col min="26" max="26" width="8" bestFit="1" customWidth="1"/>
  </cols>
  <sheetData>
    <row r="1" spans="1:23" x14ac:dyDescent="0.25">
      <c r="C1" s="237" t="s">
        <v>396</v>
      </c>
      <c r="D1" s="237" t="s">
        <v>397</v>
      </c>
      <c r="E1" s="237" t="s">
        <v>398</v>
      </c>
      <c r="F1" s="267" t="s">
        <v>87</v>
      </c>
      <c r="G1" s="268"/>
      <c r="H1" s="269"/>
      <c r="I1" s="270" t="s">
        <v>88</v>
      </c>
      <c r="J1" s="271"/>
      <c r="K1" s="272"/>
      <c r="L1" s="274" t="s">
        <v>89</v>
      </c>
      <c r="M1" s="275"/>
      <c r="N1" s="276"/>
      <c r="O1" s="277" t="s">
        <v>199</v>
      </c>
      <c r="P1" s="278"/>
      <c r="Q1" s="279"/>
      <c r="R1" s="243" t="s">
        <v>200</v>
      </c>
      <c r="S1" s="244"/>
      <c r="T1" s="245"/>
      <c r="U1" s="246" t="s">
        <v>306</v>
      </c>
      <c r="V1" s="247"/>
      <c r="W1" s="248"/>
    </row>
    <row r="2" spans="1:23" x14ac:dyDescent="0.25">
      <c r="A2" s="3"/>
      <c r="B2" s="5"/>
      <c r="C2" s="238"/>
      <c r="D2" s="238"/>
      <c r="E2" s="238"/>
      <c r="F2" s="249"/>
      <c r="G2" s="250"/>
      <c r="H2" s="251"/>
      <c r="I2" s="264"/>
      <c r="J2" s="265"/>
      <c r="K2" s="266"/>
      <c r="L2" s="261"/>
      <c r="M2" s="262"/>
      <c r="N2" s="263"/>
      <c r="O2" s="258"/>
      <c r="P2" s="259"/>
      <c r="Q2" s="260"/>
      <c r="R2" s="255"/>
      <c r="S2" s="256"/>
      <c r="T2" s="257"/>
      <c r="U2" s="252"/>
      <c r="V2" s="253"/>
      <c r="W2" s="254"/>
    </row>
    <row r="3" spans="1:23" ht="15.75" thickBot="1" x14ac:dyDescent="0.3">
      <c r="A3" s="3" t="s">
        <v>48</v>
      </c>
      <c r="B3" s="17" t="s">
        <v>1</v>
      </c>
      <c r="C3" s="273"/>
      <c r="D3" s="273"/>
      <c r="E3" s="273"/>
      <c r="F3" s="188" t="s">
        <v>393</v>
      </c>
      <c r="G3" s="177" t="s">
        <v>394</v>
      </c>
      <c r="H3" s="189" t="s">
        <v>395</v>
      </c>
      <c r="I3" s="186" t="s">
        <v>393</v>
      </c>
      <c r="J3" s="37" t="s">
        <v>394</v>
      </c>
      <c r="K3" s="187" t="s">
        <v>395</v>
      </c>
      <c r="L3" s="184" t="s">
        <v>393</v>
      </c>
      <c r="M3" s="178" t="s">
        <v>394</v>
      </c>
      <c r="N3" s="185" t="s">
        <v>395</v>
      </c>
      <c r="O3" s="182" t="s">
        <v>393</v>
      </c>
      <c r="P3" s="179" t="s">
        <v>394</v>
      </c>
      <c r="Q3" s="183" t="s">
        <v>395</v>
      </c>
      <c r="R3" s="169" t="s">
        <v>393</v>
      </c>
      <c r="S3" s="164" t="s">
        <v>394</v>
      </c>
      <c r="T3" s="170" t="s">
        <v>395</v>
      </c>
      <c r="U3" s="180" t="s">
        <v>393</v>
      </c>
      <c r="V3" s="176" t="s">
        <v>394</v>
      </c>
      <c r="W3" s="181" t="s">
        <v>395</v>
      </c>
    </row>
    <row r="4" spans="1:23" x14ac:dyDescent="0.25">
      <c r="A4" s="27">
        <v>1</v>
      </c>
      <c r="B4" s="37" t="s">
        <v>278</v>
      </c>
      <c r="C4" s="190">
        <f>SUM(F4,I4,L4,O4,R4,U4)</f>
        <v>0</v>
      </c>
      <c r="D4" s="190">
        <f t="shared" ref="D4:E5" si="0">SUM(G4,J4,M4,P4,S4,V4)</f>
        <v>0</v>
      </c>
      <c r="E4" s="190">
        <f t="shared" si="0"/>
        <v>0</v>
      </c>
      <c r="F4" s="52"/>
      <c r="G4" s="36"/>
      <c r="H4" s="53"/>
      <c r="I4" s="52"/>
      <c r="J4" s="36"/>
      <c r="K4" s="53"/>
      <c r="L4" s="52"/>
      <c r="M4" s="36"/>
      <c r="N4" s="53"/>
      <c r="O4" s="52"/>
      <c r="P4" s="36"/>
      <c r="Q4" s="53"/>
      <c r="R4" s="52"/>
      <c r="S4" s="36"/>
      <c r="T4" s="53"/>
      <c r="U4" s="52"/>
      <c r="V4" s="36"/>
      <c r="W4" s="53"/>
    </row>
    <row r="5" spans="1:23" x14ac:dyDescent="0.25">
      <c r="A5" s="27">
        <v>2</v>
      </c>
      <c r="B5" s="35" t="s">
        <v>196</v>
      </c>
      <c r="C5" s="58">
        <f t="shared" ref="C5" si="1">SUM(F5,I5,L5,O5,R5,U5)</f>
        <v>0</v>
      </c>
      <c r="D5" s="58">
        <f t="shared" si="0"/>
        <v>0</v>
      </c>
      <c r="E5" s="58">
        <f t="shared" si="0"/>
        <v>0</v>
      </c>
      <c r="F5" s="52"/>
      <c r="G5" s="36"/>
      <c r="H5" s="53"/>
      <c r="I5" s="52"/>
      <c r="J5" s="36"/>
      <c r="K5" s="53"/>
      <c r="L5" s="52"/>
      <c r="M5" s="36"/>
      <c r="N5" s="53"/>
      <c r="O5" s="52"/>
      <c r="P5" s="36"/>
      <c r="Q5" s="53"/>
      <c r="R5" s="52"/>
      <c r="S5" s="36"/>
      <c r="T5" s="53"/>
      <c r="U5" s="52"/>
      <c r="V5" s="36"/>
      <c r="W5" s="53"/>
    </row>
    <row r="6" spans="1:23" x14ac:dyDescent="0.25">
      <c r="A6" s="27">
        <v>3</v>
      </c>
      <c r="B6" s="35" t="s">
        <v>316</v>
      </c>
      <c r="C6" s="58">
        <f t="shared" ref="C6:C28" si="2">SUM(F6,I6,L6,O6,R6,U6)</f>
        <v>0</v>
      </c>
      <c r="D6" s="58">
        <f t="shared" ref="D6:D28" si="3">SUM(G6,J6,M6,P6,S6,V6)</f>
        <v>0</v>
      </c>
      <c r="E6" s="58">
        <f t="shared" ref="E6:E28" si="4">SUM(H6,K6,N6,Q6,T6,W6)</f>
        <v>0</v>
      </c>
      <c r="F6" s="52"/>
      <c r="G6" s="36"/>
      <c r="H6" s="53"/>
      <c r="I6" s="52"/>
      <c r="J6" s="36"/>
      <c r="K6" s="53"/>
      <c r="L6" s="52"/>
      <c r="M6" s="36"/>
      <c r="N6" s="53"/>
      <c r="O6" s="52"/>
      <c r="P6" s="36"/>
      <c r="Q6" s="53"/>
      <c r="R6" s="52"/>
      <c r="S6" s="36"/>
      <c r="T6" s="53"/>
      <c r="U6" s="52"/>
      <c r="V6" s="36"/>
      <c r="W6" s="53"/>
    </row>
    <row r="7" spans="1:23" x14ac:dyDescent="0.25">
      <c r="A7" s="27">
        <v>4</v>
      </c>
      <c r="B7" s="37" t="s">
        <v>220</v>
      </c>
      <c r="C7" s="58">
        <f t="shared" si="2"/>
        <v>0</v>
      </c>
      <c r="D7" s="58">
        <f t="shared" si="3"/>
        <v>0</v>
      </c>
      <c r="E7" s="58">
        <f t="shared" si="4"/>
        <v>0</v>
      </c>
      <c r="F7" s="52"/>
      <c r="G7" s="36"/>
      <c r="H7" s="53"/>
      <c r="I7" s="52"/>
      <c r="J7" s="36"/>
      <c r="K7" s="53"/>
      <c r="L7" s="52"/>
      <c r="M7" s="36"/>
      <c r="N7" s="53"/>
      <c r="O7" s="52"/>
      <c r="P7" s="36"/>
      <c r="Q7" s="53"/>
      <c r="R7" s="52"/>
      <c r="S7" s="36"/>
      <c r="T7" s="53"/>
      <c r="U7" s="52"/>
      <c r="V7" s="36"/>
      <c r="W7" s="53"/>
    </row>
    <row r="8" spans="1:23" x14ac:dyDescent="0.25">
      <c r="A8" s="27">
        <v>5</v>
      </c>
      <c r="B8" s="37" t="s">
        <v>318</v>
      </c>
      <c r="C8" s="58">
        <f t="shared" si="2"/>
        <v>0</v>
      </c>
      <c r="D8" s="58">
        <f t="shared" si="3"/>
        <v>0</v>
      </c>
      <c r="E8" s="58">
        <f t="shared" si="4"/>
        <v>0</v>
      </c>
      <c r="F8" s="52"/>
      <c r="G8" s="36"/>
      <c r="H8" s="53"/>
      <c r="I8" s="52"/>
      <c r="J8" s="36"/>
      <c r="K8" s="53"/>
      <c r="L8" s="52"/>
      <c r="M8" s="36"/>
      <c r="N8" s="53"/>
      <c r="O8" s="52"/>
      <c r="P8" s="36"/>
      <c r="Q8" s="53"/>
      <c r="R8" s="52"/>
      <c r="S8" s="36"/>
      <c r="T8" s="53"/>
      <c r="U8" s="52"/>
      <c r="V8" s="36"/>
      <c r="W8" s="53"/>
    </row>
    <row r="9" spans="1:23" x14ac:dyDescent="0.25">
      <c r="A9" s="27">
        <v>6</v>
      </c>
      <c r="B9" s="37" t="s">
        <v>198</v>
      </c>
      <c r="C9" s="58">
        <f t="shared" si="2"/>
        <v>0</v>
      </c>
      <c r="D9" s="58">
        <f t="shared" si="3"/>
        <v>0</v>
      </c>
      <c r="E9" s="58">
        <f t="shared" si="4"/>
        <v>0</v>
      </c>
      <c r="F9" s="52"/>
      <c r="G9" s="36"/>
      <c r="H9" s="53"/>
      <c r="I9" s="52"/>
      <c r="J9" s="36"/>
      <c r="K9" s="53"/>
      <c r="L9" s="52"/>
      <c r="M9" s="36"/>
      <c r="N9" s="53"/>
      <c r="O9" s="52"/>
      <c r="P9" s="36"/>
      <c r="Q9" s="53"/>
      <c r="R9" s="52"/>
      <c r="S9" s="36"/>
      <c r="T9" s="53"/>
      <c r="U9" s="52"/>
      <c r="V9" s="36"/>
      <c r="W9" s="53"/>
    </row>
    <row r="10" spans="1:23" x14ac:dyDescent="0.25">
      <c r="A10" s="27">
        <v>7</v>
      </c>
      <c r="B10" s="37" t="s">
        <v>180</v>
      </c>
      <c r="C10" s="58">
        <f t="shared" si="2"/>
        <v>0</v>
      </c>
      <c r="D10" s="58">
        <f t="shared" si="3"/>
        <v>0</v>
      </c>
      <c r="E10" s="58">
        <f t="shared" si="4"/>
        <v>0</v>
      </c>
      <c r="F10" s="52"/>
      <c r="G10" s="36"/>
      <c r="H10" s="53"/>
      <c r="I10" s="52"/>
      <c r="J10" s="36"/>
      <c r="K10" s="53"/>
      <c r="L10" s="52"/>
      <c r="M10" s="36"/>
      <c r="N10" s="53"/>
      <c r="O10" s="52"/>
      <c r="P10" s="36"/>
      <c r="Q10" s="53"/>
      <c r="R10" s="52"/>
      <c r="S10" s="36"/>
      <c r="T10" s="53"/>
      <c r="U10" s="52"/>
      <c r="V10" s="36"/>
      <c r="W10" s="53"/>
    </row>
    <row r="11" spans="1:23" x14ac:dyDescent="0.25">
      <c r="A11" s="27">
        <v>8</v>
      </c>
      <c r="B11" s="37" t="s">
        <v>218</v>
      </c>
      <c r="C11" s="58">
        <f t="shared" si="2"/>
        <v>0</v>
      </c>
      <c r="D11" s="58">
        <f t="shared" si="3"/>
        <v>0</v>
      </c>
      <c r="E11" s="58">
        <f t="shared" si="4"/>
        <v>0</v>
      </c>
      <c r="F11" s="52"/>
      <c r="G11" s="36"/>
      <c r="H11" s="53"/>
      <c r="I11" s="52"/>
      <c r="J11" s="36"/>
      <c r="K11" s="53"/>
      <c r="L11" s="52"/>
      <c r="M11" s="36"/>
      <c r="N11" s="53"/>
      <c r="O11" s="52"/>
      <c r="P11" s="36"/>
      <c r="Q11" s="53"/>
      <c r="R11" s="52"/>
      <c r="S11" s="36"/>
      <c r="T11" s="53"/>
      <c r="U11" s="52"/>
      <c r="V11" s="36"/>
      <c r="W11" s="53"/>
    </row>
    <row r="12" spans="1:23" x14ac:dyDescent="0.25">
      <c r="A12" s="27">
        <v>10</v>
      </c>
      <c r="B12" s="37" t="s">
        <v>319</v>
      </c>
      <c r="C12" s="58">
        <f t="shared" si="2"/>
        <v>0</v>
      </c>
      <c r="D12" s="58">
        <f t="shared" si="3"/>
        <v>0</v>
      </c>
      <c r="E12" s="58">
        <f t="shared" si="4"/>
        <v>0</v>
      </c>
      <c r="F12" s="52"/>
      <c r="G12" s="36"/>
      <c r="H12" s="53"/>
      <c r="I12" s="52"/>
      <c r="J12" s="36"/>
      <c r="K12" s="53"/>
      <c r="L12" s="52"/>
      <c r="M12" s="36"/>
      <c r="N12" s="53"/>
      <c r="O12" s="52"/>
      <c r="P12" s="36"/>
      <c r="Q12" s="53"/>
      <c r="R12" s="52"/>
      <c r="S12" s="36"/>
      <c r="T12" s="53"/>
      <c r="U12" s="52"/>
      <c r="V12" s="36"/>
      <c r="W12" s="53"/>
    </row>
    <row r="13" spans="1:23" x14ac:dyDescent="0.25">
      <c r="A13" s="27">
        <v>12</v>
      </c>
      <c r="B13" s="35" t="s">
        <v>276</v>
      </c>
      <c r="C13" s="58">
        <f t="shared" si="2"/>
        <v>0</v>
      </c>
      <c r="D13" s="58">
        <f t="shared" si="3"/>
        <v>0</v>
      </c>
      <c r="E13" s="58">
        <f t="shared" si="4"/>
        <v>0</v>
      </c>
      <c r="F13" s="52"/>
      <c r="G13" s="36"/>
      <c r="H13" s="53"/>
      <c r="I13" s="52"/>
      <c r="J13" s="36"/>
      <c r="K13" s="53"/>
      <c r="L13" s="52"/>
      <c r="M13" s="36"/>
      <c r="N13" s="53"/>
      <c r="O13" s="52"/>
      <c r="P13" s="36"/>
      <c r="Q13" s="53"/>
      <c r="R13" s="52"/>
      <c r="S13" s="36"/>
      <c r="T13" s="53"/>
      <c r="U13" s="52"/>
      <c r="V13" s="36"/>
      <c r="W13" s="53"/>
    </row>
    <row r="14" spans="1:23" x14ac:dyDescent="0.25">
      <c r="A14" s="27">
        <v>13</v>
      </c>
      <c r="B14" s="149" t="s">
        <v>312</v>
      </c>
      <c r="C14" s="58">
        <f t="shared" si="2"/>
        <v>0</v>
      </c>
      <c r="D14" s="58">
        <f t="shared" si="3"/>
        <v>0</v>
      </c>
      <c r="E14" s="58">
        <f t="shared" si="4"/>
        <v>0</v>
      </c>
      <c r="F14" s="52"/>
      <c r="G14" s="36"/>
      <c r="H14" s="53"/>
      <c r="I14" s="52"/>
      <c r="J14" s="36"/>
      <c r="K14" s="53"/>
      <c r="L14" s="52"/>
      <c r="M14" s="36"/>
      <c r="N14" s="53"/>
      <c r="O14" s="52"/>
      <c r="P14" s="36"/>
      <c r="Q14" s="53"/>
      <c r="R14" s="52"/>
      <c r="S14" s="36"/>
      <c r="T14" s="53"/>
      <c r="U14" s="52"/>
      <c r="V14" s="36"/>
      <c r="W14" s="53"/>
    </row>
    <row r="15" spans="1:23" x14ac:dyDescent="0.25">
      <c r="A15" s="27">
        <v>14</v>
      </c>
      <c r="B15" s="149" t="s">
        <v>317</v>
      </c>
      <c r="C15" s="58">
        <f t="shared" si="2"/>
        <v>0</v>
      </c>
      <c r="D15" s="58">
        <f t="shared" si="3"/>
        <v>0</v>
      </c>
      <c r="E15" s="58">
        <f t="shared" si="4"/>
        <v>0</v>
      </c>
      <c r="F15" s="52"/>
      <c r="G15" s="36"/>
      <c r="H15" s="53"/>
      <c r="I15" s="52"/>
      <c r="J15" s="36"/>
      <c r="K15" s="53"/>
      <c r="L15" s="52"/>
      <c r="M15" s="36"/>
      <c r="N15" s="53"/>
      <c r="O15" s="52"/>
      <c r="P15" s="36"/>
      <c r="Q15" s="53"/>
      <c r="R15" s="52"/>
      <c r="S15" s="36"/>
      <c r="T15" s="53"/>
      <c r="U15" s="52"/>
      <c r="V15" s="36"/>
      <c r="W15" s="53"/>
    </row>
    <row r="16" spans="1:23" x14ac:dyDescent="0.25">
      <c r="A16" s="27">
        <v>15</v>
      </c>
      <c r="B16" s="149" t="s">
        <v>431</v>
      </c>
      <c r="C16" s="58">
        <f t="shared" si="2"/>
        <v>0</v>
      </c>
      <c r="D16" s="58">
        <f t="shared" si="3"/>
        <v>0</v>
      </c>
      <c r="E16" s="58">
        <f t="shared" si="4"/>
        <v>0</v>
      </c>
      <c r="F16" s="52"/>
      <c r="G16" s="36"/>
      <c r="H16" s="53"/>
      <c r="I16" s="52"/>
      <c r="J16" s="36"/>
      <c r="K16" s="53"/>
      <c r="L16" s="52"/>
      <c r="M16" s="36"/>
      <c r="N16" s="53"/>
      <c r="O16" s="52"/>
      <c r="P16" s="36"/>
      <c r="Q16" s="53"/>
      <c r="R16" s="52"/>
      <c r="S16" s="36"/>
      <c r="T16" s="53"/>
      <c r="U16" s="52"/>
      <c r="V16" s="36"/>
      <c r="W16" s="53"/>
    </row>
    <row r="17" spans="1:23" x14ac:dyDescent="0.25">
      <c r="A17" s="27">
        <v>17</v>
      </c>
      <c r="B17" s="148" t="s">
        <v>343</v>
      </c>
      <c r="C17" s="58">
        <f t="shared" si="2"/>
        <v>0</v>
      </c>
      <c r="D17" s="58">
        <f t="shared" si="3"/>
        <v>0</v>
      </c>
      <c r="E17" s="58">
        <f t="shared" si="4"/>
        <v>0</v>
      </c>
      <c r="F17" s="52"/>
      <c r="G17" s="36"/>
      <c r="H17" s="53"/>
      <c r="I17" s="52"/>
      <c r="J17" s="36"/>
      <c r="K17" s="53"/>
      <c r="L17" s="52"/>
      <c r="M17" s="36"/>
      <c r="N17" s="53"/>
      <c r="O17" s="52"/>
      <c r="P17" s="36"/>
      <c r="Q17" s="53"/>
      <c r="R17" s="52"/>
      <c r="S17" s="36"/>
      <c r="T17" s="53"/>
      <c r="U17" s="52"/>
      <c r="V17" s="36"/>
      <c r="W17" s="53"/>
    </row>
    <row r="18" spans="1:23" x14ac:dyDescent="0.25">
      <c r="A18" s="27">
        <v>20</v>
      </c>
      <c r="B18" s="148" t="s">
        <v>315</v>
      </c>
      <c r="C18" s="58">
        <f t="shared" si="2"/>
        <v>0</v>
      </c>
      <c r="D18" s="58">
        <f t="shared" si="3"/>
        <v>0</v>
      </c>
      <c r="E18" s="58">
        <f t="shared" si="4"/>
        <v>0</v>
      </c>
      <c r="F18" s="52"/>
      <c r="G18" s="36"/>
      <c r="H18" s="53"/>
      <c r="I18" s="52"/>
      <c r="J18" s="36"/>
      <c r="K18" s="53"/>
      <c r="L18" s="52"/>
      <c r="M18" s="36"/>
      <c r="N18" s="53"/>
      <c r="O18" s="52"/>
      <c r="P18" s="36"/>
      <c r="Q18" s="53"/>
      <c r="R18" s="52"/>
      <c r="S18" s="36"/>
      <c r="T18" s="53"/>
      <c r="U18" s="52"/>
      <c r="V18" s="36"/>
      <c r="W18" s="53"/>
    </row>
    <row r="19" spans="1:23" x14ac:dyDescent="0.25">
      <c r="A19" s="28">
        <v>22</v>
      </c>
      <c r="B19" s="40" t="s">
        <v>263</v>
      </c>
      <c r="C19" s="58">
        <f t="shared" si="2"/>
        <v>0</v>
      </c>
      <c r="D19" s="58">
        <f t="shared" si="3"/>
        <v>0</v>
      </c>
      <c r="E19" s="58">
        <f t="shared" si="4"/>
        <v>0</v>
      </c>
      <c r="F19" s="52"/>
      <c r="G19" s="36"/>
      <c r="H19" s="53"/>
      <c r="I19" s="52"/>
      <c r="J19" s="36"/>
      <c r="K19" s="53"/>
      <c r="L19" s="52"/>
      <c r="M19" s="36"/>
      <c r="N19" s="53"/>
      <c r="O19" s="52"/>
      <c r="P19" s="36"/>
      <c r="Q19" s="53"/>
      <c r="R19" s="52"/>
      <c r="S19" s="36"/>
      <c r="T19" s="53"/>
      <c r="U19" s="52"/>
      <c r="V19" s="36"/>
      <c r="W19" s="53"/>
    </row>
    <row r="20" spans="1:23" x14ac:dyDescent="0.25">
      <c r="A20" s="27">
        <v>23</v>
      </c>
      <c r="B20" s="37" t="s">
        <v>293</v>
      </c>
      <c r="C20" s="58">
        <f t="shared" si="2"/>
        <v>0</v>
      </c>
      <c r="D20" s="58">
        <f t="shared" si="3"/>
        <v>0</v>
      </c>
      <c r="E20" s="58">
        <f t="shared" si="4"/>
        <v>0</v>
      </c>
      <c r="F20" s="52"/>
      <c r="G20" s="36"/>
      <c r="H20" s="53"/>
      <c r="I20" s="52"/>
      <c r="J20" s="36"/>
      <c r="K20" s="53"/>
      <c r="L20" s="52"/>
      <c r="M20" s="36"/>
      <c r="N20" s="53"/>
      <c r="O20" s="52"/>
      <c r="P20" s="36"/>
      <c r="Q20" s="53"/>
      <c r="R20" s="52"/>
      <c r="S20" s="36"/>
      <c r="T20" s="53"/>
      <c r="U20" s="52"/>
      <c r="V20" s="36"/>
      <c r="W20" s="53"/>
    </row>
    <row r="21" spans="1:23" x14ac:dyDescent="0.25">
      <c r="A21" s="28">
        <v>29</v>
      </c>
      <c r="B21" s="148" t="s">
        <v>275</v>
      </c>
      <c r="C21" s="58">
        <f t="shared" si="2"/>
        <v>0</v>
      </c>
      <c r="D21" s="58">
        <f t="shared" si="3"/>
        <v>0</v>
      </c>
      <c r="E21" s="58">
        <f t="shared" si="4"/>
        <v>0</v>
      </c>
      <c r="F21" s="52"/>
      <c r="G21" s="36"/>
      <c r="H21" s="53"/>
      <c r="I21" s="52"/>
      <c r="J21" s="36"/>
      <c r="K21" s="53"/>
      <c r="L21" s="52"/>
      <c r="M21" s="36"/>
      <c r="N21" s="53"/>
      <c r="O21" s="52"/>
      <c r="P21" s="36"/>
      <c r="Q21" s="53"/>
      <c r="R21" s="52"/>
      <c r="S21" s="36"/>
      <c r="T21" s="53"/>
      <c r="U21" s="52"/>
      <c r="V21" s="36"/>
      <c r="W21" s="53"/>
    </row>
    <row r="22" spans="1:23" x14ac:dyDescent="0.25">
      <c r="A22" s="28">
        <v>30</v>
      </c>
      <c r="B22" s="148" t="s">
        <v>344</v>
      </c>
      <c r="C22" s="58">
        <f t="shared" si="2"/>
        <v>0</v>
      </c>
      <c r="D22" s="58">
        <f t="shared" si="3"/>
        <v>0</v>
      </c>
      <c r="E22" s="58">
        <f t="shared" si="4"/>
        <v>0</v>
      </c>
      <c r="F22" s="52"/>
      <c r="G22" s="36"/>
      <c r="H22" s="53"/>
      <c r="I22" s="52"/>
      <c r="J22" s="36"/>
      <c r="K22" s="53"/>
      <c r="L22" s="52"/>
      <c r="M22" s="36"/>
      <c r="N22" s="53"/>
      <c r="O22" s="52"/>
      <c r="P22" s="36"/>
      <c r="Q22" s="53"/>
      <c r="R22" s="52"/>
      <c r="S22" s="36"/>
      <c r="T22" s="53"/>
      <c r="U22" s="52"/>
      <c r="V22" s="36"/>
      <c r="W22" s="53"/>
    </row>
    <row r="23" spans="1:23" x14ac:dyDescent="0.25">
      <c r="A23" s="28">
        <v>33</v>
      </c>
      <c r="B23" s="148" t="s">
        <v>291</v>
      </c>
      <c r="C23" s="58">
        <f t="shared" si="2"/>
        <v>0</v>
      </c>
      <c r="D23" s="58">
        <f t="shared" si="3"/>
        <v>0</v>
      </c>
      <c r="E23" s="58">
        <f t="shared" si="4"/>
        <v>0</v>
      </c>
      <c r="F23" s="52"/>
      <c r="G23" s="36"/>
      <c r="H23" s="53"/>
      <c r="I23" s="52"/>
      <c r="J23" s="36"/>
      <c r="K23" s="53"/>
      <c r="L23" s="52"/>
      <c r="M23" s="36"/>
      <c r="N23" s="53"/>
      <c r="O23" s="52"/>
      <c r="P23" s="36"/>
      <c r="Q23" s="53"/>
      <c r="R23" s="52"/>
      <c r="S23" s="36"/>
      <c r="T23" s="53"/>
      <c r="U23" s="52"/>
      <c r="V23" s="36"/>
      <c r="W23" s="53"/>
    </row>
    <row r="24" spans="1:23" x14ac:dyDescent="0.25">
      <c r="A24" s="28">
        <v>35</v>
      </c>
      <c r="B24" s="148" t="s">
        <v>303</v>
      </c>
      <c r="C24" s="58">
        <f t="shared" si="2"/>
        <v>0</v>
      </c>
      <c r="D24" s="58">
        <f t="shared" si="3"/>
        <v>0</v>
      </c>
      <c r="E24" s="58">
        <f t="shared" si="4"/>
        <v>0</v>
      </c>
      <c r="F24" s="52"/>
      <c r="G24" s="36"/>
      <c r="H24" s="53"/>
      <c r="I24" s="52"/>
      <c r="J24" s="36"/>
      <c r="K24" s="53"/>
      <c r="L24" s="52"/>
      <c r="M24" s="36"/>
      <c r="N24" s="53"/>
      <c r="O24" s="52"/>
      <c r="P24" s="36"/>
      <c r="Q24" s="53"/>
      <c r="R24" s="52"/>
      <c r="S24" s="36"/>
      <c r="T24" s="53"/>
      <c r="U24" s="52"/>
      <c r="V24" s="36"/>
      <c r="W24" s="53"/>
    </row>
    <row r="25" spans="1:23" x14ac:dyDescent="0.25">
      <c r="A25" s="28">
        <v>36</v>
      </c>
      <c r="B25" s="148" t="s">
        <v>313</v>
      </c>
      <c r="C25" s="58">
        <f t="shared" si="2"/>
        <v>0</v>
      </c>
      <c r="D25" s="58">
        <f t="shared" si="3"/>
        <v>0</v>
      </c>
      <c r="E25" s="58">
        <f t="shared" si="4"/>
        <v>0</v>
      </c>
      <c r="F25" s="52"/>
      <c r="G25" s="36"/>
      <c r="H25" s="53"/>
      <c r="I25" s="52"/>
      <c r="J25" s="36"/>
      <c r="K25" s="53"/>
      <c r="L25" s="52"/>
      <c r="M25" s="36"/>
      <c r="N25" s="53"/>
      <c r="O25" s="52"/>
      <c r="P25" s="36"/>
      <c r="Q25" s="53"/>
      <c r="R25" s="52"/>
      <c r="S25" s="36"/>
      <c r="T25" s="53"/>
      <c r="U25" s="52"/>
      <c r="V25" s="36"/>
      <c r="W25" s="53"/>
    </row>
    <row r="26" spans="1:23" x14ac:dyDescent="0.25">
      <c r="A26" s="28">
        <v>39</v>
      </c>
      <c r="B26" s="148" t="s">
        <v>345</v>
      </c>
      <c r="C26" s="58">
        <f t="shared" si="2"/>
        <v>0</v>
      </c>
      <c r="D26" s="58">
        <f t="shared" si="3"/>
        <v>0</v>
      </c>
      <c r="E26" s="58">
        <f t="shared" si="4"/>
        <v>0</v>
      </c>
      <c r="F26" s="52"/>
      <c r="G26" s="36"/>
      <c r="H26" s="53"/>
      <c r="I26" s="52"/>
      <c r="J26" s="36"/>
      <c r="K26" s="53"/>
      <c r="L26" s="52"/>
      <c r="M26" s="36"/>
      <c r="N26" s="53"/>
      <c r="O26" s="52"/>
      <c r="P26" s="36"/>
      <c r="Q26" s="53"/>
      <c r="R26" s="52"/>
      <c r="S26" s="36"/>
      <c r="T26" s="53"/>
      <c r="U26" s="52"/>
      <c r="V26" s="36"/>
      <c r="W26" s="53"/>
    </row>
    <row r="27" spans="1:23" x14ac:dyDescent="0.25">
      <c r="A27" s="27">
        <v>40</v>
      </c>
      <c r="B27" s="149" t="s">
        <v>341</v>
      </c>
      <c r="C27" s="58">
        <f>SUM(F27,I27,L27,O27,R27,U27)</f>
        <v>0</v>
      </c>
      <c r="D27" s="58">
        <f>SUM(G27,J27,M27,P27,S27,V27)</f>
        <v>0</v>
      </c>
      <c r="E27" s="58">
        <f>SUM(H27,K27,N27,Q27,T27,W27)</f>
        <v>0</v>
      </c>
      <c r="F27" s="52"/>
      <c r="G27" s="36"/>
      <c r="H27" s="53"/>
      <c r="I27" s="52"/>
      <c r="J27" s="36"/>
      <c r="K27" s="53"/>
      <c r="L27" s="52"/>
      <c r="M27" s="36"/>
      <c r="N27" s="53"/>
      <c r="O27" s="52"/>
      <c r="P27" s="36"/>
      <c r="Q27" s="53"/>
      <c r="R27" s="52"/>
      <c r="S27" s="36"/>
      <c r="T27" s="53"/>
      <c r="U27" s="52"/>
      <c r="V27" s="36"/>
      <c r="W27" s="53"/>
    </row>
    <row r="28" spans="1:23" x14ac:dyDescent="0.25">
      <c r="A28" s="27">
        <v>41</v>
      </c>
      <c r="B28" s="35" t="s">
        <v>277</v>
      </c>
      <c r="C28" s="58">
        <f t="shared" si="2"/>
        <v>0</v>
      </c>
      <c r="D28" s="58">
        <f t="shared" si="3"/>
        <v>0</v>
      </c>
      <c r="E28" s="58">
        <f t="shared" si="4"/>
        <v>0</v>
      </c>
      <c r="F28" s="52"/>
      <c r="G28" s="36"/>
      <c r="H28" s="53"/>
      <c r="I28" s="52"/>
      <c r="J28" s="36"/>
      <c r="K28" s="53"/>
      <c r="L28" s="52"/>
      <c r="M28" s="36"/>
      <c r="N28" s="53"/>
      <c r="O28" s="52"/>
      <c r="P28" s="36"/>
      <c r="Q28" s="53"/>
      <c r="R28" s="52"/>
      <c r="S28" s="36"/>
      <c r="T28" s="53"/>
      <c r="U28" s="52"/>
      <c r="V28" s="36"/>
      <c r="W28" s="53"/>
    </row>
    <row r="29" spans="1:23" x14ac:dyDescent="0.25">
      <c r="A29" s="56">
        <v>43</v>
      </c>
      <c r="B29" s="148" t="s">
        <v>327</v>
      </c>
      <c r="C29" s="58">
        <f t="shared" ref="C29:E30" si="5">SUM(F29,I29,L29,O29,R29,U29)</f>
        <v>0</v>
      </c>
      <c r="D29" s="58">
        <f t="shared" si="5"/>
        <v>0</v>
      </c>
      <c r="E29" s="58">
        <f t="shared" si="5"/>
        <v>0</v>
      </c>
      <c r="F29" s="52"/>
      <c r="G29" s="36"/>
      <c r="H29" s="53"/>
      <c r="I29" s="52"/>
      <c r="J29" s="36"/>
      <c r="K29" s="53"/>
      <c r="L29" s="52"/>
      <c r="M29" s="36"/>
      <c r="N29" s="53"/>
      <c r="O29" s="52"/>
      <c r="P29" s="36"/>
      <c r="Q29" s="53"/>
      <c r="R29" s="52"/>
      <c r="S29" s="36"/>
      <c r="T29" s="53"/>
      <c r="U29" s="52"/>
      <c r="V29" s="36"/>
      <c r="W29" s="53"/>
    </row>
    <row r="30" spans="1:23" x14ac:dyDescent="0.25">
      <c r="A30" s="28">
        <v>44</v>
      </c>
      <c r="B30" s="148" t="s">
        <v>338</v>
      </c>
      <c r="C30" s="58">
        <f t="shared" si="5"/>
        <v>0</v>
      </c>
      <c r="D30" s="58">
        <f t="shared" si="5"/>
        <v>0</v>
      </c>
      <c r="E30" s="58">
        <f t="shared" si="5"/>
        <v>0</v>
      </c>
      <c r="F30" s="52"/>
      <c r="G30" s="36"/>
      <c r="H30" s="53"/>
      <c r="I30" s="52"/>
      <c r="J30" s="36"/>
      <c r="K30" s="53"/>
      <c r="L30" s="52"/>
      <c r="M30" s="36"/>
      <c r="N30" s="53"/>
      <c r="O30" s="52"/>
      <c r="P30" s="36"/>
      <c r="Q30" s="53"/>
      <c r="R30" s="52"/>
      <c r="S30" s="36"/>
      <c r="T30" s="53"/>
      <c r="U30" s="52"/>
      <c r="V30" s="36"/>
      <c r="W30" s="53"/>
    </row>
    <row r="31" spans="1:23" x14ac:dyDescent="0.25">
      <c r="A31" s="28">
        <v>45</v>
      </c>
      <c r="B31" s="148" t="s">
        <v>468</v>
      </c>
      <c r="C31" s="58">
        <f t="shared" ref="C31:C38" si="6">SUM(F31,I31,L31,O31,R31,U31)</f>
        <v>0</v>
      </c>
      <c r="D31" s="58">
        <f t="shared" ref="D31:D38" si="7">SUM(G31,J31,M31,P31,S31,V31)</f>
        <v>0</v>
      </c>
      <c r="E31" s="58">
        <f t="shared" ref="E31:E38" si="8">SUM(H31,K31,N31,Q31,T31,W31)</f>
        <v>0</v>
      </c>
      <c r="F31" s="52"/>
      <c r="G31" s="36"/>
      <c r="H31" s="53"/>
      <c r="I31" s="52"/>
      <c r="J31" s="36"/>
      <c r="K31" s="53"/>
      <c r="L31" s="52"/>
      <c r="M31" s="36"/>
      <c r="N31" s="53"/>
      <c r="O31" s="52"/>
      <c r="P31" s="36"/>
      <c r="Q31" s="53"/>
      <c r="R31" s="52"/>
      <c r="S31" s="36"/>
      <c r="T31" s="53"/>
      <c r="U31" s="52"/>
      <c r="V31" s="36"/>
      <c r="W31" s="53"/>
    </row>
    <row r="32" spans="1:23" x14ac:dyDescent="0.25">
      <c r="A32" s="27">
        <v>46</v>
      </c>
      <c r="B32" s="34" t="s">
        <v>298</v>
      </c>
      <c r="C32" s="58">
        <f t="shared" si="6"/>
        <v>0</v>
      </c>
      <c r="D32" s="58">
        <f t="shared" si="7"/>
        <v>0</v>
      </c>
      <c r="E32" s="58">
        <f t="shared" si="8"/>
        <v>0</v>
      </c>
      <c r="F32" s="52"/>
      <c r="G32" s="36"/>
      <c r="H32" s="53"/>
      <c r="I32" s="52"/>
      <c r="J32" s="36"/>
      <c r="K32" s="53"/>
      <c r="L32" s="52"/>
      <c r="M32" s="36"/>
      <c r="N32" s="53"/>
      <c r="O32" s="52"/>
      <c r="P32" s="36"/>
      <c r="Q32" s="53"/>
      <c r="R32" s="52"/>
      <c r="S32" s="36"/>
      <c r="T32" s="53"/>
      <c r="U32" s="52"/>
      <c r="V32" s="36"/>
      <c r="W32" s="53"/>
    </row>
    <row r="33" spans="1:23" x14ac:dyDescent="0.25">
      <c r="A33" s="27">
        <v>49</v>
      </c>
      <c r="B33" s="35" t="s">
        <v>297</v>
      </c>
      <c r="C33" s="58">
        <f t="shared" si="6"/>
        <v>0</v>
      </c>
      <c r="D33" s="58">
        <f t="shared" si="7"/>
        <v>0</v>
      </c>
      <c r="E33" s="58">
        <f t="shared" si="8"/>
        <v>0</v>
      </c>
      <c r="F33" s="52"/>
      <c r="G33" s="36"/>
      <c r="H33" s="53"/>
      <c r="I33" s="52"/>
      <c r="J33" s="36"/>
      <c r="K33" s="53"/>
      <c r="L33" s="52"/>
      <c r="M33" s="36"/>
      <c r="N33" s="53"/>
      <c r="O33" s="52"/>
      <c r="P33" s="36"/>
      <c r="Q33" s="53"/>
      <c r="R33" s="52"/>
      <c r="S33" s="36"/>
      <c r="T33" s="53"/>
      <c r="U33" s="52"/>
      <c r="V33" s="36"/>
      <c r="W33" s="53"/>
    </row>
    <row r="34" spans="1:23" x14ac:dyDescent="0.25">
      <c r="A34" s="28">
        <v>53</v>
      </c>
      <c r="B34" s="148" t="s">
        <v>292</v>
      </c>
      <c r="C34" s="58">
        <f t="shared" si="6"/>
        <v>0</v>
      </c>
      <c r="D34" s="58">
        <f t="shared" si="7"/>
        <v>0</v>
      </c>
      <c r="E34" s="58">
        <f t="shared" si="8"/>
        <v>0</v>
      </c>
      <c r="F34" s="52"/>
      <c r="G34" s="36"/>
      <c r="H34" s="53"/>
      <c r="I34" s="52"/>
      <c r="J34" s="36"/>
      <c r="K34" s="53"/>
      <c r="L34" s="52"/>
      <c r="M34" s="36"/>
      <c r="N34" s="53"/>
      <c r="O34" s="52"/>
      <c r="P34" s="36"/>
      <c r="Q34" s="53"/>
      <c r="R34" s="52"/>
      <c r="S34" s="36"/>
      <c r="T34" s="53"/>
      <c r="U34" s="52"/>
      <c r="V34" s="36"/>
      <c r="W34" s="53"/>
    </row>
    <row r="35" spans="1:23" x14ac:dyDescent="0.25">
      <c r="A35" s="28">
        <v>55</v>
      </c>
      <c r="B35" s="37" t="s">
        <v>301</v>
      </c>
      <c r="C35" s="58">
        <f t="shared" si="6"/>
        <v>0</v>
      </c>
      <c r="D35" s="58">
        <f t="shared" si="7"/>
        <v>0</v>
      </c>
      <c r="E35" s="58">
        <f t="shared" si="8"/>
        <v>0</v>
      </c>
      <c r="F35" s="52"/>
      <c r="G35" s="36"/>
      <c r="H35" s="53"/>
      <c r="I35" s="52"/>
      <c r="J35" s="36"/>
      <c r="K35" s="53"/>
      <c r="L35" s="52"/>
      <c r="M35" s="36"/>
      <c r="N35" s="53"/>
      <c r="O35" s="52"/>
      <c r="P35" s="36"/>
      <c r="Q35" s="53"/>
      <c r="R35" s="52"/>
      <c r="S35" s="36"/>
      <c r="T35" s="53"/>
      <c r="U35" s="52"/>
      <c r="V35" s="36"/>
      <c r="W35" s="53"/>
    </row>
    <row r="36" spans="1:23" x14ac:dyDescent="0.25">
      <c r="A36" s="27">
        <v>56</v>
      </c>
      <c r="B36" s="149" t="s">
        <v>322</v>
      </c>
      <c r="C36" s="58">
        <f t="shared" si="6"/>
        <v>0</v>
      </c>
      <c r="D36" s="58">
        <f t="shared" si="7"/>
        <v>0</v>
      </c>
      <c r="E36" s="58">
        <f t="shared" si="8"/>
        <v>0</v>
      </c>
      <c r="F36" s="52"/>
      <c r="G36" s="36"/>
      <c r="H36" s="53"/>
      <c r="I36" s="52"/>
      <c r="J36" s="36"/>
      <c r="K36" s="53"/>
      <c r="L36" s="52"/>
      <c r="M36" s="36"/>
      <c r="N36" s="53"/>
      <c r="O36" s="52"/>
      <c r="P36" s="36"/>
      <c r="Q36" s="53"/>
      <c r="R36" s="52"/>
      <c r="S36" s="36"/>
      <c r="T36" s="53"/>
      <c r="U36" s="52"/>
      <c r="V36" s="36"/>
      <c r="W36" s="53"/>
    </row>
    <row r="37" spans="1:23" x14ac:dyDescent="0.25">
      <c r="A37" s="28">
        <v>71</v>
      </c>
      <c r="B37" s="148" t="s">
        <v>339</v>
      </c>
      <c r="C37" s="58">
        <f t="shared" si="6"/>
        <v>0</v>
      </c>
      <c r="D37" s="58">
        <f t="shared" si="7"/>
        <v>0</v>
      </c>
      <c r="E37" s="58">
        <f t="shared" si="8"/>
        <v>0</v>
      </c>
      <c r="F37" s="52"/>
      <c r="G37" s="36"/>
      <c r="H37" s="53"/>
      <c r="I37" s="52"/>
      <c r="J37" s="36"/>
      <c r="K37" s="53"/>
      <c r="L37" s="52"/>
      <c r="M37" s="36"/>
      <c r="N37" s="53"/>
      <c r="O37" s="52"/>
      <c r="P37" s="36"/>
      <c r="Q37" s="53"/>
      <c r="R37" s="52"/>
      <c r="S37" s="36"/>
      <c r="T37" s="53"/>
      <c r="U37" s="52"/>
      <c r="V37" s="36"/>
      <c r="W37" s="53"/>
    </row>
    <row r="38" spans="1:23" x14ac:dyDescent="0.25">
      <c r="A38" s="28">
        <v>89</v>
      </c>
      <c r="B38" s="148" t="s">
        <v>333</v>
      </c>
      <c r="C38" s="58">
        <f t="shared" si="6"/>
        <v>0</v>
      </c>
      <c r="D38" s="58">
        <f t="shared" si="7"/>
        <v>0</v>
      </c>
      <c r="E38" s="58">
        <f t="shared" si="8"/>
        <v>0</v>
      </c>
      <c r="F38" s="52"/>
      <c r="G38" s="36"/>
      <c r="H38" s="53"/>
      <c r="I38" s="52"/>
      <c r="J38" s="36"/>
      <c r="K38" s="53"/>
      <c r="L38" s="52"/>
      <c r="M38" s="36"/>
      <c r="N38" s="53"/>
      <c r="O38" s="52"/>
      <c r="P38" s="36"/>
      <c r="Q38" s="53"/>
      <c r="R38" s="52"/>
      <c r="S38" s="36"/>
      <c r="T38" s="53"/>
      <c r="U38" s="52"/>
      <c r="V38" s="36"/>
      <c r="W38" s="53"/>
    </row>
    <row r="39" spans="1:23" ht="15.75" thickBot="1" x14ac:dyDescent="0.3">
      <c r="F39" s="171">
        <f t="shared" ref="F39:W39" si="9">SUM(F4:F38)</f>
        <v>0</v>
      </c>
      <c r="G39" s="172">
        <f t="shared" si="9"/>
        <v>0</v>
      </c>
      <c r="H39" s="173">
        <f t="shared" si="9"/>
        <v>0</v>
      </c>
      <c r="I39" s="171">
        <f t="shared" si="9"/>
        <v>0</v>
      </c>
      <c r="J39" s="172">
        <f t="shared" si="9"/>
        <v>0</v>
      </c>
      <c r="K39" s="173">
        <f t="shared" si="9"/>
        <v>0</v>
      </c>
      <c r="L39" s="171">
        <f t="shared" si="9"/>
        <v>0</v>
      </c>
      <c r="M39" s="172">
        <f t="shared" si="9"/>
        <v>0</v>
      </c>
      <c r="N39" s="173">
        <f t="shared" si="9"/>
        <v>0</v>
      </c>
      <c r="O39" s="171">
        <f t="shared" si="9"/>
        <v>0</v>
      </c>
      <c r="P39" s="172">
        <f t="shared" si="9"/>
        <v>0</v>
      </c>
      <c r="Q39" s="173">
        <f t="shared" si="9"/>
        <v>0</v>
      </c>
      <c r="R39" s="171">
        <f t="shared" si="9"/>
        <v>0</v>
      </c>
      <c r="S39" s="172">
        <f t="shared" si="9"/>
        <v>0</v>
      </c>
      <c r="T39" s="173">
        <f t="shared" si="9"/>
        <v>0</v>
      </c>
      <c r="U39" s="171">
        <f t="shared" si="9"/>
        <v>0</v>
      </c>
      <c r="V39" s="172">
        <f t="shared" si="9"/>
        <v>0</v>
      </c>
      <c r="W39" s="173">
        <f t="shared" si="9"/>
        <v>0</v>
      </c>
    </row>
  </sheetData>
  <mergeCells count="15">
    <mergeCell ref="E1:E3"/>
    <mergeCell ref="D1:D3"/>
    <mergeCell ref="C1:C3"/>
    <mergeCell ref="L1:N1"/>
    <mergeCell ref="O1:Q1"/>
    <mergeCell ref="R1:T1"/>
    <mergeCell ref="U1:W1"/>
    <mergeCell ref="F2:H2"/>
    <mergeCell ref="U2:W2"/>
    <mergeCell ref="R2:T2"/>
    <mergeCell ref="O2:Q2"/>
    <mergeCell ref="L2:N2"/>
    <mergeCell ref="I2:K2"/>
    <mergeCell ref="F1:H1"/>
    <mergeCell ref="I1:K1"/>
  </mergeCells>
  <conditionalFormatting sqref="F4:W32">
    <cfRule type="cellIs" dxfId="13" priority="1" operator="equal">
      <formula>1</formula>
    </cfRule>
  </conditionalFormatting>
  <conditionalFormatting sqref="F4:W38">
    <cfRule type="cellIs" dxfId="12" priority="4" operator="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W39"/>
  <sheetViews>
    <sheetView zoomScale="83" zoomScaleNormal="85" workbookViewId="0">
      <selection activeCell="AF25" sqref="AF25"/>
    </sheetView>
  </sheetViews>
  <sheetFormatPr defaultColWidth="4.7109375" defaultRowHeight="15" x14ac:dyDescent="0.25"/>
  <cols>
    <col min="1" max="1" width="3.42578125" customWidth="1"/>
    <col min="2" max="2" width="25.7109375" customWidth="1"/>
    <col min="3" max="4" width="5.7109375" customWidth="1"/>
    <col min="5" max="16" width="6.42578125" customWidth="1"/>
  </cols>
  <sheetData>
    <row r="1" spans="1:23" x14ac:dyDescent="0.25">
      <c r="C1" s="237" t="s">
        <v>396</v>
      </c>
      <c r="D1" s="237" t="s">
        <v>397</v>
      </c>
      <c r="E1" s="237" t="s">
        <v>398</v>
      </c>
      <c r="F1" s="267" t="s">
        <v>87</v>
      </c>
      <c r="G1" s="268"/>
      <c r="H1" s="269"/>
      <c r="I1" s="270" t="s">
        <v>88</v>
      </c>
      <c r="J1" s="271"/>
      <c r="K1" s="272"/>
      <c r="L1" s="274" t="s">
        <v>89</v>
      </c>
      <c r="M1" s="275"/>
      <c r="N1" s="276"/>
      <c r="O1" s="277" t="s">
        <v>199</v>
      </c>
      <c r="P1" s="278"/>
      <c r="Q1" s="279"/>
      <c r="R1" s="243" t="s">
        <v>200</v>
      </c>
      <c r="S1" s="244"/>
      <c r="T1" s="245"/>
      <c r="U1" s="246" t="s">
        <v>306</v>
      </c>
      <c r="V1" s="247"/>
      <c r="W1" s="248"/>
    </row>
    <row r="2" spans="1:23" x14ac:dyDescent="0.25">
      <c r="A2" s="3"/>
      <c r="B2" s="17"/>
      <c r="C2" s="238"/>
      <c r="D2" s="238"/>
      <c r="E2" s="238"/>
      <c r="F2" s="249" t="s">
        <v>432</v>
      </c>
      <c r="G2" s="250"/>
      <c r="H2" s="251"/>
      <c r="I2" s="264"/>
      <c r="J2" s="265"/>
      <c r="K2" s="266"/>
      <c r="L2" s="261"/>
      <c r="M2" s="262"/>
      <c r="N2" s="263"/>
      <c r="O2" s="258"/>
      <c r="P2" s="259"/>
      <c r="Q2" s="260"/>
      <c r="R2" s="255"/>
      <c r="S2" s="256"/>
      <c r="T2" s="257"/>
      <c r="U2" s="252"/>
      <c r="V2" s="253"/>
      <c r="W2" s="254"/>
    </row>
    <row r="3" spans="1:23" ht="15.75" thickBot="1" x14ac:dyDescent="0.3">
      <c r="A3" s="3" t="s">
        <v>48</v>
      </c>
      <c r="B3" s="17" t="s">
        <v>1</v>
      </c>
      <c r="C3" s="273"/>
      <c r="D3" s="273"/>
      <c r="E3" s="273"/>
      <c r="F3" s="188" t="s">
        <v>393</v>
      </c>
      <c r="G3" s="177" t="s">
        <v>394</v>
      </c>
      <c r="H3" s="189" t="s">
        <v>395</v>
      </c>
      <c r="I3" s="186" t="s">
        <v>393</v>
      </c>
      <c r="J3" s="37" t="s">
        <v>394</v>
      </c>
      <c r="K3" s="187" t="s">
        <v>395</v>
      </c>
      <c r="L3" s="184" t="s">
        <v>393</v>
      </c>
      <c r="M3" s="178" t="s">
        <v>394</v>
      </c>
      <c r="N3" s="185" t="s">
        <v>395</v>
      </c>
      <c r="O3" s="182" t="s">
        <v>393</v>
      </c>
      <c r="P3" s="179" t="s">
        <v>394</v>
      </c>
      <c r="Q3" s="183" t="s">
        <v>395</v>
      </c>
      <c r="R3" s="169" t="s">
        <v>393</v>
      </c>
      <c r="S3" s="164" t="s">
        <v>394</v>
      </c>
      <c r="T3" s="170" t="s">
        <v>395</v>
      </c>
      <c r="U3" s="180" t="s">
        <v>393</v>
      </c>
      <c r="V3" s="176" t="s">
        <v>394</v>
      </c>
      <c r="W3" s="181" t="s">
        <v>395</v>
      </c>
    </row>
    <row r="4" spans="1:23" x14ac:dyDescent="0.25">
      <c r="A4" s="27">
        <v>1</v>
      </c>
      <c r="B4" s="37" t="s">
        <v>278</v>
      </c>
      <c r="C4" s="190">
        <f>SUM(F4,I4,L4,O4,R4,U4)</f>
        <v>0</v>
      </c>
      <c r="D4" s="190">
        <f t="shared" ref="D4:D5" si="0">SUM(G4,J4,M4,P4,S4,V4)</f>
        <v>0</v>
      </c>
      <c r="E4" s="190">
        <f>SUM(H4,K4,N4,Q4,T4,W4)</f>
        <v>0</v>
      </c>
      <c r="F4" s="52"/>
      <c r="G4" s="36"/>
      <c r="H4" s="53"/>
      <c r="I4" s="52"/>
      <c r="J4" s="36"/>
      <c r="K4" s="53"/>
      <c r="L4" s="52"/>
      <c r="M4" s="36"/>
      <c r="N4" s="53"/>
      <c r="O4" s="52"/>
      <c r="P4" s="36"/>
      <c r="Q4" s="53"/>
      <c r="R4" s="52"/>
      <c r="S4" s="36"/>
      <c r="T4" s="53"/>
      <c r="U4" s="52"/>
      <c r="V4" s="36"/>
      <c r="W4" s="53"/>
    </row>
    <row r="5" spans="1:23" x14ac:dyDescent="0.25">
      <c r="A5" s="27">
        <v>2</v>
      </c>
      <c r="B5" s="35" t="s">
        <v>196</v>
      </c>
      <c r="C5" s="58">
        <f t="shared" ref="C5:E15" si="1">SUM(F5,I5,L5,O5,R5,U5)</f>
        <v>0</v>
      </c>
      <c r="D5" s="58">
        <f t="shared" si="0"/>
        <v>0</v>
      </c>
      <c r="E5" s="58">
        <f t="shared" si="1"/>
        <v>0</v>
      </c>
      <c r="F5" s="52"/>
      <c r="G5" s="36"/>
      <c r="H5" s="53"/>
      <c r="I5" s="52"/>
      <c r="J5" s="36"/>
      <c r="K5" s="53"/>
      <c r="L5" s="52"/>
      <c r="M5" s="36"/>
      <c r="N5" s="53"/>
      <c r="O5" s="52"/>
      <c r="P5" s="36"/>
      <c r="Q5" s="53"/>
      <c r="R5" s="52"/>
      <c r="S5" s="36"/>
      <c r="T5" s="53"/>
      <c r="U5" s="52"/>
      <c r="V5" s="36"/>
      <c r="W5" s="53"/>
    </row>
    <row r="6" spans="1:23" x14ac:dyDescent="0.25">
      <c r="A6" s="27">
        <v>3</v>
      </c>
      <c r="B6" s="35" t="s">
        <v>316</v>
      </c>
      <c r="C6" s="58">
        <f t="shared" si="1"/>
        <v>0</v>
      </c>
      <c r="D6" s="51">
        <f t="shared" si="1"/>
        <v>0</v>
      </c>
      <c r="E6" s="58">
        <f t="shared" si="1"/>
        <v>0</v>
      </c>
      <c r="F6" s="52"/>
      <c r="G6" s="36"/>
      <c r="H6" s="53"/>
      <c r="I6" s="52"/>
      <c r="J6" s="36"/>
      <c r="K6" s="53"/>
      <c r="L6" s="52"/>
      <c r="M6" s="36"/>
      <c r="N6" s="53"/>
      <c r="O6" s="52"/>
      <c r="P6" s="36"/>
      <c r="Q6" s="53"/>
      <c r="R6" s="52"/>
      <c r="S6" s="36"/>
      <c r="T6" s="53"/>
      <c r="U6" s="52"/>
      <c r="V6" s="36"/>
      <c r="W6" s="53"/>
    </row>
    <row r="7" spans="1:23" x14ac:dyDescent="0.25">
      <c r="A7" s="27">
        <v>4</v>
      </c>
      <c r="B7" s="37" t="s">
        <v>220</v>
      </c>
      <c r="C7" s="58">
        <f t="shared" si="1"/>
        <v>0</v>
      </c>
      <c r="D7" s="51">
        <f t="shared" si="1"/>
        <v>0</v>
      </c>
      <c r="E7" s="58">
        <f t="shared" si="1"/>
        <v>0</v>
      </c>
      <c r="F7" s="52"/>
      <c r="G7" s="36"/>
      <c r="H7" s="53"/>
      <c r="I7" s="52"/>
      <c r="J7" s="36"/>
      <c r="K7" s="53"/>
      <c r="L7" s="52"/>
      <c r="M7" s="36"/>
      <c r="N7" s="53"/>
      <c r="O7" s="52"/>
      <c r="P7" s="36"/>
      <c r="Q7" s="53"/>
      <c r="R7" s="52"/>
      <c r="S7" s="36"/>
      <c r="T7" s="53"/>
      <c r="U7" s="52"/>
      <c r="V7" s="36"/>
      <c r="W7" s="53"/>
    </row>
    <row r="8" spans="1:23" x14ac:dyDescent="0.25">
      <c r="A8" s="27">
        <v>5</v>
      </c>
      <c r="B8" s="37" t="s">
        <v>318</v>
      </c>
      <c r="C8" s="58">
        <f t="shared" si="1"/>
        <v>0</v>
      </c>
      <c r="D8" s="51">
        <f t="shared" si="1"/>
        <v>0</v>
      </c>
      <c r="E8" s="58">
        <f t="shared" si="1"/>
        <v>0</v>
      </c>
      <c r="F8" s="52"/>
      <c r="G8" s="36"/>
      <c r="H8" s="53"/>
      <c r="I8" s="52"/>
      <c r="J8" s="36"/>
      <c r="K8" s="53"/>
      <c r="L8" s="52"/>
      <c r="M8" s="36"/>
      <c r="N8" s="53"/>
      <c r="O8" s="52"/>
      <c r="P8" s="36"/>
      <c r="Q8" s="53"/>
      <c r="R8" s="52"/>
      <c r="S8" s="36"/>
      <c r="T8" s="53"/>
      <c r="U8" s="52"/>
      <c r="V8" s="36"/>
      <c r="W8" s="53"/>
    </row>
    <row r="9" spans="1:23" x14ac:dyDescent="0.25">
      <c r="A9" s="27">
        <v>6</v>
      </c>
      <c r="B9" s="37" t="s">
        <v>198</v>
      </c>
      <c r="C9" s="58">
        <f t="shared" si="1"/>
        <v>1</v>
      </c>
      <c r="D9" s="51">
        <f t="shared" si="1"/>
        <v>0</v>
      </c>
      <c r="E9" s="58">
        <f t="shared" si="1"/>
        <v>0</v>
      </c>
      <c r="F9" s="52">
        <v>1</v>
      </c>
      <c r="G9" s="36"/>
      <c r="H9" s="53"/>
      <c r="I9" s="52"/>
      <c r="J9" s="36"/>
      <c r="K9" s="53"/>
      <c r="L9" s="52"/>
      <c r="M9" s="36"/>
      <c r="N9" s="53"/>
      <c r="O9" s="52"/>
      <c r="P9" s="36"/>
      <c r="Q9" s="53"/>
      <c r="R9" s="52"/>
      <c r="S9" s="36"/>
      <c r="T9" s="53"/>
      <c r="U9" s="52"/>
      <c r="V9" s="36"/>
      <c r="W9" s="53"/>
    </row>
    <row r="10" spans="1:23" x14ac:dyDescent="0.25">
      <c r="A10" s="27">
        <v>7</v>
      </c>
      <c r="B10" s="37" t="s">
        <v>180</v>
      </c>
      <c r="C10" s="58">
        <f t="shared" si="1"/>
        <v>0</v>
      </c>
      <c r="D10" s="51">
        <f t="shared" si="1"/>
        <v>0</v>
      </c>
      <c r="E10" s="58">
        <f t="shared" si="1"/>
        <v>0</v>
      </c>
      <c r="F10" s="52"/>
      <c r="G10" s="36"/>
      <c r="H10" s="53"/>
      <c r="I10" s="52"/>
      <c r="J10" s="36"/>
      <c r="K10" s="53"/>
      <c r="L10" s="52"/>
      <c r="M10" s="36"/>
      <c r="N10" s="53"/>
      <c r="O10" s="52"/>
      <c r="P10" s="36"/>
      <c r="Q10" s="53"/>
      <c r="R10" s="52"/>
      <c r="S10" s="36"/>
      <c r="T10" s="53"/>
      <c r="U10" s="52"/>
      <c r="V10" s="36"/>
      <c r="W10" s="53"/>
    </row>
    <row r="11" spans="1:23" x14ac:dyDescent="0.25">
      <c r="A11" s="27">
        <v>8</v>
      </c>
      <c r="B11" s="37" t="s">
        <v>218</v>
      </c>
      <c r="C11" s="58">
        <f t="shared" si="1"/>
        <v>1</v>
      </c>
      <c r="D11" s="51">
        <f t="shared" si="1"/>
        <v>0</v>
      </c>
      <c r="E11" s="58">
        <f t="shared" si="1"/>
        <v>0</v>
      </c>
      <c r="F11" s="52">
        <v>1</v>
      </c>
      <c r="G11" s="36"/>
      <c r="H11" s="53"/>
      <c r="I11" s="52"/>
      <c r="J11" s="36"/>
      <c r="K11" s="53"/>
      <c r="L11" s="52"/>
      <c r="M11" s="36"/>
      <c r="N11" s="53"/>
      <c r="O11" s="52"/>
      <c r="P11" s="36"/>
      <c r="Q11" s="53"/>
      <c r="R11" s="52"/>
      <c r="S11" s="36"/>
      <c r="T11" s="53"/>
      <c r="U11" s="52"/>
      <c r="V11" s="36"/>
      <c r="W11" s="53"/>
    </row>
    <row r="12" spans="1:23" x14ac:dyDescent="0.25">
      <c r="A12" s="27">
        <v>10</v>
      </c>
      <c r="B12" s="37" t="s">
        <v>319</v>
      </c>
      <c r="C12" s="58">
        <f t="shared" si="1"/>
        <v>1</v>
      </c>
      <c r="D12" s="51">
        <f t="shared" si="1"/>
        <v>0</v>
      </c>
      <c r="E12" s="58">
        <f t="shared" si="1"/>
        <v>1</v>
      </c>
      <c r="F12" s="52">
        <v>1</v>
      </c>
      <c r="G12" s="36"/>
      <c r="H12" s="53">
        <v>1</v>
      </c>
      <c r="I12" s="52"/>
      <c r="J12" s="36"/>
      <c r="K12" s="53"/>
      <c r="L12" s="52"/>
      <c r="M12" s="36"/>
      <c r="N12" s="53"/>
      <c r="O12" s="52"/>
      <c r="P12" s="36"/>
      <c r="Q12" s="53"/>
      <c r="R12" s="52"/>
      <c r="S12" s="36"/>
      <c r="T12" s="53"/>
      <c r="U12" s="52"/>
      <c r="V12" s="36"/>
      <c r="W12" s="53"/>
    </row>
    <row r="13" spans="1:23" x14ac:dyDescent="0.25">
      <c r="A13" s="27">
        <v>12</v>
      </c>
      <c r="B13" s="35" t="s">
        <v>276</v>
      </c>
      <c r="C13" s="58">
        <f t="shared" si="1"/>
        <v>0</v>
      </c>
      <c r="D13" s="51">
        <f t="shared" si="1"/>
        <v>0</v>
      </c>
      <c r="E13" s="58">
        <f t="shared" si="1"/>
        <v>0</v>
      </c>
      <c r="F13" s="52"/>
      <c r="G13" s="36"/>
      <c r="H13" s="53"/>
      <c r="I13" s="52"/>
      <c r="J13" s="36"/>
      <c r="K13" s="53"/>
      <c r="L13" s="52"/>
      <c r="M13" s="36"/>
      <c r="N13" s="53"/>
      <c r="O13" s="52"/>
      <c r="P13" s="36"/>
      <c r="Q13" s="53"/>
      <c r="R13" s="52"/>
      <c r="S13" s="36"/>
      <c r="T13" s="53"/>
      <c r="U13" s="52"/>
      <c r="V13" s="36"/>
      <c r="W13" s="53"/>
    </row>
    <row r="14" spans="1:23" x14ac:dyDescent="0.25">
      <c r="A14" s="27">
        <v>13</v>
      </c>
      <c r="B14" s="149" t="s">
        <v>312</v>
      </c>
      <c r="C14" s="58">
        <f t="shared" si="1"/>
        <v>1</v>
      </c>
      <c r="D14" s="51">
        <f t="shared" si="1"/>
        <v>0</v>
      </c>
      <c r="E14" s="58">
        <f t="shared" si="1"/>
        <v>0</v>
      </c>
      <c r="F14" s="52">
        <v>1</v>
      </c>
      <c r="G14" s="36"/>
      <c r="H14" s="53"/>
      <c r="I14" s="52"/>
      <c r="J14" s="36"/>
      <c r="K14" s="53"/>
      <c r="L14" s="52"/>
      <c r="M14" s="36"/>
      <c r="N14" s="53"/>
      <c r="O14" s="52"/>
      <c r="P14" s="36"/>
      <c r="Q14" s="53"/>
      <c r="R14" s="52"/>
      <c r="S14" s="36"/>
      <c r="T14" s="53"/>
      <c r="U14" s="52"/>
      <c r="V14" s="36"/>
      <c r="W14" s="53"/>
    </row>
    <row r="15" spans="1:23" x14ac:dyDescent="0.25">
      <c r="A15" s="27">
        <v>14</v>
      </c>
      <c r="B15" s="149" t="s">
        <v>317</v>
      </c>
      <c r="C15" s="58">
        <f t="shared" si="1"/>
        <v>1</v>
      </c>
      <c r="D15" s="51">
        <f t="shared" si="1"/>
        <v>0</v>
      </c>
      <c r="E15" s="58">
        <f t="shared" si="1"/>
        <v>0</v>
      </c>
      <c r="F15" s="52">
        <v>1</v>
      </c>
      <c r="G15" s="36"/>
      <c r="H15" s="53"/>
      <c r="I15" s="52"/>
      <c r="J15" s="36"/>
      <c r="K15" s="53"/>
      <c r="L15" s="52"/>
      <c r="M15" s="36"/>
      <c r="N15" s="53"/>
      <c r="O15" s="52"/>
      <c r="P15" s="36"/>
      <c r="Q15" s="53"/>
      <c r="R15" s="52"/>
      <c r="S15" s="36"/>
      <c r="T15" s="53"/>
      <c r="U15" s="52"/>
      <c r="V15" s="36"/>
      <c r="W15" s="53"/>
    </row>
    <row r="16" spans="1:23" x14ac:dyDescent="0.25">
      <c r="A16" s="27">
        <v>15</v>
      </c>
      <c r="B16" s="149" t="s">
        <v>431</v>
      </c>
      <c r="C16" s="58">
        <f t="shared" ref="C16:C28" si="2">SUM(F16,I16,L16,O16,R16,U16)</f>
        <v>1</v>
      </c>
      <c r="D16" s="51">
        <f t="shared" ref="D16:D28" si="3">SUM(G16,J16,M16,P16,S16,V16)</f>
        <v>0</v>
      </c>
      <c r="E16" s="58">
        <f t="shared" ref="E16:E28" si="4">SUM(H16,K16,N16,Q16,T16,W16)</f>
        <v>0</v>
      </c>
      <c r="F16" s="52">
        <v>1</v>
      </c>
      <c r="G16" s="36"/>
      <c r="H16" s="53"/>
      <c r="I16" s="52"/>
      <c r="J16" s="36"/>
      <c r="K16" s="53"/>
      <c r="L16" s="52"/>
      <c r="M16" s="36"/>
      <c r="N16" s="53"/>
      <c r="O16" s="52"/>
      <c r="P16" s="36"/>
      <c r="Q16" s="53"/>
      <c r="R16" s="52"/>
      <c r="S16" s="36"/>
      <c r="T16" s="53"/>
      <c r="U16" s="52"/>
      <c r="V16" s="36"/>
      <c r="W16" s="53"/>
    </row>
    <row r="17" spans="1:23" x14ac:dyDescent="0.25">
      <c r="A17" s="27">
        <v>17</v>
      </c>
      <c r="B17" s="148" t="s">
        <v>343</v>
      </c>
      <c r="C17" s="58">
        <f t="shared" si="2"/>
        <v>1</v>
      </c>
      <c r="D17" s="51">
        <f t="shared" si="3"/>
        <v>0</v>
      </c>
      <c r="E17" s="58">
        <f t="shared" si="4"/>
        <v>0</v>
      </c>
      <c r="F17" s="52">
        <v>1</v>
      </c>
      <c r="G17" s="36"/>
      <c r="H17" s="53"/>
      <c r="I17" s="52"/>
      <c r="J17" s="36"/>
      <c r="K17" s="53"/>
      <c r="L17" s="52"/>
      <c r="M17" s="36"/>
      <c r="N17" s="53"/>
      <c r="O17" s="52"/>
      <c r="P17" s="36"/>
      <c r="Q17" s="53"/>
      <c r="R17" s="52"/>
      <c r="S17" s="36"/>
      <c r="T17" s="53"/>
      <c r="U17" s="52"/>
      <c r="V17" s="36"/>
      <c r="W17" s="53"/>
    </row>
    <row r="18" spans="1:23" x14ac:dyDescent="0.25">
      <c r="A18" s="27">
        <v>20</v>
      </c>
      <c r="B18" s="148" t="s">
        <v>315</v>
      </c>
      <c r="C18" s="58">
        <f t="shared" si="2"/>
        <v>1</v>
      </c>
      <c r="D18" s="51">
        <f t="shared" si="3"/>
        <v>1</v>
      </c>
      <c r="E18" s="58">
        <f t="shared" si="4"/>
        <v>0</v>
      </c>
      <c r="F18" s="52">
        <v>1</v>
      </c>
      <c r="G18" s="36">
        <v>1</v>
      </c>
      <c r="H18" s="53"/>
      <c r="I18" s="52"/>
      <c r="J18" s="36"/>
      <c r="K18" s="53"/>
      <c r="L18" s="52"/>
      <c r="M18" s="36"/>
      <c r="N18" s="53"/>
      <c r="O18" s="52"/>
      <c r="P18" s="36"/>
      <c r="Q18" s="53"/>
      <c r="R18" s="52"/>
      <c r="S18" s="36"/>
      <c r="T18" s="53"/>
      <c r="U18" s="52"/>
      <c r="V18" s="36"/>
      <c r="W18" s="53"/>
    </row>
    <row r="19" spans="1:23" x14ac:dyDescent="0.25">
      <c r="A19" s="28">
        <v>22</v>
      </c>
      <c r="B19" s="40" t="s">
        <v>263</v>
      </c>
      <c r="C19" s="58">
        <f t="shared" si="2"/>
        <v>0</v>
      </c>
      <c r="D19" s="51">
        <f t="shared" si="3"/>
        <v>0</v>
      </c>
      <c r="E19" s="58">
        <f t="shared" si="4"/>
        <v>0</v>
      </c>
      <c r="F19" s="52"/>
      <c r="G19" s="36"/>
      <c r="H19" s="53"/>
      <c r="I19" s="52"/>
      <c r="J19" s="36"/>
      <c r="K19" s="53"/>
      <c r="L19" s="52"/>
      <c r="M19" s="36"/>
      <c r="N19" s="53"/>
      <c r="O19" s="52"/>
      <c r="P19" s="36"/>
      <c r="Q19" s="53"/>
      <c r="R19" s="52"/>
      <c r="S19" s="36"/>
      <c r="T19" s="53"/>
      <c r="U19" s="52"/>
      <c r="V19" s="36"/>
      <c r="W19" s="53"/>
    </row>
    <row r="20" spans="1:23" x14ac:dyDescent="0.25">
      <c r="A20" s="27">
        <v>23</v>
      </c>
      <c r="B20" s="37" t="s">
        <v>293</v>
      </c>
      <c r="C20" s="58">
        <f t="shared" si="2"/>
        <v>1</v>
      </c>
      <c r="D20" s="51">
        <f t="shared" si="3"/>
        <v>1</v>
      </c>
      <c r="E20" s="58">
        <f t="shared" si="4"/>
        <v>0</v>
      </c>
      <c r="F20" s="52">
        <v>1</v>
      </c>
      <c r="G20" s="36">
        <v>1</v>
      </c>
      <c r="H20" s="53"/>
      <c r="I20" s="52"/>
      <c r="J20" s="36"/>
      <c r="K20" s="53"/>
      <c r="L20" s="52"/>
      <c r="M20" s="36"/>
      <c r="N20" s="53"/>
      <c r="O20" s="52"/>
      <c r="P20" s="36"/>
      <c r="Q20" s="53"/>
      <c r="R20" s="52"/>
      <c r="S20" s="36"/>
      <c r="T20" s="53"/>
      <c r="U20" s="52"/>
      <c r="V20" s="36"/>
      <c r="W20" s="53"/>
    </row>
    <row r="21" spans="1:23" x14ac:dyDescent="0.25">
      <c r="A21" s="28">
        <v>29</v>
      </c>
      <c r="B21" s="148" t="s">
        <v>275</v>
      </c>
      <c r="C21" s="58">
        <f t="shared" si="2"/>
        <v>0</v>
      </c>
      <c r="D21" s="51">
        <f t="shared" si="3"/>
        <v>0</v>
      </c>
      <c r="E21" s="58">
        <f t="shared" si="4"/>
        <v>0</v>
      </c>
      <c r="F21" s="52"/>
      <c r="G21" s="36"/>
      <c r="H21" s="53"/>
      <c r="I21" s="52"/>
      <c r="J21" s="36"/>
      <c r="K21" s="53"/>
      <c r="L21" s="52"/>
      <c r="M21" s="36"/>
      <c r="N21" s="53"/>
      <c r="O21" s="52"/>
      <c r="P21" s="36"/>
      <c r="Q21" s="53"/>
      <c r="R21" s="52"/>
      <c r="S21" s="36"/>
      <c r="T21" s="53"/>
      <c r="U21" s="52"/>
      <c r="V21" s="36"/>
      <c r="W21" s="53"/>
    </row>
    <row r="22" spans="1:23" x14ac:dyDescent="0.25">
      <c r="A22" s="28">
        <v>30</v>
      </c>
      <c r="B22" s="148" t="s">
        <v>344</v>
      </c>
      <c r="C22" s="58">
        <f t="shared" si="2"/>
        <v>0</v>
      </c>
      <c r="D22" s="51">
        <f t="shared" si="3"/>
        <v>0</v>
      </c>
      <c r="E22" s="58">
        <f t="shared" si="4"/>
        <v>0</v>
      </c>
      <c r="F22" s="52"/>
      <c r="G22" s="36"/>
      <c r="H22" s="53"/>
      <c r="I22" s="52"/>
      <c r="J22" s="36"/>
      <c r="K22" s="53"/>
      <c r="L22" s="52"/>
      <c r="M22" s="36"/>
      <c r="N22" s="53"/>
      <c r="O22" s="52"/>
      <c r="P22" s="36"/>
      <c r="Q22" s="53"/>
      <c r="R22" s="52"/>
      <c r="S22" s="36"/>
      <c r="T22" s="53"/>
      <c r="U22" s="52"/>
      <c r="V22" s="36"/>
      <c r="W22" s="53"/>
    </row>
    <row r="23" spans="1:23" x14ac:dyDescent="0.25">
      <c r="A23" s="28">
        <v>33</v>
      </c>
      <c r="B23" s="148" t="s">
        <v>291</v>
      </c>
      <c r="C23" s="58">
        <f t="shared" si="2"/>
        <v>0</v>
      </c>
      <c r="D23" s="51">
        <f t="shared" si="3"/>
        <v>0</v>
      </c>
      <c r="E23" s="58">
        <f t="shared" si="4"/>
        <v>0</v>
      </c>
      <c r="F23" s="52"/>
      <c r="G23" s="36"/>
      <c r="H23" s="53"/>
      <c r="I23" s="52"/>
      <c r="J23" s="36"/>
      <c r="K23" s="53"/>
      <c r="L23" s="52"/>
      <c r="M23" s="36"/>
      <c r="N23" s="53"/>
      <c r="O23" s="52"/>
      <c r="P23" s="36"/>
      <c r="Q23" s="53"/>
      <c r="R23" s="52"/>
      <c r="S23" s="36"/>
      <c r="T23" s="53"/>
      <c r="U23" s="52"/>
      <c r="V23" s="36"/>
      <c r="W23" s="53"/>
    </row>
    <row r="24" spans="1:23" x14ac:dyDescent="0.25">
      <c r="A24" s="28">
        <v>35</v>
      </c>
      <c r="B24" s="148" t="s">
        <v>303</v>
      </c>
      <c r="C24" s="58">
        <f t="shared" si="2"/>
        <v>0</v>
      </c>
      <c r="D24" s="51">
        <f t="shared" si="3"/>
        <v>0</v>
      </c>
      <c r="E24" s="58">
        <f t="shared" si="4"/>
        <v>0</v>
      </c>
      <c r="F24" s="52"/>
      <c r="G24" s="36"/>
      <c r="H24" s="53"/>
      <c r="I24" s="52"/>
      <c r="J24" s="36"/>
      <c r="K24" s="53"/>
      <c r="L24" s="52"/>
      <c r="M24" s="36"/>
      <c r="N24" s="53"/>
      <c r="O24" s="52"/>
      <c r="P24" s="36"/>
      <c r="Q24" s="53"/>
      <c r="R24" s="52"/>
      <c r="S24" s="36"/>
      <c r="T24" s="53"/>
      <c r="U24" s="52"/>
      <c r="V24" s="36"/>
      <c r="W24" s="53"/>
    </row>
    <row r="25" spans="1:23" x14ac:dyDescent="0.25">
      <c r="A25" s="28">
        <v>36</v>
      </c>
      <c r="B25" s="148" t="s">
        <v>313</v>
      </c>
      <c r="C25" s="58">
        <f t="shared" si="2"/>
        <v>1</v>
      </c>
      <c r="D25" s="51">
        <f t="shared" si="3"/>
        <v>0</v>
      </c>
      <c r="E25" s="58">
        <f t="shared" si="4"/>
        <v>1</v>
      </c>
      <c r="F25" s="52">
        <v>1</v>
      </c>
      <c r="G25" s="36"/>
      <c r="H25" s="53">
        <v>1</v>
      </c>
      <c r="I25" s="52"/>
      <c r="J25" s="36"/>
      <c r="K25" s="53"/>
      <c r="L25" s="52"/>
      <c r="M25" s="36"/>
      <c r="N25" s="53"/>
      <c r="O25" s="52"/>
      <c r="P25" s="36"/>
      <c r="Q25" s="53"/>
      <c r="R25" s="52"/>
      <c r="S25" s="36"/>
      <c r="T25" s="53"/>
      <c r="U25" s="52"/>
      <c r="V25" s="36"/>
      <c r="W25" s="53"/>
    </row>
    <row r="26" spans="1:23" x14ac:dyDescent="0.25">
      <c r="A26" s="28">
        <v>39</v>
      </c>
      <c r="B26" s="148" t="s">
        <v>345</v>
      </c>
      <c r="C26" s="58">
        <f t="shared" si="2"/>
        <v>1</v>
      </c>
      <c r="D26" s="51">
        <f t="shared" si="3"/>
        <v>0</v>
      </c>
      <c r="E26" s="58">
        <f t="shared" si="4"/>
        <v>0</v>
      </c>
      <c r="F26" s="52">
        <v>1</v>
      </c>
      <c r="G26" s="36"/>
      <c r="H26" s="53"/>
      <c r="I26" s="52"/>
      <c r="J26" s="36"/>
      <c r="K26" s="53"/>
      <c r="L26" s="52"/>
      <c r="M26" s="36"/>
      <c r="N26" s="53"/>
      <c r="O26" s="52"/>
      <c r="P26" s="36"/>
      <c r="Q26" s="53"/>
      <c r="R26" s="52"/>
      <c r="S26" s="36"/>
      <c r="T26" s="53"/>
      <c r="U26" s="52"/>
      <c r="V26" s="36"/>
      <c r="W26" s="53"/>
    </row>
    <row r="27" spans="1:23" x14ac:dyDescent="0.25">
      <c r="A27" s="27">
        <v>40</v>
      </c>
      <c r="B27" s="149" t="s">
        <v>341</v>
      </c>
      <c r="C27" s="58">
        <f>SUM(F27,I27,L27,O27,R27,U27)</f>
        <v>0</v>
      </c>
      <c r="D27" s="51">
        <f>SUM(G27,J27,M27,P27,S27,V27)</f>
        <v>0</v>
      </c>
      <c r="E27" s="58">
        <f>SUM(H27,K27,N27,Q27,T27,W27)</f>
        <v>0</v>
      </c>
      <c r="F27" s="52"/>
      <c r="G27" s="36"/>
      <c r="H27" s="53"/>
      <c r="I27" s="52"/>
      <c r="J27" s="36"/>
      <c r="K27" s="53"/>
      <c r="L27" s="52"/>
      <c r="M27" s="36"/>
      <c r="N27" s="53"/>
      <c r="O27" s="52"/>
      <c r="P27" s="36"/>
      <c r="Q27" s="53"/>
      <c r="R27" s="52"/>
      <c r="S27" s="36"/>
      <c r="T27" s="53"/>
      <c r="U27" s="52"/>
      <c r="V27" s="36"/>
      <c r="W27" s="53"/>
    </row>
    <row r="28" spans="1:23" x14ac:dyDescent="0.25">
      <c r="A28" s="27">
        <v>41</v>
      </c>
      <c r="B28" s="35" t="s">
        <v>277</v>
      </c>
      <c r="C28" s="58">
        <f t="shared" si="2"/>
        <v>0</v>
      </c>
      <c r="D28" s="51">
        <f t="shared" si="3"/>
        <v>0</v>
      </c>
      <c r="E28" s="58">
        <f t="shared" si="4"/>
        <v>0</v>
      </c>
      <c r="F28" s="52"/>
      <c r="G28" s="36"/>
      <c r="H28" s="53"/>
      <c r="I28" s="52"/>
      <c r="J28" s="36"/>
      <c r="K28" s="53"/>
      <c r="L28" s="52"/>
      <c r="M28" s="36"/>
      <c r="N28" s="53"/>
      <c r="O28" s="52"/>
      <c r="P28" s="36"/>
      <c r="Q28" s="53"/>
      <c r="R28" s="52"/>
      <c r="S28" s="36"/>
      <c r="T28" s="53"/>
      <c r="U28" s="52"/>
      <c r="V28" s="36"/>
      <c r="W28" s="53"/>
    </row>
    <row r="29" spans="1:23" x14ac:dyDescent="0.25">
      <c r="A29" s="56">
        <v>43</v>
      </c>
      <c r="B29" s="148" t="s">
        <v>327</v>
      </c>
      <c r="C29" s="58">
        <f t="shared" ref="C29:E30" si="5">SUM(F29,I29,L29,O29,R29,U29)</f>
        <v>0</v>
      </c>
      <c r="D29" s="51">
        <f t="shared" si="5"/>
        <v>0</v>
      </c>
      <c r="E29" s="58">
        <f t="shared" si="5"/>
        <v>0</v>
      </c>
      <c r="F29" s="52"/>
      <c r="G29" s="36"/>
      <c r="H29" s="53"/>
      <c r="I29" s="52"/>
      <c r="J29" s="36"/>
      <c r="K29" s="53"/>
      <c r="L29" s="52"/>
      <c r="M29" s="36"/>
      <c r="N29" s="53"/>
      <c r="O29" s="52"/>
      <c r="P29" s="36"/>
      <c r="Q29" s="53"/>
      <c r="R29" s="52"/>
      <c r="S29" s="36"/>
      <c r="T29" s="53"/>
      <c r="U29" s="52"/>
      <c r="V29" s="36"/>
      <c r="W29" s="53"/>
    </row>
    <row r="30" spans="1:23" x14ac:dyDescent="0.25">
      <c r="A30" s="28">
        <v>44</v>
      </c>
      <c r="B30" s="148" t="s">
        <v>338</v>
      </c>
      <c r="C30" s="58">
        <f t="shared" si="5"/>
        <v>1</v>
      </c>
      <c r="D30" s="51">
        <f t="shared" si="5"/>
        <v>0</v>
      </c>
      <c r="E30" s="58">
        <f t="shared" si="5"/>
        <v>0</v>
      </c>
      <c r="F30" s="52">
        <v>1</v>
      </c>
      <c r="G30" s="36"/>
      <c r="H30" s="53"/>
      <c r="I30" s="52"/>
      <c r="J30" s="36"/>
      <c r="K30" s="53"/>
      <c r="L30" s="52"/>
      <c r="M30" s="36"/>
      <c r="N30" s="53"/>
      <c r="O30" s="52"/>
      <c r="P30" s="36"/>
      <c r="Q30" s="53"/>
      <c r="R30" s="52"/>
      <c r="S30" s="36"/>
      <c r="T30" s="53"/>
      <c r="U30" s="52"/>
      <c r="V30" s="36"/>
      <c r="W30" s="53"/>
    </row>
    <row r="31" spans="1:23" x14ac:dyDescent="0.25">
      <c r="A31" s="28">
        <v>45</v>
      </c>
      <c r="B31" s="148" t="s">
        <v>468</v>
      </c>
      <c r="C31" s="58">
        <f t="shared" ref="C31:C38" si="6">SUM(F31,I31,L31,O31,R31,U31)</f>
        <v>1</v>
      </c>
      <c r="D31" s="51">
        <f t="shared" ref="D31:D38" si="7">SUM(G31,J31,M31,P31,S31,V31)</f>
        <v>0</v>
      </c>
      <c r="E31" s="58">
        <f t="shared" ref="E31:E38" si="8">SUM(H31,K31,N31,Q31,T31,W31)</f>
        <v>0</v>
      </c>
      <c r="F31" s="52">
        <v>1</v>
      </c>
      <c r="G31" s="36"/>
      <c r="H31" s="53"/>
      <c r="I31" s="52"/>
      <c r="J31" s="36"/>
      <c r="K31" s="53"/>
      <c r="L31" s="52"/>
      <c r="M31" s="36"/>
      <c r="N31" s="53"/>
      <c r="O31" s="52"/>
      <c r="P31" s="36"/>
      <c r="Q31" s="53"/>
      <c r="R31" s="52"/>
      <c r="S31" s="36"/>
      <c r="T31" s="53"/>
      <c r="U31" s="52"/>
      <c r="V31" s="36"/>
      <c r="W31" s="53"/>
    </row>
    <row r="32" spans="1:23" x14ac:dyDescent="0.25">
      <c r="A32" s="27">
        <v>46</v>
      </c>
      <c r="B32" s="34" t="s">
        <v>298</v>
      </c>
      <c r="C32" s="58">
        <f t="shared" si="6"/>
        <v>0</v>
      </c>
      <c r="D32" s="51">
        <f t="shared" si="7"/>
        <v>0</v>
      </c>
      <c r="E32" s="58">
        <f t="shared" si="8"/>
        <v>0</v>
      </c>
      <c r="F32" s="52"/>
      <c r="G32" s="36"/>
      <c r="H32" s="53"/>
      <c r="I32" s="52"/>
      <c r="J32" s="36"/>
      <c r="K32" s="53"/>
      <c r="L32" s="52"/>
      <c r="M32" s="36"/>
      <c r="N32" s="53"/>
      <c r="O32" s="52"/>
      <c r="P32" s="36"/>
      <c r="Q32" s="53"/>
      <c r="R32" s="52"/>
      <c r="S32" s="36"/>
      <c r="T32" s="53"/>
      <c r="U32" s="52"/>
      <c r="V32" s="36"/>
      <c r="W32" s="53"/>
    </row>
    <row r="33" spans="1:23" x14ac:dyDescent="0.25">
      <c r="A33" s="27">
        <v>49</v>
      </c>
      <c r="B33" s="35" t="s">
        <v>297</v>
      </c>
      <c r="C33" s="58">
        <f t="shared" si="6"/>
        <v>1</v>
      </c>
      <c r="D33" s="51">
        <f t="shared" si="7"/>
        <v>0</v>
      </c>
      <c r="E33" s="58">
        <f t="shared" si="8"/>
        <v>0</v>
      </c>
      <c r="F33" s="52">
        <v>1</v>
      </c>
      <c r="G33" s="36"/>
      <c r="H33" s="53"/>
      <c r="I33" s="52"/>
      <c r="J33" s="36"/>
      <c r="K33" s="53"/>
      <c r="L33" s="52"/>
      <c r="M33" s="36"/>
      <c r="N33" s="53"/>
      <c r="O33" s="52"/>
      <c r="P33" s="36"/>
      <c r="Q33" s="53"/>
      <c r="R33" s="52"/>
      <c r="S33" s="36"/>
      <c r="T33" s="53"/>
      <c r="U33" s="52"/>
      <c r="V33" s="36"/>
      <c r="W33" s="53"/>
    </row>
    <row r="34" spans="1:23" x14ac:dyDescent="0.25">
      <c r="A34" s="28">
        <v>53</v>
      </c>
      <c r="B34" s="148" t="s">
        <v>292</v>
      </c>
      <c r="C34" s="58">
        <f t="shared" si="6"/>
        <v>0</v>
      </c>
      <c r="D34" s="51">
        <f t="shared" si="7"/>
        <v>0</v>
      </c>
      <c r="E34" s="58">
        <f t="shared" si="8"/>
        <v>0</v>
      </c>
      <c r="F34" s="52"/>
      <c r="G34" s="36"/>
      <c r="H34" s="53"/>
      <c r="I34" s="52"/>
      <c r="J34" s="36"/>
      <c r="K34" s="53"/>
      <c r="L34" s="52"/>
      <c r="M34" s="36"/>
      <c r="N34" s="53"/>
      <c r="O34" s="52"/>
      <c r="P34" s="36"/>
      <c r="Q34" s="53"/>
      <c r="R34" s="52"/>
      <c r="S34" s="36"/>
      <c r="T34" s="53"/>
      <c r="U34" s="52"/>
      <c r="V34" s="36"/>
      <c r="W34" s="53"/>
    </row>
    <row r="35" spans="1:23" x14ac:dyDescent="0.25">
      <c r="A35" s="28">
        <v>55</v>
      </c>
      <c r="B35" s="37" t="s">
        <v>301</v>
      </c>
      <c r="C35" s="58">
        <f t="shared" si="6"/>
        <v>0</v>
      </c>
      <c r="D35" s="51">
        <f t="shared" si="7"/>
        <v>0</v>
      </c>
      <c r="E35" s="58">
        <f t="shared" si="8"/>
        <v>0</v>
      </c>
      <c r="F35" s="52"/>
      <c r="G35" s="36"/>
      <c r="H35" s="53"/>
      <c r="I35" s="52"/>
      <c r="J35" s="36"/>
      <c r="K35" s="53"/>
      <c r="L35" s="52"/>
      <c r="M35" s="36"/>
      <c r="N35" s="53"/>
      <c r="O35" s="52"/>
      <c r="P35" s="36"/>
      <c r="Q35" s="53"/>
      <c r="R35" s="52"/>
      <c r="S35" s="36"/>
      <c r="T35" s="53"/>
      <c r="U35" s="52"/>
      <c r="V35" s="36"/>
      <c r="W35" s="53"/>
    </row>
    <row r="36" spans="1:23" x14ac:dyDescent="0.25">
      <c r="A36" s="27">
        <v>56</v>
      </c>
      <c r="B36" s="149" t="s">
        <v>322</v>
      </c>
      <c r="C36" s="58">
        <f t="shared" si="6"/>
        <v>1</v>
      </c>
      <c r="D36" s="51">
        <f t="shared" si="7"/>
        <v>2</v>
      </c>
      <c r="E36" s="58">
        <f t="shared" si="8"/>
        <v>0</v>
      </c>
      <c r="F36" s="52">
        <v>1</v>
      </c>
      <c r="G36" s="36">
        <v>2</v>
      </c>
      <c r="H36" s="53"/>
      <c r="I36" s="52"/>
      <c r="J36" s="36"/>
      <c r="K36" s="53"/>
      <c r="L36" s="52"/>
      <c r="M36" s="36"/>
      <c r="N36" s="53"/>
      <c r="O36" s="52"/>
      <c r="P36" s="36"/>
      <c r="Q36" s="53"/>
      <c r="R36" s="52"/>
      <c r="S36" s="36"/>
      <c r="T36" s="53"/>
      <c r="U36" s="52"/>
      <c r="V36" s="36"/>
      <c r="W36" s="53"/>
    </row>
    <row r="37" spans="1:23" x14ac:dyDescent="0.25">
      <c r="A37" s="28">
        <v>71</v>
      </c>
      <c r="B37" s="148" t="s">
        <v>339</v>
      </c>
      <c r="C37" s="58">
        <f t="shared" si="6"/>
        <v>0</v>
      </c>
      <c r="D37" s="51">
        <f t="shared" si="7"/>
        <v>0</v>
      </c>
      <c r="E37" s="58">
        <f t="shared" si="8"/>
        <v>0</v>
      </c>
      <c r="F37" s="52"/>
      <c r="G37" s="36"/>
      <c r="H37" s="53"/>
      <c r="I37" s="52"/>
      <c r="J37" s="36"/>
      <c r="K37" s="53"/>
      <c r="L37" s="52"/>
      <c r="M37" s="36"/>
      <c r="N37" s="53"/>
      <c r="O37" s="52"/>
      <c r="P37" s="36"/>
      <c r="Q37" s="53"/>
      <c r="R37" s="52"/>
      <c r="S37" s="36"/>
      <c r="T37" s="53"/>
      <c r="U37" s="52"/>
      <c r="V37" s="36"/>
      <c r="W37" s="53"/>
    </row>
    <row r="38" spans="1:23" x14ac:dyDescent="0.25">
      <c r="A38" s="28">
        <v>89</v>
      </c>
      <c r="B38" s="148" t="s">
        <v>333</v>
      </c>
      <c r="C38" s="58">
        <f t="shared" si="6"/>
        <v>1</v>
      </c>
      <c r="D38" s="51">
        <f t="shared" si="7"/>
        <v>0</v>
      </c>
      <c r="E38" s="58">
        <f t="shared" si="8"/>
        <v>0</v>
      </c>
      <c r="F38" s="52">
        <v>1</v>
      </c>
      <c r="G38" s="36"/>
      <c r="H38" s="53"/>
      <c r="I38" s="52"/>
      <c r="J38" s="36"/>
      <c r="K38" s="53"/>
      <c r="L38" s="52"/>
      <c r="M38" s="36"/>
      <c r="N38" s="53"/>
      <c r="O38" s="52"/>
      <c r="P38" s="36"/>
      <c r="Q38" s="53"/>
      <c r="R38" s="52"/>
      <c r="S38" s="36"/>
      <c r="T38" s="53"/>
      <c r="U38" s="52"/>
      <c r="V38" s="36"/>
      <c r="W38" s="53"/>
    </row>
    <row r="39" spans="1:23" ht="15.75" thickBot="1" x14ac:dyDescent="0.3">
      <c r="F39" s="171">
        <f t="shared" ref="F39:W39" si="9">SUM(F4:F38)</f>
        <v>16</v>
      </c>
      <c r="G39" s="172">
        <f t="shared" si="9"/>
        <v>4</v>
      </c>
      <c r="H39" s="173">
        <f t="shared" si="9"/>
        <v>2</v>
      </c>
      <c r="I39" s="171">
        <f t="shared" si="9"/>
        <v>0</v>
      </c>
      <c r="J39" s="172">
        <f t="shared" si="9"/>
        <v>0</v>
      </c>
      <c r="K39" s="173">
        <f t="shared" si="9"/>
        <v>0</v>
      </c>
      <c r="L39" s="171">
        <f t="shared" si="9"/>
        <v>0</v>
      </c>
      <c r="M39" s="172">
        <f t="shared" si="9"/>
        <v>0</v>
      </c>
      <c r="N39" s="173">
        <f t="shared" si="9"/>
        <v>0</v>
      </c>
      <c r="O39" s="171">
        <f t="shared" si="9"/>
        <v>0</v>
      </c>
      <c r="P39" s="172">
        <f t="shared" si="9"/>
        <v>0</v>
      </c>
      <c r="Q39" s="173">
        <f t="shared" si="9"/>
        <v>0</v>
      </c>
      <c r="R39" s="171">
        <f t="shared" si="9"/>
        <v>0</v>
      </c>
      <c r="S39" s="172">
        <f t="shared" si="9"/>
        <v>0</v>
      </c>
      <c r="T39" s="173">
        <f t="shared" si="9"/>
        <v>0</v>
      </c>
      <c r="U39" s="171">
        <f t="shared" si="9"/>
        <v>0</v>
      </c>
      <c r="V39" s="172">
        <f t="shared" si="9"/>
        <v>0</v>
      </c>
      <c r="W39" s="173">
        <f t="shared" si="9"/>
        <v>0</v>
      </c>
    </row>
  </sheetData>
  <mergeCells count="15">
    <mergeCell ref="R1:T1"/>
    <mergeCell ref="U1:W1"/>
    <mergeCell ref="F2:H2"/>
    <mergeCell ref="I2:K2"/>
    <mergeCell ref="L2:N2"/>
    <mergeCell ref="O2:Q2"/>
    <mergeCell ref="R2:T2"/>
    <mergeCell ref="U2:W2"/>
    <mergeCell ref="L1:N1"/>
    <mergeCell ref="O1:Q1"/>
    <mergeCell ref="C1:C3"/>
    <mergeCell ref="D1:D3"/>
    <mergeCell ref="E1:E3"/>
    <mergeCell ref="F1:H1"/>
    <mergeCell ref="I1:K1"/>
  </mergeCells>
  <conditionalFormatting sqref="F4:W32">
    <cfRule type="cellIs" dxfId="11" priority="1" operator="equal">
      <formula>1</formula>
    </cfRule>
  </conditionalFormatting>
  <conditionalFormatting sqref="F4:W38">
    <cfRule type="cellIs" dxfId="10" priority="2" operator="between">
      <formula>1</formula>
      <formula>5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7"/>
  <sheetViews>
    <sheetView zoomScale="85" zoomScaleNormal="85" workbookViewId="0">
      <selection activeCell="V16" sqref="V16"/>
    </sheetView>
  </sheetViews>
  <sheetFormatPr defaultColWidth="4.7109375" defaultRowHeight="15" x14ac:dyDescent="0.25"/>
  <cols>
    <col min="1" max="1" width="3.42578125" customWidth="1"/>
    <col min="2" max="2" width="25.7109375" customWidth="1"/>
  </cols>
  <sheetData>
    <row r="1" spans="1:5" x14ac:dyDescent="0.25">
      <c r="C1" s="280" t="s">
        <v>340</v>
      </c>
      <c r="D1" s="281"/>
      <c r="E1" s="281"/>
    </row>
    <row r="2" spans="1:5" x14ac:dyDescent="0.25">
      <c r="A2" s="3" t="s">
        <v>48</v>
      </c>
      <c r="B2" s="17" t="s">
        <v>1</v>
      </c>
      <c r="C2" s="45" t="s">
        <v>393</v>
      </c>
      <c r="D2" s="45" t="s">
        <v>394</v>
      </c>
      <c r="E2" s="45" t="s">
        <v>395</v>
      </c>
    </row>
    <row r="3" spans="1:5" x14ac:dyDescent="0.25">
      <c r="A3" s="27">
        <v>1</v>
      </c>
      <c r="B3" s="148" t="s">
        <v>278</v>
      </c>
      <c r="C3" s="20">
        <v>1</v>
      </c>
      <c r="D3" s="20"/>
      <c r="E3" s="20"/>
    </row>
    <row r="4" spans="1:5" x14ac:dyDescent="0.25">
      <c r="A4" s="27">
        <v>2</v>
      </c>
      <c r="B4" s="149" t="s">
        <v>196</v>
      </c>
      <c r="C4" s="20"/>
      <c r="D4" s="20"/>
      <c r="E4" s="20"/>
    </row>
    <row r="5" spans="1:5" x14ac:dyDescent="0.25">
      <c r="A5" s="27">
        <v>3</v>
      </c>
      <c r="B5" s="149" t="s">
        <v>316</v>
      </c>
      <c r="C5" s="20">
        <v>1</v>
      </c>
      <c r="D5" s="20"/>
      <c r="E5" s="20"/>
    </row>
    <row r="6" spans="1:5" x14ac:dyDescent="0.25">
      <c r="A6" s="27">
        <v>4</v>
      </c>
      <c r="B6" s="148" t="s">
        <v>220</v>
      </c>
      <c r="C6" s="20">
        <v>1</v>
      </c>
      <c r="D6" s="20"/>
      <c r="E6" s="20"/>
    </row>
    <row r="7" spans="1:5" x14ac:dyDescent="0.25">
      <c r="A7" s="27">
        <v>5</v>
      </c>
      <c r="B7" s="148" t="s">
        <v>318</v>
      </c>
      <c r="C7" s="20">
        <v>1</v>
      </c>
      <c r="D7" s="20"/>
      <c r="E7" s="20"/>
    </row>
    <row r="8" spans="1:5" x14ac:dyDescent="0.25">
      <c r="A8" s="27">
        <v>6</v>
      </c>
      <c r="B8" s="148" t="s">
        <v>198</v>
      </c>
      <c r="C8" s="20">
        <v>1</v>
      </c>
      <c r="D8" s="20"/>
      <c r="E8" s="20"/>
    </row>
    <row r="9" spans="1:5" x14ac:dyDescent="0.25">
      <c r="A9" s="27">
        <v>7</v>
      </c>
      <c r="B9" s="148" t="s">
        <v>180</v>
      </c>
      <c r="C9" s="20">
        <v>1</v>
      </c>
      <c r="D9" s="20"/>
      <c r="E9" s="20"/>
    </row>
    <row r="10" spans="1:5" x14ac:dyDescent="0.25">
      <c r="A10" s="27">
        <v>8</v>
      </c>
      <c r="B10" s="148" t="s">
        <v>218</v>
      </c>
      <c r="C10" s="20">
        <v>1</v>
      </c>
      <c r="D10" s="20">
        <v>1</v>
      </c>
      <c r="E10" s="20"/>
    </row>
    <row r="11" spans="1:5" x14ac:dyDescent="0.25">
      <c r="A11" s="27">
        <v>10</v>
      </c>
      <c r="B11" s="148" t="s">
        <v>319</v>
      </c>
      <c r="C11" s="20">
        <v>1</v>
      </c>
      <c r="D11" s="20"/>
      <c r="E11" s="20"/>
    </row>
    <row r="12" spans="1:5" x14ac:dyDescent="0.25">
      <c r="A12" s="27">
        <v>12</v>
      </c>
      <c r="B12" s="149" t="s">
        <v>276</v>
      </c>
      <c r="C12" s="20"/>
      <c r="D12" s="20"/>
      <c r="E12" s="20"/>
    </row>
    <row r="13" spans="1:5" x14ac:dyDescent="0.25">
      <c r="A13" s="27">
        <v>13</v>
      </c>
      <c r="B13" s="149" t="s">
        <v>312</v>
      </c>
      <c r="C13" s="20"/>
      <c r="D13" s="20"/>
      <c r="E13" s="20"/>
    </row>
    <row r="14" spans="1:5" x14ac:dyDescent="0.25">
      <c r="A14" s="27">
        <v>14</v>
      </c>
      <c r="B14" s="149" t="s">
        <v>317</v>
      </c>
      <c r="C14" s="20">
        <v>1</v>
      </c>
      <c r="D14" s="20"/>
      <c r="E14" s="20"/>
    </row>
    <row r="15" spans="1:5" x14ac:dyDescent="0.25">
      <c r="A15" s="27">
        <v>15</v>
      </c>
      <c r="B15" s="149" t="s">
        <v>431</v>
      </c>
      <c r="C15" s="20"/>
      <c r="D15" s="20"/>
      <c r="E15" s="20"/>
    </row>
    <row r="16" spans="1:5" x14ac:dyDescent="0.25">
      <c r="A16" s="27">
        <v>17</v>
      </c>
      <c r="B16" s="148" t="s">
        <v>343</v>
      </c>
      <c r="C16" s="20">
        <v>1</v>
      </c>
      <c r="D16" s="20"/>
      <c r="E16" s="20">
        <v>2</v>
      </c>
    </row>
    <row r="17" spans="1:5" x14ac:dyDescent="0.25">
      <c r="A17" s="27">
        <v>20</v>
      </c>
      <c r="B17" s="148" t="s">
        <v>315</v>
      </c>
      <c r="C17" s="20">
        <v>1</v>
      </c>
      <c r="D17" s="20"/>
      <c r="E17" s="20"/>
    </row>
    <row r="18" spans="1:5" x14ac:dyDescent="0.25">
      <c r="A18" s="28">
        <v>22</v>
      </c>
      <c r="B18" s="158" t="s">
        <v>263</v>
      </c>
      <c r="C18" s="20"/>
      <c r="D18" s="20"/>
      <c r="E18" s="20"/>
    </row>
    <row r="19" spans="1:5" x14ac:dyDescent="0.25">
      <c r="A19" s="27">
        <v>23</v>
      </c>
      <c r="B19" s="148" t="s">
        <v>293</v>
      </c>
      <c r="C19" s="20"/>
      <c r="D19" s="20"/>
      <c r="E19" s="20"/>
    </row>
    <row r="20" spans="1:5" x14ac:dyDescent="0.25">
      <c r="A20" s="28">
        <v>29</v>
      </c>
      <c r="B20" s="148" t="s">
        <v>275</v>
      </c>
      <c r="C20" s="20">
        <v>1</v>
      </c>
      <c r="D20" s="20">
        <v>1</v>
      </c>
      <c r="E20" s="20"/>
    </row>
    <row r="21" spans="1:5" x14ac:dyDescent="0.25">
      <c r="A21" s="28">
        <v>30</v>
      </c>
      <c r="B21" s="148" t="s">
        <v>344</v>
      </c>
      <c r="C21" s="20"/>
      <c r="D21" s="20"/>
      <c r="E21" s="20"/>
    </row>
    <row r="22" spans="1:5" x14ac:dyDescent="0.25">
      <c r="A22" s="28">
        <v>33</v>
      </c>
      <c r="B22" s="148" t="s">
        <v>291</v>
      </c>
      <c r="C22" s="20">
        <v>1</v>
      </c>
      <c r="D22" s="20">
        <v>1</v>
      </c>
      <c r="E22" s="20"/>
    </row>
    <row r="23" spans="1:5" x14ac:dyDescent="0.25">
      <c r="A23" s="28">
        <v>35</v>
      </c>
      <c r="B23" s="148" t="s">
        <v>303</v>
      </c>
      <c r="C23" s="20"/>
      <c r="D23" s="20"/>
      <c r="E23" s="20"/>
    </row>
    <row r="24" spans="1:5" x14ac:dyDescent="0.25">
      <c r="A24" s="28">
        <v>36</v>
      </c>
      <c r="B24" s="148" t="s">
        <v>313</v>
      </c>
      <c r="C24" s="20">
        <v>1</v>
      </c>
      <c r="D24" s="20"/>
      <c r="E24" s="20"/>
    </row>
    <row r="25" spans="1:5" x14ac:dyDescent="0.25">
      <c r="A25" s="28">
        <v>39</v>
      </c>
      <c r="B25" s="148" t="s">
        <v>345</v>
      </c>
      <c r="C25" s="20">
        <v>1</v>
      </c>
      <c r="D25" s="20"/>
      <c r="E25" s="20"/>
    </row>
    <row r="26" spans="1:5" x14ac:dyDescent="0.25">
      <c r="A26" s="27">
        <v>40</v>
      </c>
      <c r="B26" s="149" t="s">
        <v>341</v>
      </c>
      <c r="C26" s="20"/>
      <c r="D26" s="20"/>
      <c r="E26" s="20"/>
    </row>
    <row r="27" spans="1:5" x14ac:dyDescent="0.25">
      <c r="A27" s="27">
        <v>41</v>
      </c>
      <c r="B27" s="149" t="s">
        <v>277</v>
      </c>
      <c r="C27" s="20">
        <v>1</v>
      </c>
      <c r="D27" s="20"/>
      <c r="E27" s="20"/>
    </row>
    <row r="28" spans="1:5" x14ac:dyDescent="0.25">
      <c r="A28" s="56">
        <v>43</v>
      </c>
      <c r="B28" s="148" t="s">
        <v>327</v>
      </c>
      <c r="C28" s="20"/>
      <c r="D28" s="20"/>
      <c r="E28" s="20"/>
    </row>
    <row r="29" spans="1:5" x14ac:dyDescent="0.25">
      <c r="A29" s="28">
        <v>44</v>
      </c>
      <c r="B29" s="148" t="s">
        <v>338</v>
      </c>
      <c r="C29" s="20"/>
      <c r="D29" s="20"/>
      <c r="E29" s="20"/>
    </row>
    <row r="30" spans="1:5" x14ac:dyDescent="0.25">
      <c r="A30" s="28">
        <v>45</v>
      </c>
      <c r="B30" s="148" t="s">
        <v>468</v>
      </c>
      <c r="C30" s="20"/>
      <c r="D30" s="20"/>
      <c r="E30" s="20"/>
    </row>
    <row r="31" spans="1:5" x14ac:dyDescent="0.25">
      <c r="A31" s="27">
        <v>46</v>
      </c>
      <c r="B31" s="159" t="s">
        <v>298</v>
      </c>
      <c r="C31" s="20"/>
      <c r="D31" s="20"/>
      <c r="E31" s="20"/>
    </row>
    <row r="32" spans="1:5" x14ac:dyDescent="0.25">
      <c r="A32" s="27">
        <v>49</v>
      </c>
      <c r="B32" s="149" t="s">
        <v>297</v>
      </c>
      <c r="C32" s="20">
        <v>1</v>
      </c>
      <c r="D32" s="20"/>
      <c r="E32" s="20">
        <v>1</v>
      </c>
    </row>
    <row r="33" spans="1:5" x14ac:dyDescent="0.25">
      <c r="A33" s="28">
        <v>53</v>
      </c>
      <c r="B33" s="148" t="s">
        <v>292</v>
      </c>
      <c r="C33" s="20"/>
      <c r="D33" s="20"/>
      <c r="E33" s="20"/>
    </row>
    <row r="34" spans="1:5" x14ac:dyDescent="0.25">
      <c r="A34" s="28">
        <v>55</v>
      </c>
      <c r="B34" s="148" t="s">
        <v>301</v>
      </c>
      <c r="C34" s="20"/>
      <c r="D34" s="20"/>
      <c r="E34" s="20"/>
    </row>
    <row r="35" spans="1:5" x14ac:dyDescent="0.25">
      <c r="A35" s="27">
        <v>56</v>
      </c>
      <c r="B35" s="149" t="s">
        <v>322</v>
      </c>
      <c r="C35" s="20"/>
      <c r="D35" s="20"/>
      <c r="E35" s="20"/>
    </row>
    <row r="36" spans="1:5" x14ac:dyDescent="0.25">
      <c r="A36" s="28">
        <v>71</v>
      </c>
      <c r="B36" s="148" t="s">
        <v>339</v>
      </c>
      <c r="C36" s="20"/>
      <c r="D36" s="20"/>
      <c r="E36" s="20"/>
    </row>
    <row r="37" spans="1:5" x14ac:dyDescent="0.25">
      <c r="A37" s="28">
        <v>89</v>
      </c>
      <c r="B37" s="148" t="s">
        <v>333</v>
      </c>
      <c r="C37" s="20"/>
      <c r="D37" s="20"/>
      <c r="E37" s="20"/>
    </row>
  </sheetData>
  <mergeCells count="1">
    <mergeCell ref="C1:E1"/>
  </mergeCells>
  <conditionalFormatting sqref="C3:E37">
    <cfRule type="cellIs" dxfId="9" priority="1" operator="between">
      <formula>1</formula>
      <formula>5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160F-C24B-449F-8F5A-CB622AB71070}">
  <dimension ref="A1:AK114"/>
  <sheetViews>
    <sheetView topLeftCell="A82" zoomScale="80" zoomScaleNormal="80" workbookViewId="0">
      <selection activeCell="V100" sqref="V100"/>
    </sheetView>
  </sheetViews>
  <sheetFormatPr defaultColWidth="8.85546875" defaultRowHeight="15" x14ac:dyDescent="0.25"/>
  <cols>
    <col min="1" max="1" width="11.7109375" customWidth="1"/>
    <col min="2" max="3" width="10.7109375" customWidth="1"/>
    <col min="4" max="4" width="10.5703125" customWidth="1"/>
    <col min="10" max="10" width="10.5703125" bestFit="1" customWidth="1"/>
    <col min="11" max="37" width="10" bestFit="1" customWidth="1"/>
  </cols>
  <sheetData>
    <row r="1" spans="1:37" ht="15.75" thickBot="1" x14ac:dyDescent="0.3">
      <c r="C1" s="282" t="s">
        <v>202</v>
      </c>
      <c r="D1" s="283"/>
      <c r="E1" s="283"/>
      <c r="F1" s="283"/>
      <c r="G1" s="283"/>
      <c r="H1" s="283"/>
      <c r="I1" s="284"/>
      <c r="J1" s="114" t="s">
        <v>195</v>
      </c>
      <c r="K1" s="115" t="s">
        <v>194</v>
      </c>
      <c r="L1" s="306" t="s">
        <v>287</v>
      </c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2"/>
      <c r="AH1" s="306" t="s">
        <v>175</v>
      </c>
      <c r="AI1" s="307"/>
      <c r="AJ1" s="307"/>
      <c r="AK1" s="308"/>
    </row>
    <row r="2" spans="1:37" x14ac:dyDescent="0.25">
      <c r="B2" s="111"/>
      <c r="C2" s="151" t="s">
        <v>342</v>
      </c>
      <c r="D2" s="151" t="s">
        <v>309</v>
      </c>
      <c r="E2" s="151" t="s">
        <v>290</v>
      </c>
      <c r="F2" s="152" t="s">
        <v>279</v>
      </c>
      <c r="G2" s="152" t="s">
        <v>227</v>
      </c>
      <c r="H2" s="152" t="s">
        <v>228</v>
      </c>
      <c r="I2" s="153" t="s">
        <v>229</v>
      </c>
      <c r="J2" s="117" t="s">
        <v>230</v>
      </c>
      <c r="K2" s="116" t="s">
        <v>231</v>
      </c>
      <c r="L2" s="118" t="s">
        <v>232</v>
      </c>
      <c r="M2" s="119" t="s">
        <v>233</v>
      </c>
      <c r="N2" s="119" t="s">
        <v>234</v>
      </c>
      <c r="O2" s="119" t="s">
        <v>235</v>
      </c>
      <c r="P2" s="119" t="s">
        <v>236</v>
      </c>
      <c r="Q2" s="119" t="s">
        <v>237</v>
      </c>
      <c r="R2" s="119" t="s">
        <v>238</v>
      </c>
      <c r="S2" s="119" t="s">
        <v>239</v>
      </c>
      <c r="T2" s="119" t="s">
        <v>240</v>
      </c>
      <c r="U2" s="119" t="s">
        <v>241</v>
      </c>
      <c r="V2" s="119" t="s">
        <v>242</v>
      </c>
      <c r="W2" s="119" t="s">
        <v>243</v>
      </c>
      <c r="X2" s="119" t="s">
        <v>244</v>
      </c>
      <c r="Y2" s="119" t="s">
        <v>245</v>
      </c>
      <c r="Z2" s="119" t="s">
        <v>246</v>
      </c>
      <c r="AA2" s="119" t="s">
        <v>247</v>
      </c>
      <c r="AB2" s="119" t="s">
        <v>248</v>
      </c>
      <c r="AC2" s="119" t="s">
        <v>249</v>
      </c>
      <c r="AD2" s="119" t="s">
        <v>250</v>
      </c>
      <c r="AE2" s="119" t="s">
        <v>251</v>
      </c>
      <c r="AF2" s="119" t="s">
        <v>252</v>
      </c>
      <c r="AG2" s="120" t="s">
        <v>253</v>
      </c>
      <c r="AH2" s="118" t="s">
        <v>254</v>
      </c>
      <c r="AI2" s="119" t="s">
        <v>255</v>
      </c>
      <c r="AJ2" s="119" t="s">
        <v>256</v>
      </c>
      <c r="AK2" s="120" t="s">
        <v>257</v>
      </c>
    </row>
    <row r="3" spans="1:37" x14ac:dyDescent="0.25">
      <c r="A3" s="71">
        <f>AVERAGE(C3:AK3)</f>
        <v>1.9714285714285715</v>
      </c>
      <c r="B3" s="110">
        <v>1</v>
      </c>
      <c r="C3" s="123">
        <v>3</v>
      </c>
      <c r="D3" s="123">
        <v>3</v>
      </c>
      <c r="E3" s="123">
        <v>3</v>
      </c>
      <c r="F3" s="123">
        <v>3</v>
      </c>
      <c r="G3" s="123">
        <v>3</v>
      </c>
      <c r="H3" s="123">
        <v>0</v>
      </c>
      <c r="I3" s="112">
        <v>3</v>
      </c>
      <c r="J3" s="143">
        <v>3</v>
      </c>
      <c r="K3" s="103">
        <v>0</v>
      </c>
      <c r="L3" s="65">
        <v>3</v>
      </c>
      <c r="M3" s="70">
        <v>0</v>
      </c>
      <c r="N3" s="70">
        <v>0</v>
      </c>
      <c r="O3" s="70">
        <v>3</v>
      </c>
      <c r="P3" s="70">
        <v>0</v>
      </c>
      <c r="Q3" s="70">
        <v>1</v>
      </c>
      <c r="R3" s="70">
        <v>1</v>
      </c>
      <c r="S3" s="70">
        <v>1</v>
      </c>
      <c r="T3" s="70">
        <v>3</v>
      </c>
      <c r="U3" s="70">
        <v>3</v>
      </c>
      <c r="V3" s="70">
        <v>3</v>
      </c>
      <c r="W3" s="70">
        <v>1</v>
      </c>
      <c r="X3" s="70">
        <v>3</v>
      </c>
      <c r="Y3" s="70">
        <v>3</v>
      </c>
      <c r="Z3" s="70">
        <v>3</v>
      </c>
      <c r="AA3" s="70">
        <v>3</v>
      </c>
      <c r="AB3" s="70">
        <v>3</v>
      </c>
      <c r="AC3" s="70">
        <v>0</v>
      </c>
      <c r="AD3" s="70">
        <v>3</v>
      </c>
      <c r="AE3" s="70">
        <v>3</v>
      </c>
      <c r="AF3" s="70">
        <v>1</v>
      </c>
      <c r="AG3" s="75">
        <v>3</v>
      </c>
      <c r="AH3" s="65">
        <v>1</v>
      </c>
      <c r="AI3" s="70">
        <v>3</v>
      </c>
      <c r="AJ3" s="70">
        <v>0</v>
      </c>
      <c r="AK3" s="75">
        <v>0</v>
      </c>
    </row>
    <row r="4" spans="1:37" x14ac:dyDescent="0.25">
      <c r="A4" s="71">
        <f>AVERAGE(C4:AK4)</f>
        <v>1.7142857142857142</v>
      </c>
      <c r="B4" s="110">
        <v>2</v>
      </c>
      <c r="C4" s="123">
        <v>3</v>
      </c>
      <c r="D4" s="123">
        <v>3</v>
      </c>
      <c r="E4" s="123">
        <v>3</v>
      </c>
      <c r="F4" s="123">
        <v>3</v>
      </c>
      <c r="G4" s="124">
        <v>3</v>
      </c>
      <c r="H4" s="124">
        <v>0</v>
      </c>
      <c r="I4" s="113">
        <v>3</v>
      </c>
      <c r="J4" s="81">
        <v>3</v>
      </c>
      <c r="K4" s="103">
        <v>0</v>
      </c>
      <c r="L4" s="65">
        <v>0</v>
      </c>
      <c r="M4" s="70">
        <v>1</v>
      </c>
      <c r="N4" s="70">
        <v>3</v>
      </c>
      <c r="O4" s="70">
        <v>1</v>
      </c>
      <c r="P4" s="70">
        <v>3</v>
      </c>
      <c r="Q4" s="70">
        <v>1</v>
      </c>
      <c r="R4" s="70">
        <v>0</v>
      </c>
      <c r="S4" s="70">
        <v>3</v>
      </c>
      <c r="T4" s="70">
        <v>3</v>
      </c>
      <c r="U4" s="70">
        <v>0</v>
      </c>
      <c r="V4" s="70">
        <v>1</v>
      </c>
      <c r="W4" s="70">
        <v>0</v>
      </c>
      <c r="X4" s="70">
        <v>0</v>
      </c>
      <c r="Y4" s="70">
        <v>3</v>
      </c>
      <c r="Z4" s="70">
        <v>3</v>
      </c>
      <c r="AA4" s="70">
        <v>1</v>
      </c>
      <c r="AB4" s="70">
        <v>0</v>
      </c>
      <c r="AC4" s="70">
        <v>3</v>
      </c>
      <c r="AD4" s="70">
        <v>3</v>
      </c>
      <c r="AE4" s="70">
        <v>1</v>
      </c>
      <c r="AF4" s="70">
        <v>3</v>
      </c>
      <c r="AG4" s="75">
        <v>0</v>
      </c>
      <c r="AH4" s="65">
        <v>3</v>
      </c>
      <c r="AI4" s="70">
        <v>0</v>
      </c>
      <c r="AJ4" s="70">
        <v>3</v>
      </c>
      <c r="AK4" s="75">
        <v>0</v>
      </c>
    </row>
    <row r="5" spans="1:37" x14ac:dyDescent="0.25">
      <c r="A5" s="71">
        <f>AVERAGE(C5:AK5)</f>
        <v>1.8571428571428572</v>
      </c>
      <c r="B5" s="110">
        <v>3</v>
      </c>
      <c r="C5" s="123">
        <v>3</v>
      </c>
      <c r="D5" s="123">
        <v>0</v>
      </c>
      <c r="E5" s="123">
        <v>1</v>
      </c>
      <c r="F5" s="123">
        <v>1</v>
      </c>
      <c r="G5" s="124">
        <v>3</v>
      </c>
      <c r="H5" s="124">
        <v>0</v>
      </c>
      <c r="I5" s="113">
        <v>0</v>
      </c>
      <c r="J5" s="81">
        <v>0</v>
      </c>
      <c r="K5" s="103">
        <v>3</v>
      </c>
      <c r="L5" s="65">
        <v>0</v>
      </c>
      <c r="M5" s="70">
        <v>3</v>
      </c>
      <c r="N5" s="70">
        <v>1</v>
      </c>
      <c r="O5" s="70">
        <v>1</v>
      </c>
      <c r="P5" s="70">
        <v>3</v>
      </c>
      <c r="Q5" s="70">
        <v>3</v>
      </c>
      <c r="R5" s="70">
        <v>0</v>
      </c>
      <c r="S5" s="70">
        <v>3</v>
      </c>
      <c r="T5" s="70">
        <v>0</v>
      </c>
      <c r="U5" s="70">
        <v>3</v>
      </c>
      <c r="V5" s="70">
        <v>3</v>
      </c>
      <c r="W5" s="70">
        <v>1</v>
      </c>
      <c r="X5" s="70">
        <v>3</v>
      </c>
      <c r="Y5" s="70">
        <v>3</v>
      </c>
      <c r="Z5" s="70">
        <v>3</v>
      </c>
      <c r="AA5" s="70">
        <v>3</v>
      </c>
      <c r="AB5" s="70">
        <v>3</v>
      </c>
      <c r="AC5" s="70">
        <v>3</v>
      </c>
      <c r="AD5" s="70">
        <v>1</v>
      </c>
      <c r="AE5" s="70">
        <v>1</v>
      </c>
      <c r="AF5" s="70">
        <v>3</v>
      </c>
      <c r="AG5" s="75">
        <v>3</v>
      </c>
      <c r="AH5" s="65">
        <v>1</v>
      </c>
      <c r="AI5" s="70">
        <v>0</v>
      </c>
      <c r="AJ5" s="70">
        <v>3</v>
      </c>
      <c r="AK5" s="75">
        <v>3</v>
      </c>
    </row>
    <row r="6" spans="1:37" x14ac:dyDescent="0.25">
      <c r="A6" s="71">
        <f t="shared" ref="A6:A44" si="0">AVERAGE(C6:AK6)</f>
        <v>2.1714285714285713</v>
      </c>
      <c r="B6" s="110">
        <v>4</v>
      </c>
      <c r="C6" s="123">
        <v>3</v>
      </c>
      <c r="D6" s="123">
        <v>3</v>
      </c>
      <c r="E6" s="123">
        <v>3</v>
      </c>
      <c r="F6" s="123">
        <v>3</v>
      </c>
      <c r="G6" s="124">
        <v>3</v>
      </c>
      <c r="H6" s="124">
        <v>3</v>
      </c>
      <c r="I6" s="113">
        <v>3</v>
      </c>
      <c r="J6" s="81">
        <v>1</v>
      </c>
      <c r="K6" s="103">
        <v>3</v>
      </c>
      <c r="L6" s="65">
        <v>3</v>
      </c>
      <c r="M6" s="70">
        <v>3</v>
      </c>
      <c r="N6" s="70">
        <v>3</v>
      </c>
      <c r="O6" s="70">
        <v>1</v>
      </c>
      <c r="P6" s="70">
        <v>3</v>
      </c>
      <c r="Q6" s="70">
        <v>3</v>
      </c>
      <c r="R6" s="70">
        <v>3</v>
      </c>
      <c r="S6" s="70">
        <v>3</v>
      </c>
      <c r="T6" s="70">
        <v>0</v>
      </c>
      <c r="U6" s="70">
        <v>3</v>
      </c>
      <c r="V6" s="70">
        <v>3</v>
      </c>
      <c r="W6" s="70">
        <v>3</v>
      </c>
      <c r="X6" s="70">
        <v>0</v>
      </c>
      <c r="Y6" s="70">
        <v>3</v>
      </c>
      <c r="Z6" s="70">
        <v>3</v>
      </c>
      <c r="AA6" s="70">
        <v>1</v>
      </c>
      <c r="AB6" s="70">
        <v>1</v>
      </c>
      <c r="AC6" s="70">
        <v>1</v>
      </c>
      <c r="AD6" s="70">
        <v>0</v>
      </c>
      <c r="AE6" s="70">
        <v>1</v>
      </c>
      <c r="AF6" s="70">
        <v>1</v>
      </c>
      <c r="AG6" s="75">
        <v>1</v>
      </c>
      <c r="AH6" s="65">
        <v>1</v>
      </c>
      <c r="AI6" s="70">
        <v>1</v>
      </c>
      <c r="AJ6" s="70">
        <v>3</v>
      </c>
      <c r="AK6" s="75">
        <v>3</v>
      </c>
    </row>
    <row r="7" spans="1:37" x14ac:dyDescent="0.25">
      <c r="A7" s="71">
        <f t="shared" si="0"/>
        <v>2.0571428571428569</v>
      </c>
      <c r="B7" s="110">
        <v>5</v>
      </c>
      <c r="C7" s="123">
        <v>0</v>
      </c>
      <c r="D7" s="123">
        <v>1</v>
      </c>
      <c r="E7" s="123">
        <v>1</v>
      </c>
      <c r="F7" s="123">
        <v>3</v>
      </c>
      <c r="G7" s="124">
        <v>3</v>
      </c>
      <c r="H7" s="124">
        <v>3</v>
      </c>
      <c r="I7" s="113">
        <v>0</v>
      </c>
      <c r="J7" s="81">
        <v>1</v>
      </c>
      <c r="K7" s="103">
        <v>3</v>
      </c>
      <c r="L7" s="65">
        <v>1</v>
      </c>
      <c r="M7" s="70">
        <v>3</v>
      </c>
      <c r="N7" s="70">
        <v>3</v>
      </c>
      <c r="O7" s="70">
        <v>3</v>
      </c>
      <c r="P7" s="70">
        <v>3</v>
      </c>
      <c r="Q7" s="70">
        <v>1</v>
      </c>
      <c r="R7" s="70">
        <v>0</v>
      </c>
      <c r="S7" s="70">
        <v>1</v>
      </c>
      <c r="T7" s="70">
        <v>3</v>
      </c>
      <c r="U7" s="70">
        <v>3</v>
      </c>
      <c r="V7" s="70">
        <v>3</v>
      </c>
      <c r="W7" s="70">
        <v>3</v>
      </c>
      <c r="X7" s="70">
        <v>3</v>
      </c>
      <c r="Y7" s="70">
        <v>3</v>
      </c>
      <c r="Z7" s="70">
        <v>1</v>
      </c>
      <c r="AA7" s="70">
        <v>3</v>
      </c>
      <c r="AB7" s="70">
        <v>3</v>
      </c>
      <c r="AC7" s="70">
        <v>1</v>
      </c>
      <c r="AD7" s="70">
        <v>3</v>
      </c>
      <c r="AE7" s="70">
        <v>1</v>
      </c>
      <c r="AF7" s="70">
        <v>1</v>
      </c>
      <c r="AG7" s="75">
        <v>1</v>
      </c>
      <c r="AH7" s="65">
        <v>3</v>
      </c>
      <c r="AI7" s="70">
        <v>1</v>
      </c>
      <c r="AJ7" s="70">
        <v>3</v>
      </c>
      <c r="AK7" s="75">
        <v>3</v>
      </c>
    </row>
    <row r="8" spans="1:37" x14ac:dyDescent="0.25">
      <c r="A8" s="71">
        <f t="shared" si="0"/>
        <v>1.8235294117647058</v>
      </c>
      <c r="B8" s="110">
        <v>6</v>
      </c>
      <c r="C8" s="123" t="s">
        <v>181</v>
      </c>
      <c r="D8" s="123">
        <v>3</v>
      </c>
      <c r="E8" s="123">
        <v>3</v>
      </c>
      <c r="F8" s="123">
        <v>1</v>
      </c>
      <c r="G8" s="124">
        <v>0</v>
      </c>
      <c r="H8" s="124">
        <v>3</v>
      </c>
      <c r="I8" s="113">
        <v>0</v>
      </c>
      <c r="J8" s="81">
        <v>3</v>
      </c>
      <c r="K8" s="103">
        <v>3</v>
      </c>
      <c r="L8" s="65">
        <v>3</v>
      </c>
      <c r="M8" s="70">
        <v>3</v>
      </c>
      <c r="N8" s="70">
        <v>0</v>
      </c>
      <c r="O8" s="70">
        <v>1</v>
      </c>
      <c r="P8" s="70">
        <v>3</v>
      </c>
      <c r="Q8" s="70">
        <v>0</v>
      </c>
      <c r="R8" s="70">
        <v>3</v>
      </c>
      <c r="S8" s="70">
        <v>0</v>
      </c>
      <c r="T8" s="70">
        <v>3</v>
      </c>
      <c r="U8" s="70">
        <v>0</v>
      </c>
      <c r="V8" s="70">
        <v>3</v>
      </c>
      <c r="W8" s="70">
        <v>3</v>
      </c>
      <c r="X8" s="70">
        <v>1</v>
      </c>
      <c r="Y8" s="70">
        <v>1</v>
      </c>
      <c r="Z8" s="70">
        <v>1</v>
      </c>
      <c r="AA8" s="70">
        <v>3</v>
      </c>
      <c r="AB8" s="70">
        <v>1</v>
      </c>
      <c r="AC8" s="70">
        <v>3</v>
      </c>
      <c r="AD8" s="70">
        <v>0</v>
      </c>
      <c r="AE8" s="70">
        <v>3</v>
      </c>
      <c r="AF8" s="70">
        <v>3</v>
      </c>
      <c r="AG8" s="75">
        <v>3</v>
      </c>
      <c r="AH8" s="65">
        <v>3</v>
      </c>
      <c r="AI8" s="70">
        <v>0</v>
      </c>
      <c r="AJ8" s="70">
        <v>1</v>
      </c>
      <c r="AK8" s="75">
        <v>1</v>
      </c>
    </row>
    <row r="9" spans="1:37" x14ac:dyDescent="0.25">
      <c r="A9" s="71">
        <f t="shared" si="0"/>
        <v>2.2647058823529411</v>
      </c>
      <c r="B9" s="110">
        <v>7</v>
      </c>
      <c r="C9" s="123" t="s">
        <v>181</v>
      </c>
      <c r="D9" s="123">
        <v>3</v>
      </c>
      <c r="E9" s="123">
        <v>3</v>
      </c>
      <c r="F9" s="123">
        <v>3</v>
      </c>
      <c r="G9" s="124">
        <v>3</v>
      </c>
      <c r="H9" s="124">
        <v>1</v>
      </c>
      <c r="I9" s="113">
        <v>3</v>
      </c>
      <c r="J9" s="81">
        <v>1</v>
      </c>
      <c r="K9" s="103">
        <v>3</v>
      </c>
      <c r="L9" s="65">
        <v>3</v>
      </c>
      <c r="M9" s="70">
        <v>3</v>
      </c>
      <c r="N9" s="70">
        <v>3</v>
      </c>
      <c r="O9" s="70">
        <v>0</v>
      </c>
      <c r="P9" s="70">
        <v>1</v>
      </c>
      <c r="Q9" s="70">
        <v>3</v>
      </c>
      <c r="R9" s="70">
        <v>0</v>
      </c>
      <c r="S9" s="70">
        <v>0</v>
      </c>
      <c r="T9" s="70">
        <v>3</v>
      </c>
      <c r="U9" s="70">
        <v>1</v>
      </c>
      <c r="V9" s="70">
        <v>3</v>
      </c>
      <c r="W9" s="70">
        <v>3</v>
      </c>
      <c r="X9" s="70">
        <v>3</v>
      </c>
      <c r="Y9" s="70">
        <v>3</v>
      </c>
      <c r="Z9" s="70">
        <v>3</v>
      </c>
      <c r="AA9" s="70">
        <v>3</v>
      </c>
      <c r="AB9" s="70">
        <v>3</v>
      </c>
      <c r="AC9" s="70">
        <v>1</v>
      </c>
      <c r="AD9" s="70">
        <v>3</v>
      </c>
      <c r="AE9" s="70">
        <v>0</v>
      </c>
      <c r="AF9" s="70">
        <v>3</v>
      </c>
      <c r="AG9" s="75">
        <v>3</v>
      </c>
      <c r="AH9" s="65">
        <v>3</v>
      </c>
      <c r="AI9" s="70">
        <v>3</v>
      </c>
      <c r="AJ9" s="70">
        <v>3</v>
      </c>
      <c r="AK9" s="75">
        <v>0</v>
      </c>
    </row>
    <row r="10" spans="1:37" x14ac:dyDescent="0.25">
      <c r="A10" s="71">
        <f t="shared" si="0"/>
        <v>2.0882352941176472</v>
      </c>
      <c r="B10" s="110">
        <v>8</v>
      </c>
      <c r="C10" s="123" t="s">
        <v>181</v>
      </c>
      <c r="D10" s="123">
        <v>3</v>
      </c>
      <c r="E10" s="123">
        <v>0</v>
      </c>
      <c r="F10" s="123">
        <v>3</v>
      </c>
      <c r="G10" s="124">
        <v>3</v>
      </c>
      <c r="H10" s="124">
        <v>1</v>
      </c>
      <c r="I10" s="113">
        <v>0</v>
      </c>
      <c r="J10" s="81">
        <v>3</v>
      </c>
      <c r="K10" s="103">
        <v>3</v>
      </c>
      <c r="L10" s="65">
        <v>0</v>
      </c>
      <c r="M10" s="70">
        <v>3</v>
      </c>
      <c r="N10" s="70">
        <v>3</v>
      </c>
      <c r="O10" s="70">
        <v>1</v>
      </c>
      <c r="P10" s="70">
        <v>3</v>
      </c>
      <c r="Q10" s="70">
        <v>0</v>
      </c>
      <c r="R10" s="70">
        <v>3</v>
      </c>
      <c r="S10" s="70">
        <v>3</v>
      </c>
      <c r="T10" s="70">
        <v>3</v>
      </c>
      <c r="U10" s="70">
        <v>3</v>
      </c>
      <c r="V10" s="70">
        <v>3</v>
      </c>
      <c r="W10" s="70">
        <v>3</v>
      </c>
      <c r="X10" s="70">
        <v>0</v>
      </c>
      <c r="Y10" s="70">
        <v>3</v>
      </c>
      <c r="Z10" s="70">
        <v>3</v>
      </c>
      <c r="AA10" s="70">
        <v>3</v>
      </c>
      <c r="AB10" s="70">
        <v>3</v>
      </c>
      <c r="AC10" s="70">
        <v>3</v>
      </c>
      <c r="AD10" s="70">
        <v>3</v>
      </c>
      <c r="AE10" s="70">
        <v>3</v>
      </c>
      <c r="AF10" s="70">
        <v>3</v>
      </c>
      <c r="AG10" s="75">
        <v>3</v>
      </c>
      <c r="AH10" s="65">
        <v>0</v>
      </c>
      <c r="AI10" s="70">
        <v>0</v>
      </c>
      <c r="AJ10" s="70">
        <v>0</v>
      </c>
      <c r="AK10" s="75">
        <v>0</v>
      </c>
    </row>
    <row r="11" spans="1:37" x14ac:dyDescent="0.25">
      <c r="A11" s="71">
        <f t="shared" si="0"/>
        <v>2.3235294117647061</v>
      </c>
      <c r="B11" s="110">
        <v>9</v>
      </c>
      <c r="C11" s="123" t="s">
        <v>181</v>
      </c>
      <c r="D11" s="123">
        <v>3</v>
      </c>
      <c r="E11" s="123">
        <v>1</v>
      </c>
      <c r="F11" s="123">
        <v>1</v>
      </c>
      <c r="G11" s="124">
        <v>3</v>
      </c>
      <c r="H11" s="124">
        <v>3</v>
      </c>
      <c r="I11" s="113">
        <v>1</v>
      </c>
      <c r="J11" s="81">
        <v>0</v>
      </c>
      <c r="K11" s="103">
        <v>3</v>
      </c>
      <c r="L11" s="65">
        <v>3</v>
      </c>
      <c r="M11" s="70">
        <v>1</v>
      </c>
      <c r="N11" s="70">
        <v>3</v>
      </c>
      <c r="O11" s="70">
        <v>3</v>
      </c>
      <c r="P11" s="70">
        <v>3</v>
      </c>
      <c r="Q11" s="70">
        <v>3</v>
      </c>
      <c r="R11" s="70">
        <v>3</v>
      </c>
      <c r="S11" s="70">
        <v>3</v>
      </c>
      <c r="T11" s="70">
        <v>1</v>
      </c>
      <c r="U11" s="70">
        <v>3</v>
      </c>
      <c r="V11" s="70">
        <v>3</v>
      </c>
      <c r="W11" s="70">
        <v>1</v>
      </c>
      <c r="X11" s="70">
        <v>3</v>
      </c>
      <c r="Y11" s="70">
        <v>3</v>
      </c>
      <c r="Z11" s="70">
        <v>3</v>
      </c>
      <c r="AA11" s="70">
        <v>3</v>
      </c>
      <c r="AB11" s="70">
        <v>1</v>
      </c>
      <c r="AC11" s="70">
        <v>3</v>
      </c>
      <c r="AD11" s="70">
        <v>3</v>
      </c>
      <c r="AE11" s="70">
        <v>1</v>
      </c>
      <c r="AF11" s="70">
        <v>1</v>
      </c>
      <c r="AG11" s="75">
        <v>3</v>
      </c>
      <c r="AH11" s="65">
        <v>3</v>
      </c>
      <c r="AI11" s="70">
        <v>3</v>
      </c>
      <c r="AJ11" s="70">
        <v>3</v>
      </c>
      <c r="AK11" s="75">
        <v>1</v>
      </c>
    </row>
    <row r="12" spans="1:37" x14ac:dyDescent="0.25">
      <c r="A12" s="71">
        <f t="shared" si="0"/>
        <v>1.8529411764705883</v>
      </c>
      <c r="B12" s="110">
        <v>10</v>
      </c>
      <c r="C12" s="123" t="s">
        <v>181</v>
      </c>
      <c r="D12" s="123">
        <v>3</v>
      </c>
      <c r="E12" s="123">
        <v>0</v>
      </c>
      <c r="F12" s="123">
        <v>3</v>
      </c>
      <c r="G12" s="124">
        <v>3</v>
      </c>
      <c r="H12" s="124">
        <v>3</v>
      </c>
      <c r="I12" s="113">
        <v>0</v>
      </c>
      <c r="J12" s="81">
        <v>1</v>
      </c>
      <c r="K12" s="103">
        <v>1</v>
      </c>
      <c r="L12" s="65">
        <v>3</v>
      </c>
      <c r="M12" s="70">
        <v>3</v>
      </c>
      <c r="N12" s="70">
        <v>3</v>
      </c>
      <c r="O12" s="70">
        <v>3</v>
      </c>
      <c r="P12" s="70">
        <v>3</v>
      </c>
      <c r="Q12" s="70">
        <v>0</v>
      </c>
      <c r="R12" s="70">
        <v>3</v>
      </c>
      <c r="S12" s="70">
        <v>3</v>
      </c>
      <c r="T12" s="70">
        <v>3</v>
      </c>
      <c r="U12" s="70">
        <v>1</v>
      </c>
      <c r="V12" s="70">
        <v>1</v>
      </c>
      <c r="W12" s="70">
        <v>0</v>
      </c>
      <c r="X12" s="70">
        <v>1</v>
      </c>
      <c r="Y12" s="70">
        <v>0</v>
      </c>
      <c r="Z12" s="70">
        <v>1</v>
      </c>
      <c r="AA12" s="70">
        <v>0</v>
      </c>
      <c r="AB12" s="70">
        <v>1</v>
      </c>
      <c r="AC12" s="70">
        <v>3</v>
      </c>
      <c r="AD12" s="70">
        <v>0</v>
      </c>
      <c r="AE12" s="70">
        <v>3</v>
      </c>
      <c r="AF12" s="70">
        <v>3</v>
      </c>
      <c r="AG12" s="75">
        <v>1</v>
      </c>
      <c r="AH12" s="65">
        <v>3</v>
      </c>
      <c r="AI12" s="70">
        <v>3</v>
      </c>
      <c r="AJ12" s="70">
        <v>1</v>
      </c>
      <c r="AK12" s="75">
        <v>3</v>
      </c>
    </row>
    <row r="13" spans="1:37" x14ac:dyDescent="0.25">
      <c r="A13" s="71">
        <f t="shared" si="0"/>
        <v>1.4705882352941178</v>
      </c>
      <c r="B13" s="110">
        <v>11</v>
      </c>
      <c r="C13" s="123" t="s">
        <v>181</v>
      </c>
      <c r="D13" s="123">
        <v>1</v>
      </c>
      <c r="E13" s="123">
        <v>1</v>
      </c>
      <c r="F13" s="123">
        <v>0</v>
      </c>
      <c r="G13" s="124">
        <v>1</v>
      </c>
      <c r="H13" s="124">
        <v>3</v>
      </c>
      <c r="I13" s="113">
        <v>0</v>
      </c>
      <c r="J13" s="81">
        <v>1</v>
      </c>
      <c r="K13" s="103">
        <v>1</v>
      </c>
      <c r="L13" s="65">
        <v>0</v>
      </c>
      <c r="M13" s="70">
        <v>1</v>
      </c>
      <c r="N13" s="70">
        <v>3</v>
      </c>
      <c r="O13" s="70">
        <v>0</v>
      </c>
      <c r="P13" s="70">
        <v>0</v>
      </c>
      <c r="Q13" s="70">
        <v>1</v>
      </c>
      <c r="R13" s="70">
        <v>3</v>
      </c>
      <c r="S13" s="70">
        <v>0</v>
      </c>
      <c r="T13" s="70">
        <v>3</v>
      </c>
      <c r="U13" s="70">
        <v>0</v>
      </c>
      <c r="V13" s="70">
        <v>1</v>
      </c>
      <c r="W13" s="70">
        <v>3</v>
      </c>
      <c r="X13" s="70">
        <v>3</v>
      </c>
      <c r="Y13" s="70">
        <v>1</v>
      </c>
      <c r="Z13" s="70">
        <v>3</v>
      </c>
      <c r="AA13" s="70">
        <v>0</v>
      </c>
      <c r="AB13" s="70">
        <v>0</v>
      </c>
      <c r="AC13" s="70">
        <v>3</v>
      </c>
      <c r="AD13" s="70">
        <v>3</v>
      </c>
      <c r="AE13" s="70">
        <v>3</v>
      </c>
      <c r="AF13" s="70">
        <v>1</v>
      </c>
      <c r="AG13" s="75">
        <v>3</v>
      </c>
      <c r="AH13" s="65">
        <v>0</v>
      </c>
      <c r="AI13" s="70">
        <v>3</v>
      </c>
      <c r="AJ13" s="70">
        <v>1</v>
      </c>
      <c r="AK13" s="75">
        <v>3</v>
      </c>
    </row>
    <row r="14" spans="1:37" x14ac:dyDescent="0.25">
      <c r="A14" s="71">
        <f t="shared" si="0"/>
        <v>1.9705882352941178</v>
      </c>
      <c r="B14" s="110">
        <v>12</v>
      </c>
      <c r="C14" s="123" t="s">
        <v>181</v>
      </c>
      <c r="D14" s="123">
        <v>3</v>
      </c>
      <c r="E14" s="123">
        <v>3</v>
      </c>
      <c r="F14" s="123">
        <v>3</v>
      </c>
      <c r="G14" s="124">
        <v>3</v>
      </c>
      <c r="H14" s="124">
        <v>0</v>
      </c>
      <c r="I14" s="113">
        <v>0</v>
      </c>
      <c r="J14" s="81">
        <v>0</v>
      </c>
      <c r="K14" s="103">
        <v>1</v>
      </c>
      <c r="L14" s="65">
        <v>3</v>
      </c>
      <c r="M14" s="70">
        <v>1</v>
      </c>
      <c r="N14" s="70">
        <v>1</v>
      </c>
      <c r="O14" s="70">
        <v>0</v>
      </c>
      <c r="P14" s="70">
        <v>3</v>
      </c>
      <c r="Q14" s="70">
        <v>3</v>
      </c>
      <c r="R14" s="70">
        <v>3</v>
      </c>
      <c r="S14" s="70">
        <v>3</v>
      </c>
      <c r="T14" s="70">
        <v>0</v>
      </c>
      <c r="U14" s="70">
        <v>3</v>
      </c>
      <c r="V14" s="70">
        <v>3</v>
      </c>
      <c r="W14" s="70">
        <v>1</v>
      </c>
      <c r="X14" s="70">
        <v>3</v>
      </c>
      <c r="Y14" s="70">
        <v>1</v>
      </c>
      <c r="Z14" s="70">
        <v>3</v>
      </c>
      <c r="AA14" s="70">
        <v>3</v>
      </c>
      <c r="AB14" s="70">
        <v>1</v>
      </c>
      <c r="AC14" s="70">
        <v>3</v>
      </c>
      <c r="AD14" s="70">
        <v>3</v>
      </c>
      <c r="AE14" s="70">
        <v>3</v>
      </c>
      <c r="AF14" s="70">
        <v>1</v>
      </c>
      <c r="AG14" s="75">
        <v>1</v>
      </c>
      <c r="AH14" s="65">
        <v>3</v>
      </c>
      <c r="AI14" s="70">
        <v>1</v>
      </c>
      <c r="AJ14" s="70">
        <v>1</v>
      </c>
      <c r="AK14" s="75">
        <v>3</v>
      </c>
    </row>
    <row r="15" spans="1:37" ht="15.75" thickBot="1" x14ac:dyDescent="0.3">
      <c r="A15" s="71">
        <f t="shared" si="0"/>
        <v>1.7941176470588236</v>
      </c>
      <c r="B15" s="110">
        <v>13</v>
      </c>
      <c r="C15" s="123" t="s">
        <v>181</v>
      </c>
      <c r="D15" s="123">
        <v>1</v>
      </c>
      <c r="E15" s="123">
        <v>3</v>
      </c>
      <c r="F15" s="123">
        <v>3</v>
      </c>
      <c r="G15" s="124">
        <v>3</v>
      </c>
      <c r="H15" s="124">
        <v>3</v>
      </c>
      <c r="I15" s="113">
        <v>1</v>
      </c>
      <c r="J15" s="144">
        <v>1</v>
      </c>
      <c r="K15" s="103">
        <v>3</v>
      </c>
      <c r="L15" s="65">
        <v>3</v>
      </c>
      <c r="M15" s="70">
        <v>3</v>
      </c>
      <c r="N15" s="70">
        <v>0</v>
      </c>
      <c r="O15" s="70">
        <v>3</v>
      </c>
      <c r="P15" s="70">
        <v>3</v>
      </c>
      <c r="Q15" s="70">
        <v>1</v>
      </c>
      <c r="R15" s="70">
        <v>1</v>
      </c>
      <c r="S15" s="70">
        <v>3</v>
      </c>
      <c r="T15" s="70">
        <v>0</v>
      </c>
      <c r="U15" s="70">
        <v>0</v>
      </c>
      <c r="V15" s="70">
        <v>3</v>
      </c>
      <c r="W15" s="70">
        <v>0</v>
      </c>
      <c r="X15" s="70">
        <v>3</v>
      </c>
      <c r="Y15" s="70">
        <v>3</v>
      </c>
      <c r="Z15" s="70">
        <v>3</v>
      </c>
      <c r="AA15" s="70">
        <v>3</v>
      </c>
      <c r="AB15" s="70">
        <v>3</v>
      </c>
      <c r="AC15" s="70">
        <v>1</v>
      </c>
      <c r="AD15" s="70">
        <v>1</v>
      </c>
      <c r="AE15" s="70">
        <v>1</v>
      </c>
      <c r="AF15" s="70">
        <v>0</v>
      </c>
      <c r="AG15" s="75">
        <v>0</v>
      </c>
      <c r="AH15" s="65">
        <v>0</v>
      </c>
      <c r="AI15" s="70">
        <v>1</v>
      </c>
      <c r="AJ15" s="70">
        <v>1</v>
      </c>
      <c r="AK15" s="75">
        <v>3</v>
      </c>
    </row>
    <row r="16" spans="1:37" x14ac:dyDescent="0.25">
      <c r="A16" s="71">
        <f t="shared" si="0"/>
        <v>1.7352941176470589</v>
      </c>
      <c r="B16" s="110">
        <v>14</v>
      </c>
      <c r="C16" s="123" t="s">
        <v>181</v>
      </c>
      <c r="D16" s="123">
        <v>3</v>
      </c>
      <c r="E16" s="123">
        <v>3</v>
      </c>
      <c r="F16" s="123">
        <v>3</v>
      </c>
      <c r="G16" s="124">
        <v>3</v>
      </c>
      <c r="H16" s="124">
        <v>0</v>
      </c>
      <c r="I16" s="113">
        <v>0</v>
      </c>
      <c r="J16" s="102">
        <v>1</v>
      </c>
      <c r="K16" s="81">
        <v>3</v>
      </c>
      <c r="L16" s="65">
        <v>3</v>
      </c>
      <c r="M16" s="70">
        <v>3</v>
      </c>
      <c r="N16" s="70">
        <v>1</v>
      </c>
      <c r="O16" s="70">
        <v>3</v>
      </c>
      <c r="P16" s="70">
        <v>3</v>
      </c>
      <c r="Q16" s="70">
        <v>1</v>
      </c>
      <c r="R16" s="70">
        <v>3</v>
      </c>
      <c r="S16" s="70">
        <v>0</v>
      </c>
      <c r="T16" s="70">
        <v>3</v>
      </c>
      <c r="U16" s="70">
        <v>0</v>
      </c>
      <c r="V16" s="70">
        <v>3</v>
      </c>
      <c r="W16" s="70">
        <v>0</v>
      </c>
      <c r="X16" s="70">
        <v>0</v>
      </c>
      <c r="Y16" s="70">
        <v>1</v>
      </c>
      <c r="Z16" s="70">
        <v>1</v>
      </c>
      <c r="AA16" s="70">
        <v>3</v>
      </c>
      <c r="AB16" s="70">
        <v>3</v>
      </c>
      <c r="AC16" s="70">
        <v>0</v>
      </c>
      <c r="AD16" s="70">
        <v>0</v>
      </c>
      <c r="AE16" s="70">
        <v>0</v>
      </c>
      <c r="AF16" s="70">
        <v>3</v>
      </c>
      <c r="AG16" s="75">
        <v>3</v>
      </c>
      <c r="AH16" s="65">
        <v>3</v>
      </c>
      <c r="AI16" s="70">
        <v>0</v>
      </c>
      <c r="AJ16" s="70">
        <v>0</v>
      </c>
      <c r="AK16" s="75">
        <v>3</v>
      </c>
    </row>
    <row r="17" spans="1:37" x14ac:dyDescent="0.25">
      <c r="A17" s="71">
        <f t="shared" si="0"/>
        <v>1.5294117647058822</v>
      </c>
      <c r="B17" s="110">
        <v>15</v>
      </c>
      <c r="C17" s="123" t="s">
        <v>181</v>
      </c>
      <c r="D17" s="123">
        <v>0</v>
      </c>
      <c r="E17" s="123">
        <v>1</v>
      </c>
      <c r="F17" s="123">
        <v>3</v>
      </c>
      <c r="G17" s="124">
        <v>3</v>
      </c>
      <c r="H17" s="124">
        <v>0</v>
      </c>
      <c r="I17" s="113">
        <v>3</v>
      </c>
      <c r="J17" s="103">
        <v>0</v>
      </c>
      <c r="K17" s="81">
        <v>1</v>
      </c>
      <c r="L17" s="65">
        <v>0</v>
      </c>
      <c r="M17" s="70">
        <v>3</v>
      </c>
      <c r="N17" s="70">
        <v>3</v>
      </c>
      <c r="O17" s="70">
        <v>0</v>
      </c>
      <c r="P17" s="70">
        <v>1</v>
      </c>
      <c r="Q17" s="70">
        <v>0</v>
      </c>
      <c r="R17" s="70">
        <v>3</v>
      </c>
      <c r="S17" s="70">
        <v>3</v>
      </c>
      <c r="T17" s="70">
        <v>3</v>
      </c>
      <c r="U17" s="70">
        <v>3</v>
      </c>
      <c r="V17" s="70">
        <v>1</v>
      </c>
      <c r="W17" s="70">
        <v>3</v>
      </c>
      <c r="X17" s="70">
        <v>0</v>
      </c>
      <c r="Y17" s="70">
        <v>0</v>
      </c>
      <c r="Z17" s="70">
        <v>1</v>
      </c>
      <c r="AA17" s="70">
        <v>0</v>
      </c>
      <c r="AB17" s="70">
        <v>3</v>
      </c>
      <c r="AC17" s="70">
        <v>0</v>
      </c>
      <c r="AD17" s="70">
        <v>3</v>
      </c>
      <c r="AE17" s="70">
        <v>1</v>
      </c>
      <c r="AF17" s="70">
        <v>0</v>
      </c>
      <c r="AG17" s="75">
        <v>3</v>
      </c>
      <c r="AH17" s="65">
        <v>1</v>
      </c>
      <c r="AI17" s="70">
        <v>0</v>
      </c>
      <c r="AJ17" s="70">
        <v>3</v>
      </c>
      <c r="AK17" s="75">
        <v>3</v>
      </c>
    </row>
    <row r="18" spans="1:37" x14ac:dyDescent="0.25">
      <c r="A18" s="71">
        <f t="shared" si="0"/>
        <v>1.7647058823529411</v>
      </c>
      <c r="B18" s="110">
        <v>16</v>
      </c>
      <c r="C18" s="123" t="s">
        <v>181</v>
      </c>
      <c r="D18" s="123">
        <v>3</v>
      </c>
      <c r="E18" s="123">
        <v>1</v>
      </c>
      <c r="F18" s="123">
        <v>0</v>
      </c>
      <c r="G18" s="124">
        <v>3</v>
      </c>
      <c r="H18" s="124">
        <v>3</v>
      </c>
      <c r="I18" s="113">
        <v>3</v>
      </c>
      <c r="J18" s="103">
        <v>3</v>
      </c>
      <c r="K18" s="81">
        <v>3</v>
      </c>
      <c r="L18" s="65">
        <v>1</v>
      </c>
      <c r="M18" s="70">
        <v>0</v>
      </c>
      <c r="N18" s="70">
        <v>3</v>
      </c>
      <c r="O18" s="70">
        <v>3</v>
      </c>
      <c r="P18" s="70">
        <v>0</v>
      </c>
      <c r="Q18" s="70">
        <v>3</v>
      </c>
      <c r="R18" s="70">
        <v>0</v>
      </c>
      <c r="S18" s="70">
        <v>3</v>
      </c>
      <c r="T18" s="70">
        <v>1</v>
      </c>
      <c r="U18" s="70">
        <v>3</v>
      </c>
      <c r="V18" s="70">
        <v>0</v>
      </c>
      <c r="W18" s="70">
        <v>1</v>
      </c>
      <c r="X18" s="70">
        <v>0</v>
      </c>
      <c r="Y18" s="70">
        <v>3</v>
      </c>
      <c r="Z18" s="70">
        <v>3</v>
      </c>
      <c r="AA18" s="70">
        <v>3</v>
      </c>
      <c r="AB18" s="70">
        <v>1</v>
      </c>
      <c r="AC18" s="70">
        <v>3</v>
      </c>
      <c r="AD18" s="70">
        <v>3</v>
      </c>
      <c r="AE18" s="70">
        <v>1</v>
      </c>
      <c r="AF18" s="70">
        <v>0</v>
      </c>
      <c r="AG18" s="75">
        <v>3</v>
      </c>
      <c r="AH18" s="65">
        <v>1</v>
      </c>
      <c r="AI18" s="70">
        <v>1</v>
      </c>
      <c r="AJ18" s="70">
        <v>1</v>
      </c>
      <c r="AK18" s="75">
        <v>0</v>
      </c>
    </row>
    <row r="19" spans="1:37" x14ac:dyDescent="0.25">
      <c r="A19" s="71">
        <f t="shared" si="0"/>
        <v>1.7058823529411764</v>
      </c>
      <c r="B19" s="110">
        <v>17</v>
      </c>
      <c r="C19" s="123" t="s">
        <v>181</v>
      </c>
      <c r="D19" s="123">
        <v>3</v>
      </c>
      <c r="E19" s="123">
        <v>3</v>
      </c>
      <c r="F19" s="123">
        <v>3</v>
      </c>
      <c r="G19" s="124">
        <v>1</v>
      </c>
      <c r="H19" s="124">
        <v>3</v>
      </c>
      <c r="I19" s="113">
        <v>3</v>
      </c>
      <c r="J19" s="103">
        <v>0</v>
      </c>
      <c r="K19" s="81">
        <v>0</v>
      </c>
      <c r="L19" s="65">
        <v>1</v>
      </c>
      <c r="M19" s="70">
        <v>0</v>
      </c>
      <c r="N19" s="70">
        <v>3</v>
      </c>
      <c r="O19" s="70">
        <v>1</v>
      </c>
      <c r="P19" s="70">
        <v>1</v>
      </c>
      <c r="Q19" s="70">
        <v>3</v>
      </c>
      <c r="R19" s="70">
        <v>3</v>
      </c>
      <c r="S19" s="70">
        <v>0</v>
      </c>
      <c r="T19" s="70">
        <v>3</v>
      </c>
      <c r="U19" s="70">
        <v>1</v>
      </c>
      <c r="V19" s="70">
        <v>3</v>
      </c>
      <c r="W19" s="70">
        <v>3</v>
      </c>
      <c r="X19" s="70">
        <v>3</v>
      </c>
      <c r="Y19" s="70">
        <v>1</v>
      </c>
      <c r="Z19" s="70">
        <v>1</v>
      </c>
      <c r="AA19" s="70">
        <v>0</v>
      </c>
      <c r="AB19" s="70">
        <v>0</v>
      </c>
      <c r="AC19" s="70">
        <v>3</v>
      </c>
      <c r="AD19" s="70">
        <v>3</v>
      </c>
      <c r="AE19" s="70">
        <v>0</v>
      </c>
      <c r="AF19" s="70">
        <v>3</v>
      </c>
      <c r="AG19" s="75">
        <v>1</v>
      </c>
      <c r="AH19" s="65">
        <v>1</v>
      </c>
      <c r="AI19" s="70">
        <v>1</v>
      </c>
      <c r="AJ19" s="70">
        <v>3</v>
      </c>
      <c r="AK19" s="75">
        <v>0</v>
      </c>
    </row>
    <row r="20" spans="1:37" ht="15.75" thickBot="1" x14ac:dyDescent="0.3">
      <c r="A20" s="71">
        <f t="shared" si="0"/>
        <v>1.911764705882353</v>
      </c>
      <c r="B20" s="110">
        <v>18</v>
      </c>
      <c r="C20" s="123" t="s">
        <v>181</v>
      </c>
      <c r="D20" s="123">
        <v>3</v>
      </c>
      <c r="E20" s="123">
        <v>3</v>
      </c>
      <c r="F20" s="123">
        <v>1</v>
      </c>
      <c r="G20" s="124">
        <v>3</v>
      </c>
      <c r="H20" s="124">
        <v>3</v>
      </c>
      <c r="I20" s="113">
        <v>1</v>
      </c>
      <c r="J20" s="104">
        <v>1</v>
      </c>
      <c r="K20" s="81">
        <v>3</v>
      </c>
      <c r="L20" s="65">
        <v>3</v>
      </c>
      <c r="M20" s="70">
        <v>3</v>
      </c>
      <c r="N20" s="70">
        <v>0</v>
      </c>
      <c r="O20" s="70">
        <v>3</v>
      </c>
      <c r="P20" s="70">
        <v>3</v>
      </c>
      <c r="Q20" s="70">
        <v>3</v>
      </c>
      <c r="R20" s="70">
        <v>1</v>
      </c>
      <c r="S20" s="70">
        <v>3</v>
      </c>
      <c r="T20" s="70">
        <v>3</v>
      </c>
      <c r="U20" s="70">
        <v>1</v>
      </c>
      <c r="V20" s="70">
        <v>3</v>
      </c>
      <c r="W20" s="70">
        <v>1</v>
      </c>
      <c r="X20" s="70">
        <v>3</v>
      </c>
      <c r="Y20" s="70">
        <v>3</v>
      </c>
      <c r="Z20" s="70">
        <v>3</v>
      </c>
      <c r="AA20" s="70">
        <v>1</v>
      </c>
      <c r="AB20" s="70">
        <v>3</v>
      </c>
      <c r="AC20" s="70">
        <v>1</v>
      </c>
      <c r="AD20" s="70">
        <v>1</v>
      </c>
      <c r="AE20" s="70">
        <v>3</v>
      </c>
      <c r="AF20" s="70">
        <v>0</v>
      </c>
      <c r="AG20" s="75">
        <v>0</v>
      </c>
      <c r="AH20" s="65">
        <v>1</v>
      </c>
      <c r="AI20" s="70">
        <v>1</v>
      </c>
      <c r="AJ20" s="70">
        <v>0</v>
      </c>
      <c r="AK20" s="75">
        <v>0</v>
      </c>
    </row>
    <row r="21" spans="1:37" x14ac:dyDescent="0.25">
      <c r="A21" s="71">
        <f t="shared" si="0"/>
        <v>1.9411764705882353</v>
      </c>
      <c r="B21" s="110">
        <v>19</v>
      </c>
      <c r="C21" s="123" t="s">
        <v>181</v>
      </c>
      <c r="D21" s="123">
        <v>3</v>
      </c>
      <c r="E21" s="123">
        <v>3</v>
      </c>
      <c r="F21" s="123">
        <v>0</v>
      </c>
      <c r="G21" s="124">
        <v>3</v>
      </c>
      <c r="H21" s="124">
        <v>3</v>
      </c>
      <c r="I21" s="113">
        <v>3</v>
      </c>
      <c r="J21" s="102">
        <v>1</v>
      </c>
      <c r="K21" s="81">
        <v>1</v>
      </c>
      <c r="L21" s="65">
        <v>1</v>
      </c>
      <c r="M21" s="70">
        <v>3</v>
      </c>
      <c r="N21" s="70">
        <v>3</v>
      </c>
      <c r="O21" s="70">
        <v>3</v>
      </c>
      <c r="P21" s="70">
        <v>3</v>
      </c>
      <c r="Q21" s="70">
        <v>3</v>
      </c>
      <c r="R21" s="70">
        <v>3</v>
      </c>
      <c r="S21" s="70">
        <v>1</v>
      </c>
      <c r="T21" s="70">
        <v>3</v>
      </c>
      <c r="U21" s="70">
        <v>1</v>
      </c>
      <c r="V21" s="70">
        <v>1</v>
      </c>
      <c r="W21" s="70">
        <v>3</v>
      </c>
      <c r="X21" s="70">
        <v>1</v>
      </c>
      <c r="Y21" s="70">
        <v>3</v>
      </c>
      <c r="Z21" s="70">
        <v>3</v>
      </c>
      <c r="AA21" s="70">
        <v>3</v>
      </c>
      <c r="AB21" s="70">
        <v>3</v>
      </c>
      <c r="AC21" s="70">
        <v>0</v>
      </c>
      <c r="AD21" s="70">
        <v>0</v>
      </c>
      <c r="AE21" s="70">
        <v>3</v>
      </c>
      <c r="AF21" s="70">
        <v>3</v>
      </c>
      <c r="AG21" s="75">
        <v>1</v>
      </c>
      <c r="AH21" s="65">
        <v>0</v>
      </c>
      <c r="AI21" s="70">
        <v>0</v>
      </c>
      <c r="AJ21" s="70">
        <v>1</v>
      </c>
      <c r="AK21" s="75">
        <v>0</v>
      </c>
    </row>
    <row r="22" spans="1:37" x14ac:dyDescent="0.25">
      <c r="A22" s="71">
        <f t="shared" si="0"/>
        <v>1.8823529411764706</v>
      </c>
      <c r="B22" s="110">
        <v>20</v>
      </c>
      <c r="C22" s="123" t="s">
        <v>181</v>
      </c>
      <c r="D22" s="123">
        <v>3</v>
      </c>
      <c r="E22" s="123">
        <v>1</v>
      </c>
      <c r="F22" s="123">
        <v>0</v>
      </c>
      <c r="G22" s="124">
        <v>0</v>
      </c>
      <c r="H22" s="124">
        <v>3</v>
      </c>
      <c r="I22" s="113">
        <v>3</v>
      </c>
      <c r="J22" s="103">
        <v>0</v>
      </c>
      <c r="K22" s="81">
        <v>0</v>
      </c>
      <c r="L22" s="65">
        <v>3</v>
      </c>
      <c r="M22" s="70">
        <v>1</v>
      </c>
      <c r="N22" s="70">
        <v>3</v>
      </c>
      <c r="O22" s="70">
        <v>0</v>
      </c>
      <c r="P22" s="70">
        <v>3</v>
      </c>
      <c r="Q22" s="70">
        <v>1</v>
      </c>
      <c r="R22" s="70">
        <v>0</v>
      </c>
      <c r="S22" s="70">
        <v>3</v>
      </c>
      <c r="T22" s="70">
        <v>1</v>
      </c>
      <c r="U22" s="70">
        <v>3</v>
      </c>
      <c r="V22" s="70">
        <v>3</v>
      </c>
      <c r="W22" s="70">
        <v>3</v>
      </c>
      <c r="X22" s="70">
        <v>1</v>
      </c>
      <c r="Y22" s="70">
        <v>3</v>
      </c>
      <c r="Z22" s="70">
        <v>1</v>
      </c>
      <c r="AA22" s="70">
        <v>3</v>
      </c>
      <c r="AB22" s="70">
        <v>3</v>
      </c>
      <c r="AC22" s="70">
        <v>3</v>
      </c>
      <c r="AD22" s="70">
        <v>3</v>
      </c>
      <c r="AE22" s="70">
        <v>3</v>
      </c>
      <c r="AF22" s="70">
        <v>1</v>
      </c>
      <c r="AG22" s="75">
        <v>1</v>
      </c>
      <c r="AH22" s="65">
        <v>3</v>
      </c>
      <c r="AI22" s="70">
        <v>1</v>
      </c>
      <c r="AJ22" s="70">
        <v>3</v>
      </c>
      <c r="AK22" s="75">
        <v>1</v>
      </c>
    </row>
    <row r="23" spans="1:37" x14ac:dyDescent="0.25">
      <c r="A23" s="71">
        <f t="shared" si="0"/>
        <v>1.7647058823529411</v>
      </c>
      <c r="B23" s="110">
        <v>21</v>
      </c>
      <c r="C23" s="123" t="s">
        <v>181</v>
      </c>
      <c r="D23" s="123">
        <v>1</v>
      </c>
      <c r="E23" s="123">
        <v>3</v>
      </c>
      <c r="F23" s="123">
        <v>3</v>
      </c>
      <c r="G23" s="124">
        <v>1</v>
      </c>
      <c r="H23" s="124">
        <v>0</v>
      </c>
      <c r="I23" s="113">
        <v>1</v>
      </c>
      <c r="J23" s="103">
        <v>3</v>
      </c>
      <c r="K23" s="81">
        <v>3</v>
      </c>
      <c r="L23" s="65">
        <v>1</v>
      </c>
      <c r="M23" s="70">
        <v>3</v>
      </c>
      <c r="N23" s="70">
        <v>1</v>
      </c>
      <c r="O23" s="70">
        <v>3</v>
      </c>
      <c r="P23" s="70">
        <v>3</v>
      </c>
      <c r="Q23" s="70">
        <v>0</v>
      </c>
      <c r="R23" s="70">
        <v>0</v>
      </c>
      <c r="S23" s="70">
        <v>1</v>
      </c>
      <c r="T23" s="70">
        <v>3</v>
      </c>
      <c r="U23" s="70">
        <v>3</v>
      </c>
      <c r="V23" s="70">
        <v>3</v>
      </c>
      <c r="W23" s="70">
        <v>0</v>
      </c>
      <c r="X23" s="70">
        <v>3</v>
      </c>
      <c r="Y23" s="70">
        <v>3</v>
      </c>
      <c r="Z23" s="70">
        <v>3</v>
      </c>
      <c r="AA23" s="70">
        <v>1</v>
      </c>
      <c r="AB23" s="70">
        <v>1</v>
      </c>
      <c r="AC23" s="70">
        <v>1</v>
      </c>
      <c r="AD23" s="70">
        <v>1</v>
      </c>
      <c r="AE23" s="70">
        <v>1</v>
      </c>
      <c r="AF23" s="70">
        <v>3</v>
      </c>
      <c r="AG23" s="75">
        <v>3</v>
      </c>
      <c r="AH23" s="65">
        <v>0</v>
      </c>
      <c r="AI23" s="70">
        <v>3</v>
      </c>
      <c r="AJ23" s="70">
        <v>0</v>
      </c>
      <c r="AK23" s="75">
        <v>1</v>
      </c>
    </row>
    <row r="24" spans="1:37" x14ac:dyDescent="0.25">
      <c r="A24" s="71">
        <f t="shared" si="0"/>
        <v>1.4411764705882353</v>
      </c>
      <c r="B24" s="85">
        <v>22</v>
      </c>
      <c r="C24" s="123" t="s">
        <v>181</v>
      </c>
      <c r="D24" s="123">
        <v>1</v>
      </c>
      <c r="E24" s="123">
        <v>1</v>
      </c>
      <c r="F24" s="123">
        <v>3</v>
      </c>
      <c r="G24" s="124">
        <v>0</v>
      </c>
      <c r="H24" s="124">
        <v>0</v>
      </c>
      <c r="I24" s="113">
        <v>0</v>
      </c>
      <c r="J24" s="103">
        <v>1</v>
      </c>
      <c r="K24" s="81">
        <v>0</v>
      </c>
      <c r="L24" s="65">
        <v>1</v>
      </c>
      <c r="M24" s="70">
        <v>3</v>
      </c>
      <c r="N24" s="70">
        <v>1</v>
      </c>
      <c r="O24" s="70">
        <v>3</v>
      </c>
      <c r="P24" s="70">
        <v>3</v>
      </c>
      <c r="Q24" s="70">
        <v>0</v>
      </c>
      <c r="R24" s="70">
        <v>0</v>
      </c>
      <c r="S24" s="70">
        <v>3</v>
      </c>
      <c r="T24" s="70">
        <v>3</v>
      </c>
      <c r="U24" s="70">
        <v>3</v>
      </c>
      <c r="V24" s="70">
        <v>1</v>
      </c>
      <c r="W24" s="70">
        <v>3</v>
      </c>
      <c r="X24" s="70">
        <v>0</v>
      </c>
      <c r="Y24" s="70">
        <v>1</v>
      </c>
      <c r="Z24" s="70">
        <v>3</v>
      </c>
      <c r="AA24" s="70">
        <v>3</v>
      </c>
      <c r="AB24" s="70">
        <v>1</v>
      </c>
      <c r="AC24" s="70">
        <v>0</v>
      </c>
      <c r="AD24" s="70">
        <v>3</v>
      </c>
      <c r="AE24" s="70">
        <v>3</v>
      </c>
      <c r="AF24" s="70">
        <v>1</v>
      </c>
      <c r="AG24" s="75">
        <v>0</v>
      </c>
      <c r="AH24" s="65">
        <v>0</v>
      </c>
      <c r="AI24" s="70">
        <v>1</v>
      </c>
      <c r="AJ24" s="70">
        <v>3</v>
      </c>
      <c r="AK24" s="75">
        <v>0</v>
      </c>
    </row>
    <row r="25" spans="1:37" x14ac:dyDescent="0.25">
      <c r="A25" s="71">
        <f t="shared" si="0"/>
        <v>1.7941176470588236</v>
      </c>
      <c r="B25" s="110">
        <v>23</v>
      </c>
      <c r="C25" s="123" t="s">
        <v>181</v>
      </c>
      <c r="D25" s="123">
        <v>0</v>
      </c>
      <c r="E25" s="123">
        <v>3</v>
      </c>
      <c r="F25" s="123">
        <v>3</v>
      </c>
      <c r="G25" s="124">
        <v>3</v>
      </c>
      <c r="H25" s="124">
        <v>1</v>
      </c>
      <c r="I25" s="113">
        <v>0</v>
      </c>
      <c r="J25" s="103">
        <v>1</v>
      </c>
      <c r="K25" s="81">
        <v>3</v>
      </c>
      <c r="L25" s="65">
        <v>0</v>
      </c>
      <c r="M25" s="70">
        <v>0</v>
      </c>
      <c r="N25" s="70">
        <v>0</v>
      </c>
      <c r="O25" s="70">
        <v>3</v>
      </c>
      <c r="P25" s="70">
        <v>1</v>
      </c>
      <c r="Q25" s="70">
        <v>3</v>
      </c>
      <c r="R25" s="70">
        <v>1</v>
      </c>
      <c r="S25" s="70">
        <v>3</v>
      </c>
      <c r="T25" s="70">
        <v>1</v>
      </c>
      <c r="U25" s="70">
        <v>1</v>
      </c>
      <c r="V25" s="70">
        <v>3</v>
      </c>
      <c r="W25" s="70">
        <v>3</v>
      </c>
      <c r="X25" s="70">
        <v>0</v>
      </c>
      <c r="Y25" s="70">
        <v>0</v>
      </c>
      <c r="Z25" s="70">
        <v>3</v>
      </c>
      <c r="AA25" s="70">
        <v>3</v>
      </c>
      <c r="AB25" s="70">
        <v>3</v>
      </c>
      <c r="AC25" s="70">
        <v>1</v>
      </c>
      <c r="AD25" s="70">
        <v>1</v>
      </c>
      <c r="AE25" s="70">
        <v>3</v>
      </c>
      <c r="AF25" s="70">
        <v>3</v>
      </c>
      <c r="AG25" s="75">
        <v>3</v>
      </c>
      <c r="AH25" s="65">
        <v>3</v>
      </c>
      <c r="AI25" s="70">
        <v>1</v>
      </c>
      <c r="AJ25" s="70">
        <v>3</v>
      </c>
      <c r="AK25" s="75">
        <v>1</v>
      </c>
    </row>
    <row r="26" spans="1:37" x14ac:dyDescent="0.25">
      <c r="A26" s="71">
        <f t="shared" si="0"/>
        <v>2.2058823529411766</v>
      </c>
      <c r="B26" s="110">
        <v>24</v>
      </c>
      <c r="C26" s="123" t="s">
        <v>181</v>
      </c>
      <c r="D26" s="123">
        <v>3</v>
      </c>
      <c r="E26" s="123">
        <v>3</v>
      </c>
      <c r="F26" s="123">
        <v>3</v>
      </c>
      <c r="G26" s="124">
        <v>3</v>
      </c>
      <c r="H26" s="124">
        <v>3</v>
      </c>
      <c r="I26" s="113">
        <v>3</v>
      </c>
      <c r="J26" s="103">
        <v>1</v>
      </c>
      <c r="K26" s="81">
        <v>3</v>
      </c>
      <c r="L26" s="65">
        <v>3</v>
      </c>
      <c r="M26" s="70">
        <v>0</v>
      </c>
      <c r="N26" s="70">
        <v>1</v>
      </c>
      <c r="O26" s="70">
        <v>0</v>
      </c>
      <c r="P26" s="70">
        <v>3</v>
      </c>
      <c r="Q26" s="70">
        <v>1</v>
      </c>
      <c r="R26" s="70">
        <v>3</v>
      </c>
      <c r="S26" s="70">
        <v>3</v>
      </c>
      <c r="T26" s="70">
        <v>0</v>
      </c>
      <c r="U26" s="70">
        <v>1</v>
      </c>
      <c r="V26" s="70">
        <v>3</v>
      </c>
      <c r="W26" s="70">
        <v>3</v>
      </c>
      <c r="X26" s="70">
        <v>3</v>
      </c>
      <c r="Y26" s="70">
        <v>3</v>
      </c>
      <c r="Z26" s="70">
        <v>3</v>
      </c>
      <c r="AA26" s="70">
        <v>3</v>
      </c>
      <c r="AB26" s="70">
        <v>3</v>
      </c>
      <c r="AC26" s="70">
        <v>1</v>
      </c>
      <c r="AD26" s="70">
        <v>0</v>
      </c>
      <c r="AE26" s="70">
        <v>3</v>
      </c>
      <c r="AF26" s="70">
        <v>3</v>
      </c>
      <c r="AG26" s="75">
        <v>3</v>
      </c>
      <c r="AH26" s="65">
        <v>0</v>
      </c>
      <c r="AI26" s="70">
        <v>1</v>
      </c>
      <c r="AJ26" s="70">
        <v>3</v>
      </c>
      <c r="AK26" s="75">
        <v>3</v>
      </c>
    </row>
    <row r="27" spans="1:37" x14ac:dyDescent="0.25">
      <c r="A27" s="71">
        <f t="shared" si="0"/>
        <v>1.5588235294117647</v>
      </c>
      <c r="B27" s="110">
        <v>25</v>
      </c>
      <c r="C27" s="123" t="s">
        <v>181</v>
      </c>
      <c r="D27" s="123">
        <v>3</v>
      </c>
      <c r="E27" s="123">
        <v>3</v>
      </c>
      <c r="F27" s="123">
        <v>3</v>
      </c>
      <c r="G27" s="124">
        <v>3</v>
      </c>
      <c r="H27" s="124">
        <v>0</v>
      </c>
      <c r="I27" s="113">
        <v>0</v>
      </c>
      <c r="J27" s="103">
        <v>1</v>
      </c>
      <c r="K27" s="81">
        <v>0</v>
      </c>
      <c r="L27" s="65">
        <v>0</v>
      </c>
      <c r="M27" s="70">
        <v>3</v>
      </c>
      <c r="N27" s="70">
        <v>3</v>
      </c>
      <c r="O27" s="70">
        <v>3</v>
      </c>
      <c r="P27" s="70">
        <v>0</v>
      </c>
      <c r="Q27" s="70">
        <v>3</v>
      </c>
      <c r="R27" s="70">
        <v>3</v>
      </c>
      <c r="S27" s="70">
        <v>1</v>
      </c>
      <c r="T27" s="70">
        <v>0</v>
      </c>
      <c r="U27" s="70">
        <v>1</v>
      </c>
      <c r="V27" s="70">
        <v>3</v>
      </c>
      <c r="W27" s="70">
        <v>1</v>
      </c>
      <c r="X27" s="70">
        <v>1</v>
      </c>
      <c r="Y27" s="70">
        <v>0</v>
      </c>
      <c r="Z27" s="70">
        <v>3</v>
      </c>
      <c r="AA27" s="70">
        <v>1</v>
      </c>
      <c r="AB27" s="70">
        <v>1</v>
      </c>
      <c r="AC27" s="70">
        <v>3</v>
      </c>
      <c r="AD27" s="70">
        <v>0</v>
      </c>
      <c r="AE27" s="70">
        <v>1</v>
      </c>
      <c r="AF27" s="70">
        <v>3</v>
      </c>
      <c r="AG27" s="75">
        <v>1</v>
      </c>
      <c r="AH27" s="65">
        <v>1</v>
      </c>
      <c r="AI27" s="70">
        <v>3</v>
      </c>
      <c r="AJ27" s="70">
        <v>1</v>
      </c>
      <c r="AK27" s="75">
        <v>0</v>
      </c>
    </row>
    <row r="28" spans="1:37" x14ac:dyDescent="0.25">
      <c r="A28" s="71">
        <f t="shared" si="0"/>
        <v>2.1176470588235294</v>
      </c>
      <c r="B28" s="110">
        <v>26</v>
      </c>
      <c r="C28" s="123" t="s">
        <v>181</v>
      </c>
      <c r="D28" s="123">
        <v>1</v>
      </c>
      <c r="E28" s="123">
        <v>0</v>
      </c>
      <c r="F28" s="123">
        <v>3</v>
      </c>
      <c r="G28" s="124">
        <v>3</v>
      </c>
      <c r="H28" s="124">
        <v>0</v>
      </c>
      <c r="I28" s="113">
        <v>3</v>
      </c>
      <c r="J28" s="103">
        <v>3</v>
      </c>
      <c r="K28" s="81">
        <v>3</v>
      </c>
      <c r="L28" s="65">
        <v>3</v>
      </c>
      <c r="M28" s="70">
        <v>0</v>
      </c>
      <c r="N28" s="70">
        <v>3</v>
      </c>
      <c r="O28" s="70">
        <v>3</v>
      </c>
      <c r="P28" s="70">
        <v>0</v>
      </c>
      <c r="Q28" s="70">
        <v>3</v>
      </c>
      <c r="R28" s="70">
        <v>3</v>
      </c>
      <c r="S28" s="70">
        <v>3</v>
      </c>
      <c r="T28" s="70">
        <v>3</v>
      </c>
      <c r="U28" s="70">
        <v>1</v>
      </c>
      <c r="V28" s="70">
        <v>3</v>
      </c>
      <c r="W28" s="70">
        <v>3</v>
      </c>
      <c r="X28" s="70">
        <v>0</v>
      </c>
      <c r="Y28" s="70">
        <v>3</v>
      </c>
      <c r="Z28" s="70">
        <v>3</v>
      </c>
      <c r="AA28" s="70">
        <v>3</v>
      </c>
      <c r="AB28" s="70">
        <v>3</v>
      </c>
      <c r="AC28" s="70">
        <v>3</v>
      </c>
      <c r="AD28" s="70">
        <v>3</v>
      </c>
      <c r="AE28" s="70">
        <v>3</v>
      </c>
      <c r="AF28" s="70">
        <v>1</v>
      </c>
      <c r="AG28" s="75">
        <v>1</v>
      </c>
      <c r="AH28" s="65">
        <v>3</v>
      </c>
      <c r="AI28" s="70">
        <v>1</v>
      </c>
      <c r="AJ28" s="70">
        <v>1</v>
      </c>
      <c r="AK28" s="75">
        <v>0</v>
      </c>
    </row>
    <row r="29" spans="1:37" x14ac:dyDescent="0.25">
      <c r="A29" s="71">
        <f t="shared" si="0"/>
        <v>1.8823529411764706</v>
      </c>
      <c r="B29" s="110">
        <v>27</v>
      </c>
      <c r="C29" s="123" t="s">
        <v>181</v>
      </c>
      <c r="D29" s="123">
        <v>1</v>
      </c>
      <c r="E29" s="123">
        <v>1</v>
      </c>
      <c r="F29" s="123">
        <v>3</v>
      </c>
      <c r="G29" s="124">
        <v>3</v>
      </c>
      <c r="H29" s="124">
        <v>3</v>
      </c>
      <c r="I29" s="113">
        <v>1</v>
      </c>
      <c r="J29" s="103">
        <v>3</v>
      </c>
      <c r="K29" s="81">
        <v>3</v>
      </c>
      <c r="L29" s="65">
        <v>0</v>
      </c>
      <c r="M29" s="70">
        <v>0</v>
      </c>
      <c r="N29" s="70">
        <v>0</v>
      </c>
      <c r="O29" s="70">
        <v>3</v>
      </c>
      <c r="P29" s="70">
        <v>1</v>
      </c>
      <c r="Q29" s="70">
        <v>3</v>
      </c>
      <c r="R29" s="70">
        <v>3</v>
      </c>
      <c r="S29" s="70">
        <v>3</v>
      </c>
      <c r="T29" s="70">
        <v>3</v>
      </c>
      <c r="U29" s="70">
        <v>1</v>
      </c>
      <c r="V29" s="70">
        <v>1</v>
      </c>
      <c r="W29" s="70">
        <v>3</v>
      </c>
      <c r="X29" s="70">
        <v>0</v>
      </c>
      <c r="Y29" s="70">
        <v>3</v>
      </c>
      <c r="Z29" s="70">
        <v>3</v>
      </c>
      <c r="AA29" s="70">
        <v>1</v>
      </c>
      <c r="AB29" s="70">
        <v>3</v>
      </c>
      <c r="AC29" s="70">
        <v>3</v>
      </c>
      <c r="AD29" s="70">
        <v>1</v>
      </c>
      <c r="AE29" s="70">
        <v>1</v>
      </c>
      <c r="AF29" s="70">
        <v>3</v>
      </c>
      <c r="AG29" s="75">
        <v>0</v>
      </c>
      <c r="AH29" s="65">
        <v>3</v>
      </c>
      <c r="AI29" s="70">
        <v>0</v>
      </c>
      <c r="AJ29" s="70">
        <v>1</v>
      </c>
      <c r="AK29" s="75">
        <v>3</v>
      </c>
    </row>
    <row r="30" spans="1:37" x14ac:dyDescent="0.25">
      <c r="A30" s="71">
        <f t="shared" si="0"/>
        <v>1.8529411764705883</v>
      </c>
      <c r="B30" s="110">
        <v>28</v>
      </c>
      <c r="C30" s="123" t="s">
        <v>181</v>
      </c>
      <c r="D30" s="123">
        <v>3</v>
      </c>
      <c r="E30" s="123">
        <v>1</v>
      </c>
      <c r="F30" s="123">
        <v>3</v>
      </c>
      <c r="G30" s="124">
        <v>3</v>
      </c>
      <c r="H30" s="124">
        <v>3</v>
      </c>
      <c r="I30" s="113">
        <v>3</v>
      </c>
      <c r="J30" s="103">
        <v>0</v>
      </c>
      <c r="K30" s="81">
        <v>3</v>
      </c>
      <c r="L30" s="65">
        <v>0</v>
      </c>
      <c r="M30" s="70">
        <v>1</v>
      </c>
      <c r="N30" s="70">
        <v>0</v>
      </c>
      <c r="O30" s="70">
        <v>3</v>
      </c>
      <c r="P30" s="70">
        <v>3</v>
      </c>
      <c r="Q30" s="70">
        <v>0</v>
      </c>
      <c r="R30" s="70">
        <v>3</v>
      </c>
      <c r="S30" s="70">
        <v>1</v>
      </c>
      <c r="T30" s="70">
        <v>3</v>
      </c>
      <c r="U30" s="70">
        <v>3</v>
      </c>
      <c r="V30" s="70">
        <v>1</v>
      </c>
      <c r="W30" s="70">
        <v>3</v>
      </c>
      <c r="X30" s="70">
        <v>3</v>
      </c>
      <c r="Y30" s="70">
        <v>1</v>
      </c>
      <c r="Z30" s="70">
        <v>3</v>
      </c>
      <c r="AA30" s="70">
        <v>3</v>
      </c>
      <c r="AB30" s="70">
        <v>3</v>
      </c>
      <c r="AC30" s="70">
        <v>0</v>
      </c>
      <c r="AD30" s="70">
        <v>0</v>
      </c>
      <c r="AE30" s="70">
        <v>3</v>
      </c>
      <c r="AF30" s="70">
        <v>3</v>
      </c>
      <c r="AG30" s="75">
        <v>0</v>
      </c>
      <c r="AH30" s="65">
        <v>1</v>
      </c>
      <c r="AI30" s="70">
        <v>1</v>
      </c>
      <c r="AJ30" s="70">
        <v>1</v>
      </c>
      <c r="AK30" s="75">
        <v>1</v>
      </c>
    </row>
    <row r="31" spans="1:37" x14ac:dyDescent="0.25">
      <c r="A31" s="71">
        <f t="shared" si="0"/>
        <v>2.2941176470588234</v>
      </c>
      <c r="B31" s="110">
        <v>29</v>
      </c>
      <c r="C31" s="123" t="s">
        <v>181</v>
      </c>
      <c r="D31" s="123">
        <v>3</v>
      </c>
      <c r="E31" s="123">
        <v>3</v>
      </c>
      <c r="F31" s="123">
        <v>3</v>
      </c>
      <c r="G31" s="124">
        <v>3</v>
      </c>
      <c r="H31" s="124">
        <v>3</v>
      </c>
      <c r="I31" s="113">
        <v>1</v>
      </c>
      <c r="J31" s="103">
        <v>3</v>
      </c>
      <c r="K31" s="81">
        <v>1</v>
      </c>
      <c r="L31" s="65">
        <v>0</v>
      </c>
      <c r="M31" s="70">
        <v>3</v>
      </c>
      <c r="N31" s="70">
        <v>1</v>
      </c>
      <c r="O31" s="70">
        <v>3</v>
      </c>
      <c r="P31" s="70">
        <v>0</v>
      </c>
      <c r="Q31" s="70">
        <v>3</v>
      </c>
      <c r="R31" s="70">
        <v>3</v>
      </c>
      <c r="S31" s="70">
        <v>1</v>
      </c>
      <c r="T31" s="70">
        <v>3</v>
      </c>
      <c r="U31" s="70">
        <v>3</v>
      </c>
      <c r="V31" s="70">
        <v>1</v>
      </c>
      <c r="W31" s="70">
        <v>0</v>
      </c>
      <c r="X31" s="70">
        <v>3</v>
      </c>
      <c r="Y31" s="70">
        <v>3</v>
      </c>
      <c r="Z31" s="70">
        <v>3</v>
      </c>
      <c r="AA31" s="70">
        <v>3</v>
      </c>
      <c r="AB31" s="70">
        <v>3</v>
      </c>
      <c r="AC31" s="70">
        <v>3</v>
      </c>
      <c r="AD31" s="70">
        <v>3</v>
      </c>
      <c r="AE31" s="70">
        <v>3</v>
      </c>
      <c r="AF31" s="70">
        <v>3</v>
      </c>
      <c r="AG31" s="75">
        <v>3</v>
      </c>
      <c r="AH31" s="65">
        <v>3</v>
      </c>
      <c r="AI31" s="70">
        <v>3</v>
      </c>
      <c r="AJ31" s="70">
        <v>1</v>
      </c>
      <c r="AK31" s="75">
        <v>0</v>
      </c>
    </row>
    <row r="32" spans="1:37" x14ac:dyDescent="0.25">
      <c r="A32" s="71">
        <f t="shared" si="0"/>
        <v>2.1470588235294117</v>
      </c>
      <c r="B32" s="110">
        <v>30</v>
      </c>
      <c r="C32" s="123" t="s">
        <v>181</v>
      </c>
      <c r="D32" s="123">
        <v>3</v>
      </c>
      <c r="E32" s="123">
        <v>3</v>
      </c>
      <c r="F32" s="123">
        <v>1</v>
      </c>
      <c r="G32" s="124">
        <v>1</v>
      </c>
      <c r="H32" s="124">
        <v>3</v>
      </c>
      <c r="I32" s="113">
        <v>0</v>
      </c>
      <c r="J32" s="103">
        <v>0</v>
      </c>
      <c r="K32" s="81">
        <v>3</v>
      </c>
      <c r="L32" s="65">
        <v>3</v>
      </c>
      <c r="M32" s="70">
        <v>0</v>
      </c>
      <c r="N32" s="70">
        <v>3</v>
      </c>
      <c r="O32" s="70">
        <v>3</v>
      </c>
      <c r="P32" s="70">
        <v>3</v>
      </c>
      <c r="Q32" s="70">
        <v>3</v>
      </c>
      <c r="R32" s="70">
        <v>3</v>
      </c>
      <c r="S32" s="70">
        <v>1</v>
      </c>
      <c r="T32" s="70">
        <v>3</v>
      </c>
      <c r="U32" s="70">
        <v>3</v>
      </c>
      <c r="V32" s="70">
        <v>1</v>
      </c>
      <c r="W32" s="70">
        <v>0</v>
      </c>
      <c r="X32" s="70">
        <v>3</v>
      </c>
      <c r="Y32" s="70">
        <v>3</v>
      </c>
      <c r="Z32" s="70">
        <v>1</v>
      </c>
      <c r="AA32" s="70">
        <v>0</v>
      </c>
      <c r="AB32" s="70">
        <v>3</v>
      </c>
      <c r="AC32" s="70">
        <v>1</v>
      </c>
      <c r="AD32" s="70">
        <v>3</v>
      </c>
      <c r="AE32" s="70">
        <v>3</v>
      </c>
      <c r="AF32" s="70">
        <v>3</v>
      </c>
      <c r="AG32" s="75">
        <v>3</v>
      </c>
      <c r="AH32" s="65">
        <v>3</v>
      </c>
      <c r="AI32" s="70">
        <v>3</v>
      </c>
      <c r="AJ32" s="70">
        <v>3</v>
      </c>
      <c r="AK32" s="75">
        <v>1</v>
      </c>
    </row>
    <row r="33" spans="1:37" x14ac:dyDescent="0.25">
      <c r="A33" s="71">
        <f t="shared" si="0"/>
        <v>2.2058823529411766</v>
      </c>
      <c r="B33" s="110">
        <v>31</v>
      </c>
      <c r="C33" s="123" t="s">
        <v>181</v>
      </c>
      <c r="D33" s="123">
        <v>3</v>
      </c>
      <c r="E33" s="123">
        <v>1</v>
      </c>
      <c r="F33" s="123">
        <v>3</v>
      </c>
      <c r="G33" s="124">
        <v>1</v>
      </c>
      <c r="H33" s="124">
        <v>0</v>
      </c>
      <c r="I33" s="113">
        <v>3</v>
      </c>
      <c r="J33" s="103">
        <v>3</v>
      </c>
      <c r="K33" s="81">
        <v>3</v>
      </c>
      <c r="L33" s="65">
        <v>3</v>
      </c>
      <c r="M33" s="70">
        <v>3</v>
      </c>
      <c r="N33" s="70">
        <v>3</v>
      </c>
      <c r="O33" s="70">
        <v>3</v>
      </c>
      <c r="P33" s="70">
        <v>0</v>
      </c>
      <c r="Q33" s="70">
        <v>3</v>
      </c>
      <c r="R33" s="70">
        <v>0</v>
      </c>
      <c r="S33" s="70">
        <v>3</v>
      </c>
      <c r="T33" s="70">
        <v>3</v>
      </c>
      <c r="U33" s="70">
        <v>3</v>
      </c>
      <c r="V33" s="70">
        <v>0</v>
      </c>
      <c r="W33" s="70">
        <v>0</v>
      </c>
      <c r="X33" s="70">
        <v>3</v>
      </c>
      <c r="Y33" s="70">
        <v>3</v>
      </c>
      <c r="Z33" s="70">
        <v>3</v>
      </c>
      <c r="AA33" s="70">
        <v>3</v>
      </c>
      <c r="AB33" s="70">
        <v>3</v>
      </c>
      <c r="AC33" s="70">
        <v>3</v>
      </c>
      <c r="AD33" s="70">
        <v>3</v>
      </c>
      <c r="AE33" s="70">
        <v>1</v>
      </c>
      <c r="AF33" s="70">
        <v>3</v>
      </c>
      <c r="AG33" s="75">
        <v>3</v>
      </c>
      <c r="AH33" s="65">
        <v>0</v>
      </c>
      <c r="AI33" s="70">
        <v>0</v>
      </c>
      <c r="AJ33" s="70">
        <v>3</v>
      </c>
      <c r="AK33" s="75">
        <v>3</v>
      </c>
    </row>
    <row r="34" spans="1:37" x14ac:dyDescent="0.25">
      <c r="A34" s="71">
        <f t="shared" si="0"/>
        <v>1.9705882352941178</v>
      </c>
      <c r="B34" s="110">
        <v>32</v>
      </c>
      <c r="C34" s="123" t="s">
        <v>181</v>
      </c>
      <c r="D34" s="123">
        <v>0</v>
      </c>
      <c r="E34" s="123">
        <v>1</v>
      </c>
      <c r="F34" s="123">
        <v>3</v>
      </c>
      <c r="G34" s="124">
        <v>1</v>
      </c>
      <c r="H34" s="124">
        <v>3</v>
      </c>
      <c r="I34" s="113">
        <v>1</v>
      </c>
      <c r="J34" s="103">
        <v>3</v>
      </c>
      <c r="K34" s="81">
        <v>0</v>
      </c>
      <c r="L34" s="65">
        <v>3</v>
      </c>
      <c r="M34" s="70">
        <v>3</v>
      </c>
      <c r="N34" s="70">
        <v>1</v>
      </c>
      <c r="O34" s="70">
        <v>3</v>
      </c>
      <c r="P34" s="70">
        <v>1</v>
      </c>
      <c r="Q34" s="70">
        <v>3</v>
      </c>
      <c r="R34" s="70">
        <v>3</v>
      </c>
      <c r="S34" s="70">
        <v>1</v>
      </c>
      <c r="T34" s="70">
        <v>1</v>
      </c>
      <c r="U34" s="70">
        <v>3</v>
      </c>
      <c r="V34" s="70">
        <v>3</v>
      </c>
      <c r="W34" s="70">
        <v>1</v>
      </c>
      <c r="X34" s="70">
        <v>0</v>
      </c>
      <c r="Y34" s="70">
        <v>3</v>
      </c>
      <c r="Z34" s="70">
        <v>1</v>
      </c>
      <c r="AA34" s="70">
        <v>1</v>
      </c>
      <c r="AB34" s="70">
        <v>3</v>
      </c>
      <c r="AC34" s="70">
        <v>3</v>
      </c>
      <c r="AD34" s="70">
        <v>3</v>
      </c>
      <c r="AE34" s="70">
        <v>3</v>
      </c>
      <c r="AF34" s="70">
        <v>3</v>
      </c>
      <c r="AG34" s="75">
        <v>0</v>
      </c>
      <c r="AH34" s="65">
        <v>3</v>
      </c>
      <c r="AI34" s="70">
        <v>0</v>
      </c>
      <c r="AJ34" s="70">
        <v>3</v>
      </c>
      <c r="AK34" s="75">
        <v>3</v>
      </c>
    </row>
    <row r="35" spans="1:37" x14ac:dyDescent="0.25">
      <c r="A35" s="71">
        <f t="shared" si="0"/>
        <v>1.588235294117647</v>
      </c>
      <c r="B35" s="110">
        <v>33</v>
      </c>
      <c r="C35" s="123" t="s">
        <v>181</v>
      </c>
      <c r="D35" s="123">
        <v>0</v>
      </c>
      <c r="E35" s="123">
        <v>3</v>
      </c>
      <c r="F35" s="123">
        <v>0</v>
      </c>
      <c r="G35" s="124">
        <v>0</v>
      </c>
      <c r="H35" s="124">
        <v>3</v>
      </c>
      <c r="I35" s="113">
        <v>0</v>
      </c>
      <c r="J35" s="103">
        <v>3</v>
      </c>
      <c r="K35" s="81">
        <v>3</v>
      </c>
      <c r="L35" s="65">
        <v>0</v>
      </c>
      <c r="M35" s="70">
        <v>0</v>
      </c>
      <c r="N35" s="70">
        <v>1</v>
      </c>
      <c r="O35" s="70">
        <v>1</v>
      </c>
      <c r="P35" s="70">
        <v>1</v>
      </c>
      <c r="Q35" s="70">
        <v>1</v>
      </c>
      <c r="R35" s="70">
        <v>3</v>
      </c>
      <c r="S35" s="70">
        <v>1</v>
      </c>
      <c r="T35" s="70">
        <v>3</v>
      </c>
      <c r="U35" s="70">
        <v>1</v>
      </c>
      <c r="V35" s="70">
        <v>1</v>
      </c>
      <c r="W35" s="70">
        <v>3</v>
      </c>
      <c r="X35" s="70">
        <v>1</v>
      </c>
      <c r="Y35" s="70">
        <v>1</v>
      </c>
      <c r="Z35" s="70">
        <v>3</v>
      </c>
      <c r="AA35" s="70">
        <v>1</v>
      </c>
      <c r="AB35" s="70">
        <v>3</v>
      </c>
      <c r="AC35" s="70">
        <v>0</v>
      </c>
      <c r="AD35" s="70">
        <v>3</v>
      </c>
      <c r="AE35" s="70">
        <v>3</v>
      </c>
      <c r="AF35" s="70">
        <v>3</v>
      </c>
      <c r="AG35" s="75">
        <v>3</v>
      </c>
      <c r="AH35" s="65">
        <v>3</v>
      </c>
      <c r="AI35" s="70">
        <v>0</v>
      </c>
      <c r="AJ35" s="70">
        <v>1</v>
      </c>
      <c r="AK35" s="75">
        <v>1</v>
      </c>
    </row>
    <row r="36" spans="1:37" x14ac:dyDescent="0.25">
      <c r="A36" s="71">
        <f t="shared" si="0"/>
        <v>2.1176470588235294</v>
      </c>
      <c r="B36" s="110">
        <v>34</v>
      </c>
      <c r="C36" s="123" t="s">
        <v>181</v>
      </c>
      <c r="D36" s="123">
        <v>3</v>
      </c>
      <c r="E36" s="123">
        <v>1</v>
      </c>
      <c r="F36" s="123">
        <v>3</v>
      </c>
      <c r="G36" s="124">
        <v>3</v>
      </c>
      <c r="H36" s="124">
        <v>3</v>
      </c>
      <c r="I36" s="113">
        <v>3</v>
      </c>
      <c r="J36" s="103">
        <v>1</v>
      </c>
      <c r="K36" s="81">
        <v>0</v>
      </c>
      <c r="L36" s="65">
        <v>3</v>
      </c>
      <c r="M36" s="70">
        <v>3</v>
      </c>
      <c r="N36" s="70">
        <v>3</v>
      </c>
      <c r="O36" s="70">
        <v>3</v>
      </c>
      <c r="P36" s="70">
        <v>3</v>
      </c>
      <c r="Q36" s="70">
        <v>3</v>
      </c>
      <c r="R36" s="70">
        <v>0</v>
      </c>
      <c r="S36" s="70">
        <v>0</v>
      </c>
      <c r="T36" s="70">
        <v>0</v>
      </c>
      <c r="U36" s="70">
        <v>3</v>
      </c>
      <c r="V36" s="70">
        <v>0</v>
      </c>
      <c r="W36" s="70">
        <v>3</v>
      </c>
      <c r="X36" s="70">
        <v>3</v>
      </c>
      <c r="Y36" s="70">
        <v>3</v>
      </c>
      <c r="Z36" s="70">
        <v>1</v>
      </c>
      <c r="AA36" s="70">
        <v>3</v>
      </c>
      <c r="AB36" s="70">
        <v>3</v>
      </c>
      <c r="AC36" s="70">
        <v>3</v>
      </c>
      <c r="AD36" s="70">
        <v>3</v>
      </c>
      <c r="AE36" s="70">
        <v>3</v>
      </c>
      <c r="AF36" s="70">
        <v>3</v>
      </c>
      <c r="AG36" s="75">
        <v>3</v>
      </c>
      <c r="AH36" s="65">
        <v>0</v>
      </c>
      <c r="AI36" s="70">
        <v>0</v>
      </c>
      <c r="AJ36" s="70">
        <v>3</v>
      </c>
      <c r="AK36" s="75">
        <v>0</v>
      </c>
    </row>
    <row r="37" spans="1:37" x14ac:dyDescent="0.25">
      <c r="A37" s="71">
        <f t="shared" si="0"/>
        <v>1.8823529411764706</v>
      </c>
      <c r="B37" s="110">
        <v>35</v>
      </c>
      <c r="C37" s="123" t="s">
        <v>181</v>
      </c>
      <c r="D37" s="123">
        <v>3</v>
      </c>
      <c r="E37" s="123">
        <v>0</v>
      </c>
      <c r="F37" s="123">
        <v>3</v>
      </c>
      <c r="G37" s="124">
        <v>3</v>
      </c>
      <c r="H37" s="124">
        <v>3</v>
      </c>
      <c r="I37" s="113">
        <v>3</v>
      </c>
      <c r="J37" s="103">
        <v>0</v>
      </c>
      <c r="K37" s="81">
        <v>0</v>
      </c>
      <c r="L37" s="65">
        <v>0</v>
      </c>
      <c r="M37" s="70">
        <v>3</v>
      </c>
      <c r="N37" s="70">
        <v>1</v>
      </c>
      <c r="O37" s="70">
        <v>0</v>
      </c>
      <c r="P37" s="70">
        <v>3</v>
      </c>
      <c r="Q37" s="70">
        <v>1</v>
      </c>
      <c r="R37" s="70">
        <v>1</v>
      </c>
      <c r="S37" s="70">
        <v>3</v>
      </c>
      <c r="T37" s="70">
        <v>0</v>
      </c>
      <c r="U37" s="70">
        <v>3</v>
      </c>
      <c r="V37" s="70">
        <v>3</v>
      </c>
      <c r="W37" s="70">
        <v>1</v>
      </c>
      <c r="X37" s="70">
        <v>1</v>
      </c>
      <c r="Y37" s="70">
        <v>3</v>
      </c>
      <c r="Z37" s="70">
        <v>1</v>
      </c>
      <c r="AA37" s="70">
        <v>1</v>
      </c>
      <c r="AB37" s="70">
        <v>3</v>
      </c>
      <c r="AC37" s="70">
        <v>3</v>
      </c>
      <c r="AD37" s="70">
        <v>3</v>
      </c>
      <c r="AE37" s="70">
        <v>3</v>
      </c>
      <c r="AF37" s="70">
        <v>3</v>
      </c>
      <c r="AG37" s="75">
        <v>1</v>
      </c>
      <c r="AH37" s="65">
        <v>1</v>
      </c>
      <c r="AI37" s="70">
        <v>3</v>
      </c>
      <c r="AJ37" s="70">
        <v>1</v>
      </c>
      <c r="AK37" s="75">
        <v>3</v>
      </c>
    </row>
    <row r="38" spans="1:37" x14ac:dyDescent="0.25">
      <c r="A38" s="71">
        <f t="shared" si="0"/>
        <v>1.8235294117647058</v>
      </c>
      <c r="B38" s="110">
        <v>36</v>
      </c>
      <c r="C38" s="123" t="s">
        <v>181</v>
      </c>
      <c r="D38" s="123">
        <v>3</v>
      </c>
      <c r="E38" s="123">
        <v>1</v>
      </c>
      <c r="F38" s="123">
        <v>3</v>
      </c>
      <c r="G38" s="124">
        <v>0</v>
      </c>
      <c r="H38" s="124">
        <v>0</v>
      </c>
      <c r="I38" s="113">
        <v>3</v>
      </c>
      <c r="J38" s="103">
        <v>3</v>
      </c>
      <c r="K38" s="81">
        <v>0</v>
      </c>
      <c r="L38" s="65">
        <v>3</v>
      </c>
      <c r="M38" s="70">
        <v>3</v>
      </c>
      <c r="N38" s="70">
        <v>3</v>
      </c>
      <c r="O38" s="70">
        <v>1</v>
      </c>
      <c r="P38" s="70">
        <v>3</v>
      </c>
      <c r="Q38" s="70">
        <v>3</v>
      </c>
      <c r="R38" s="70">
        <v>1</v>
      </c>
      <c r="S38" s="70">
        <v>0</v>
      </c>
      <c r="T38" s="70">
        <v>1</v>
      </c>
      <c r="U38" s="70">
        <v>0</v>
      </c>
      <c r="V38" s="70">
        <v>3</v>
      </c>
      <c r="W38" s="70">
        <v>3</v>
      </c>
      <c r="X38" s="70">
        <v>3</v>
      </c>
      <c r="Y38" s="70">
        <v>3</v>
      </c>
      <c r="Z38" s="70">
        <v>1</v>
      </c>
      <c r="AA38" s="70">
        <v>0</v>
      </c>
      <c r="AB38" s="70">
        <v>3</v>
      </c>
      <c r="AC38" s="70">
        <v>3</v>
      </c>
      <c r="AD38" s="70">
        <v>3</v>
      </c>
      <c r="AE38" s="70">
        <v>3</v>
      </c>
      <c r="AF38" s="70">
        <v>3</v>
      </c>
      <c r="AG38" s="75">
        <v>1</v>
      </c>
      <c r="AH38" s="65">
        <v>1</v>
      </c>
      <c r="AI38" s="70">
        <v>0</v>
      </c>
      <c r="AJ38" s="70">
        <v>1</v>
      </c>
      <c r="AK38" s="75">
        <v>0</v>
      </c>
    </row>
    <row r="39" spans="1:37" x14ac:dyDescent="0.25">
      <c r="A39" s="71">
        <f t="shared" si="0"/>
        <v>1.5294117647058822</v>
      </c>
      <c r="B39" s="110">
        <v>37</v>
      </c>
      <c r="C39" s="123" t="s">
        <v>181</v>
      </c>
      <c r="D39" s="123">
        <v>3</v>
      </c>
      <c r="E39" s="123">
        <v>3</v>
      </c>
      <c r="F39" s="123">
        <v>3</v>
      </c>
      <c r="G39" s="124">
        <v>0</v>
      </c>
      <c r="H39" s="124">
        <v>0</v>
      </c>
      <c r="I39" s="113">
        <v>3</v>
      </c>
      <c r="J39" s="103">
        <v>0</v>
      </c>
      <c r="K39" s="81">
        <v>1</v>
      </c>
      <c r="L39" s="65">
        <v>0</v>
      </c>
      <c r="M39" s="70">
        <v>3</v>
      </c>
      <c r="N39" s="70">
        <v>1</v>
      </c>
      <c r="O39" s="70">
        <v>1</v>
      </c>
      <c r="P39" s="70">
        <v>3</v>
      </c>
      <c r="Q39" s="70">
        <v>3</v>
      </c>
      <c r="R39" s="70">
        <v>1</v>
      </c>
      <c r="S39" s="70">
        <v>0</v>
      </c>
      <c r="T39" s="70">
        <v>0</v>
      </c>
      <c r="U39" s="70">
        <v>1</v>
      </c>
      <c r="V39" s="70">
        <v>3</v>
      </c>
      <c r="W39" s="70">
        <v>1</v>
      </c>
      <c r="X39" s="70">
        <v>3</v>
      </c>
      <c r="Y39" s="70">
        <v>3</v>
      </c>
      <c r="Z39" s="70">
        <v>3</v>
      </c>
      <c r="AA39" s="70">
        <v>3</v>
      </c>
      <c r="AB39" s="70">
        <v>3</v>
      </c>
      <c r="AC39" s="70">
        <v>1</v>
      </c>
      <c r="AD39" s="70">
        <v>1</v>
      </c>
      <c r="AE39" s="70">
        <v>0</v>
      </c>
      <c r="AF39" s="70">
        <v>0</v>
      </c>
      <c r="AG39" s="75">
        <v>0</v>
      </c>
      <c r="AH39" s="65">
        <v>1</v>
      </c>
      <c r="AI39" s="70">
        <v>0</v>
      </c>
      <c r="AJ39" s="70">
        <v>3</v>
      </c>
      <c r="AK39" s="75">
        <v>1</v>
      </c>
    </row>
    <row r="40" spans="1:37" ht="15.75" thickBot="1" x14ac:dyDescent="0.3">
      <c r="A40" s="71">
        <f t="shared" si="0"/>
        <v>2.4117647058823528</v>
      </c>
      <c r="B40" s="84">
        <v>38</v>
      </c>
      <c r="C40" s="123" t="s">
        <v>181</v>
      </c>
      <c r="D40" s="123">
        <v>3</v>
      </c>
      <c r="E40" s="123">
        <v>3</v>
      </c>
      <c r="F40" s="123">
        <v>3</v>
      </c>
      <c r="G40" s="124">
        <v>3</v>
      </c>
      <c r="H40" s="124">
        <v>3</v>
      </c>
      <c r="I40" s="113">
        <v>3</v>
      </c>
      <c r="J40" s="104">
        <v>3</v>
      </c>
      <c r="K40" s="81">
        <v>3</v>
      </c>
      <c r="L40" s="65">
        <v>3</v>
      </c>
      <c r="M40" s="70">
        <v>3</v>
      </c>
      <c r="N40" s="70">
        <v>3</v>
      </c>
      <c r="O40" s="70">
        <v>3</v>
      </c>
      <c r="P40" s="70">
        <v>3</v>
      </c>
      <c r="Q40" s="70">
        <v>3</v>
      </c>
      <c r="R40" s="70">
        <v>3</v>
      </c>
      <c r="S40" s="70">
        <v>1</v>
      </c>
      <c r="T40" s="70">
        <v>3</v>
      </c>
      <c r="U40" s="70">
        <v>3</v>
      </c>
      <c r="V40" s="70">
        <v>3</v>
      </c>
      <c r="W40" s="70">
        <v>1</v>
      </c>
      <c r="X40" s="70">
        <v>3</v>
      </c>
      <c r="Y40" s="70">
        <v>0</v>
      </c>
      <c r="Z40" s="70">
        <v>3</v>
      </c>
      <c r="AA40" s="70">
        <v>3</v>
      </c>
      <c r="AB40" s="70">
        <v>3</v>
      </c>
      <c r="AC40" s="70">
        <v>0</v>
      </c>
      <c r="AD40" s="70">
        <v>0</v>
      </c>
      <c r="AE40" s="70">
        <v>3</v>
      </c>
      <c r="AF40" s="70">
        <v>0</v>
      </c>
      <c r="AG40" s="75">
        <v>3</v>
      </c>
      <c r="AH40" s="65">
        <v>3</v>
      </c>
      <c r="AI40" s="70">
        <v>3</v>
      </c>
      <c r="AJ40" s="70">
        <v>1</v>
      </c>
      <c r="AK40" s="75">
        <v>1</v>
      </c>
    </row>
    <row r="41" spans="1:37" hidden="1" x14ac:dyDescent="0.25">
      <c r="A41" s="71">
        <f t="shared" si="0"/>
        <v>2.3333333333333335</v>
      </c>
      <c r="B41" s="110">
        <v>39</v>
      </c>
      <c r="C41" s="123"/>
      <c r="D41" s="123" t="s">
        <v>181</v>
      </c>
      <c r="E41" s="123" t="s">
        <v>181</v>
      </c>
      <c r="F41" s="105" t="s">
        <v>181</v>
      </c>
      <c r="G41" s="105" t="s">
        <v>181</v>
      </c>
      <c r="H41" s="105" t="s">
        <v>181</v>
      </c>
      <c r="I41" s="142" t="s">
        <v>181</v>
      </c>
      <c r="J41" s="105" t="s">
        <v>181</v>
      </c>
      <c r="K41" s="82" t="s">
        <v>181</v>
      </c>
      <c r="L41" s="76" t="s">
        <v>181</v>
      </c>
      <c r="M41" s="72" t="s">
        <v>181</v>
      </c>
      <c r="N41" s="72" t="s">
        <v>181</v>
      </c>
      <c r="O41" s="72" t="s">
        <v>181</v>
      </c>
      <c r="P41" s="72" t="s">
        <v>181</v>
      </c>
      <c r="Q41" s="72" t="s">
        <v>181</v>
      </c>
      <c r="R41" s="72" t="s">
        <v>181</v>
      </c>
      <c r="S41" s="72" t="s">
        <v>181</v>
      </c>
      <c r="T41" s="72" t="s">
        <v>181</v>
      </c>
      <c r="U41" s="72" t="s">
        <v>181</v>
      </c>
      <c r="V41" s="72" t="s">
        <v>181</v>
      </c>
      <c r="W41" s="72" t="s">
        <v>181</v>
      </c>
      <c r="X41" s="72" t="s">
        <v>181</v>
      </c>
      <c r="Y41" s="72" t="s">
        <v>181</v>
      </c>
      <c r="Z41" s="72" t="s">
        <v>181</v>
      </c>
      <c r="AA41" s="72" t="s">
        <v>181</v>
      </c>
      <c r="AB41" s="72" t="s">
        <v>181</v>
      </c>
      <c r="AC41" s="72" t="s">
        <v>181</v>
      </c>
      <c r="AD41" s="72" t="s">
        <v>181</v>
      </c>
      <c r="AE41" s="72" t="s">
        <v>181</v>
      </c>
      <c r="AF41" s="72" t="s">
        <v>181</v>
      </c>
      <c r="AG41" s="77" t="s">
        <v>181</v>
      </c>
      <c r="AH41" s="76" t="s">
        <v>181</v>
      </c>
      <c r="AI41" s="70">
        <v>3</v>
      </c>
      <c r="AJ41" s="70">
        <v>3</v>
      </c>
      <c r="AK41" s="75">
        <v>1</v>
      </c>
    </row>
    <row r="42" spans="1:37" hidden="1" x14ac:dyDescent="0.25">
      <c r="A42" s="71">
        <f t="shared" si="0"/>
        <v>0.66666666666666663</v>
      </c>
      <c r="B42" s="110">
        <v>40</v>
      </c>
      <c r="C42" s="123"/>
      <c r="D42" s="123" t="s">
        <v>181</v>
      </c>
      <c r="E42" s="123" t="s">
        <v>181</v>
      </c>
      <c r="F42" s="105" t="s">
        <v>181</v>
      </c>
      <c r="G42" s="105" t="s">
        <v>181</v>
      </c>
      <c r="H42" s="105" t="s">
        <v>181</v>
      </c>
      <c r="I42" s="142" t="s">
        <v>181</v>
      </c>
      <c r="J42" s="106" t="s">
        <v>181</v>
      </c>
      <c r="K42" s="82" t="s">
        <v>181</v>
      </c>
      <c r="L42" s="76" t="s">
        <v>181</v>
      </c>
      <c r="M42" s="72" t="s">
        <v>181</v>
      </c>
      <c r="N42" s="72" t="s">
        <v>181</v>
      </c>
      <c r="O42" s="72" t="s">
        <v>181</v>
      </c>
      <c r="P42" s="72" t="s">
        <v>181</v>
      </c>
      <c r="Q42" s="72" t="s">
        <v>181</v>
      </c>
      <c r="R42" s="72" t="s">
        <v>181</v>
      </c>
      <c r="S42" s="72" t="s">
        <v>181</v>
      </c>
      <c r="T42" s="72" t="s">
        <v>181</v>
      </c>
      <c r="U42" s="72" t="s">
        <v>181</v>
      </c>
      <c r="V42" s="72" t="s">
        <v>181</v>
      </c>
      <c r="W42" s="72" t="s">
        <v>181</v>
      </c>
      <c r="X42" s="72" t="s">
        <v>181</v>
      </c>
      <c r="Y42" s="72" t="s">
        <v>181</v>
      </c>
      <c r="Z42" s="72" t="s">
        <v>181</v>
      </c>
      <c r="AA42" s="72" t="s">
        <v>181</v>
      </c>
      <c r="AB42" s="72" t="s">
        <v>181</v>
      </c>
      <c r="AC42" s="72" t="s">
        <v>181</v>
      </c>
      <c r="AD42" s="72" t="s">
        <v>181</v>
      </c>
      <c r="AE42" s="72" t="s">
        <v>181</v>
      </c>
      <c r="AF42" s="72" t="s">
        <v>181</v>
      </c>
      <c r="AG42" s="77" t="s">
        <v>181</v>
      </c>
      <c r="AH42" s="76" t="s">
        <v>181</v>
      </c>
      <c r="AI42" s="70">
        <v>1</v>
      </c>
      <c r="AJ42" s="70">
        <v>1</v>
      </c>
      <c r="AK42" s="75">
        <v>0</v>
      </c>
    </row>
    <row r="43" spans="1:37" hidden="1" x14ac:dyDescent="0.25">
      <c r="A43" s="71">
        <f t="shared" si="0"/>
        <v>1.3333333333333333</v>
      </c>
      <c r="B43" s="110">
        <v>41</v>
      </c>
      <c r="C43" s="123"/>
      <c r="D43" s="123" t="s">
        <v>181</v>
      </c>
      <c r="E43" s="123" t="s">
        <v>181</v>
      </c>
      <c r="F43" s="105" t="s">
        <v>181</v>
      </c>
      <c r="G43" s="105" t="s">
        <v>181</v>
      </c>
      <c r="H43" s="105" t="s">
        <v>181</v>
      </c>
      <c r="I43" s="142" t="s">
        <v>181</v>
      </c>
      <c r="J43" s="106" t="s">
        <v>181</v>
      </c>
      <c r="K43" s="82" t="s">
        <v>181</v>
      </c>
      <c r="L43" s="76" t="s">
        <v>181</v>
      </c>
      <c r="M43" s="72" t="s">
        <v>181</v>
      </c>
      <c r="N43" s="72" t="s">
        <v>181</v>
      </c>
      <c r="O43" s="72" t="s">
        <v>181</v>
      </c>
      <c r="P43" s="72" t="s">
        <v>181</v>
      </c>
      <c r="Q43" s="72" t="s">
        <v>181</v>
      </c>
      <c r="R43" s="72" t="s">
        <v>181</v>
      </c>
      <c r="S43" s="72" t="s">
        <v>181</v>
      </c>
      <c r="T43" s="72" t="s">
        <v>181</v>
      </c>
      <c r="U43" s="72" t="s">
        <v>181</v>
      </c>
      <c r="V43" s="72" t="s">
        <v>181</v>
      </c>
      <c r="W43" s="72" t="s">
        <v>181</v>
      </c>
      <c r="X43" s="72" t="s">
        <v>181</v>
      </c>
      <c r="Y43" s="72" t="s">
        <v>181</v>
      </c>
      <c r="Z43" s="72" t="s">
        <v>181</v>
      </c>
      <c r="AA43" s="72" t="s">
        <v>181</v>
      </c>
      <c r="AB43" s="72" t="s">
        <v>181</v>
      </c>
      <c r="AC43" s="72" t="s">
        <v>181</v>
      </c>
      <c r="AD43" s="72" t="s">
        <v>181</v>
      </c>
      <c r="AE43" s="72" t="s">
        <v>181</v>
      </c>
      <c r="AF43" s="72" t="s">
        <v>181</v>
      </c>
      <c r="AG43" s="77" t="s">
        <v>181</v>
      </c>
      <c r="AH43" s="76" t="s">
        <v>181</v>
      </c>
      <c r="AI43" s="70">
        <v>1</v>
      </c>
      <c r="AJ43" s="70">
        <v>0</v>
      </c>
      <c r="AK43" s="75">
        <v>3</v>
      </c>
    </row>
    <row r="44" spans="1:37" hidden="1" x14ac:dyDescent="0.25">
      <c r="A44" s="71">
        <f t="shared" si="0"/>
        <v>0</v>
      </c>
      <c r="B44" s="110">
        <v>42</v>
      </c>
      <c r="C44" s="123"/>
      <c r="D44" s="123" t="s">
        <v>181</v>
      </c>
      <c r="E44" s="123" t="s">
        <v>181</v>
      </c>
      <c r="F44" s="105" t="s">
        <v>181</v>
      </c>
      <c r="G44" s="105" t="s">
        <v>181</v>
      </c>
      <c r="H44" s="105" t="s">
        <v>181</v>
      </c>
      <c r="I44" s="142" t="s">
        <v>181</v>
      </c>
      <c r="J44" s="106" t="s">
        <v>181</v>
      </c>
      <c r="K44" s="82" t="s">
        <v>181</v>
      </c>
      <c r="L44" s="76" t="s">
        <v>181</v>
      </c>
      <c r="M44" s="72" t="s">
        <v>181</v>
      </c>
      <c r="N44" s="72" t="s">
        <v>181</v>
      </c>
      <c r="O44" s="72" t="s">
        <v>181</v>
      </c>
      <c r="P44" s="72" t="s">
        <v>181</v>
      </c>
      <c r="Q44" s="72" t="s">
        <v>181</v>
      </c>
      <c r="R44" s="72" t="s">
        <v>181</v>
      </c>
      <c r="S44" s="72" t="s">
        <v>181</v>
      </c>
      <c r="T44" s="72" t="s">
        <v>181</v>
      </c>
      <c r="U44" s="72" t="s">
        <v>181</v>
      </c>
      <c r="V44" s="72" t="s">
        <v>181</v>
      </c>
      <c r="W44" s="72" t="s">
        <v>181</v>
      </c>
      <c r="X44" s="72" t="s">
        <v>181</v>
      </c>
      <c r="Y44" s="72" t="s">
        <v>181</v>
      </c>
      <c r="Z44" s="72" t="s">
        <v>181</v>
      </c>
      <c r="AA44" s="72" t="s">
        <v>181</v>
      </c>
      <c r="AB44" s="72" t="s">
        <v>181</v>
      </c>
      <c r="AC44" s="72" t="s">
        <v>181</v>
      </c>
      <c r="AD44" s="72" t="s">
        <v>181</v>
      </c>
      <c r="AE44" s="72" t="s">
        <v>181</v>
      </c>
      <c r="AF44" s="72" t="s">
        <v>181</v>
      </c>
      <c r="AG44" s="77" t="s">
        <v>181</v>
      </c>
      <c r="AH44" s="76" t="s">
        <v>181</v>
      </c>
      <c r="AI44" s="70">
        <v>0</v>
      </c>
      <c r="AJ44" s="70">
        <v>0</v>
      </c>
      <c r="AK44" s="75">
        <v>0</v>
      </c>
    </row>
    <row r="45" spans="1:37" x14ac:dyDescent="0.25">
      <c r="B45" s="110" t="s">
        <v>182</v>
      </c>
      <c r="C45" s="70"/>
      <c r="D45" s="70">
        <f>SUM(D3:D40)</f>
        <v>85</v>
      </c>
      <c r="E45" s="70">
        <f>SUM(E3:E40)</f>
        <v>74</v>
      </c>
      <c r="F45" s="70">
        <f>SUM(F3:F40)</f>
        <v>89</v>
      </c>
      <c r="G45" s="70">
        <f>SUM(G3:G40)</f>
        <v>84</v>
      </c>
      <c r="H45" s="70">
        <f>SUM(H3:H40)</f>
        <v>69</v>
      </c>
      <c r="I45" s="75">
        <f t="shared" ref="I45:AH45" si="1">SUM(I3:I40)</f>
        <v>61</v>
      </c>
      <c r="J45" s="107">
        <f t="shared" si="1"/>
        <v>56</v>
      </c>
      <c r="K45" s="81">
        <f t="shared" si="1"/>
        <v>70</v>
      </c>
      <c r="L45" s="65">
        <f t="shared" si="1"/>
        <v>63</v>
      </c>
      <c r="M45" s="70">
        <f t="shared" si="1"/>
        <v>75</v>
      </c>
      <c r="N45" s="70">
        <f t="shared" si="1"/>
        <v>71</v>
      </c>
      <c r="O45" s="70">
        <f t="shared" si="1"/>
        <v>75</v>
      </c>
      <c r="P45" s="70">
        <f t="shared" si="1"/>
        <v>79</v>
      </c>
      <c r="Q45" s="70">
        <f t="shared" si="1"/>
        <v>73</v>
      </c>
      <c r="R45" s="70">
        <f t="shared" si="1"/>
        <v>70</v>
      </c>
      <c r="S45" s="70">
        <f t="shared" si="1"/>
        <v>68</v>
      </c>
      <c r="T45" s="70">
        <f t="shared" si="1"/>
        <v>75</v>
      </c>
      <c r="U45" s="70">
        <f t="shared" si="1"/>
        <v>72</v>
      </c>
      <c r="V45" s="70">
        <f t="shared" si="1"/>
        <v>83</v>
      </c>
      <c r="W45" s="70">
        <f t="shared" si="1"/>
        <v>68</v>
      </c>
      <c r="X45" s="70">
        <f t="shared" si="1"/>
        <v>67</v>
      </c>
      <c r="Y45" s="70">
        <f t="shared" si="1"/>
        <v>83</v>
      </c>
      <c r="Z45" s="70">
        <f t="shared" si="1"/>
        <v>90</v>
      </c>
      <c r="AA45" s="70">
        <f t="shared" si="1"/>
        <v>78</v>
      </c>
      <c r="AB45" s="70">
        <f t="shared" si="1"/>
        <v>87</v>
      </c>
      <c r="AC45" s="70">
        <f t="shared" si="1"/>
        <v>70</v>
      </c>
      <c r="AD45" s="70">
        <f t="shared" si="1"/>
        <v>73</v>
      </c>
      <c r="AE45" s="70">
        <f t="shared" si="1"/>
        <v>78</v>
      </c>
      <c r="AF45" s="70">
        <f t="shared" si="1"/>
        <v>78</v>
      </c>
      <c r="AG45" s="75">
        <f t="shared" si="1"/>
        <v>68</v>
      </c>
      <c r="AH45" s="65">
        <f t="shared" si="1"/>
        <v>63</v>
      </c>
      <c r="AI45" s="70">
        <f>SUM(AI3:AI44)</f>
        <v>51</v>
      </c>
      <c r="AJ45" s="70">
        <f>SUM(AJ3:AJ44)</f>
        <v>71</v>
      </c>
      <c r="AK45" s="75">
        <f>SUM(AK3:AK44)</f>
        <v>56</v>
      </c>
    </row>
    <row r="46" spans="1:37" ht="15.75" thickBot="1" x14ac:dyDescent="0.3">
      <c r="B46" s="74" t="s">
        <v>183</v>
      </c>
      <c r="C46" s="78"/>
      <c r="D46" s="78">
        <v>1</v>
      </c>
      <c r="E46" s="78">
        <v>2</v>
      </c>
      <c r="F46" s="79">
        <v>2</v>
      </c>
      <c r="G46" s="79">
        <v>2</v>
      </c>
      <c r="H46" s="79">
        <v>5</v>
      </c>
      <c r="I46" s="80">
        <v>8</v>
      </c>
      <c r="J46" s="121">
        <v>8</v>
      </c>
      <c r="K46" s="83">
        <v>5</v>
      </c>
      <c r="L46" s="78">
        <v>6</v>
      </c>
      <c r="M46" s="79">
        <v>5</v>
      </c>
      <c r="N46" s="79">
        <v>2</v>
      </c>
      <c r="O46" s="79">
        <v>3</v>
      </c>
      <c r="P46" s="79">
        <v>4</v>
      </c>
      <c r="Q46" s="79">
        <v>4</v>
      </c>
      <c r="R46" s="79">
        <v>3</v>
      </c>
      <c r="S46" s="79">
        <v>4</v>
      </c>
      <c r="T46" s="79">
        <v>3</v>
      </c>
      <c r="U46" s="79">
        <v>4</v>
      </c>
      <c r="V46" s="79">
        <v>3</v>
      </c>
      <c r="W46" s="79">
        <v>4</v>
      </c>
      <c r="X46" s="79">
        <v>4</v>
      </c>
      <c r="Y46" s="79">
        <v>2</v>
      </c>
      <c r="Z46" s="79">
        <v>1</v>
      </c>
      <c r="AA46" s="79">
        <v>2</v>
      </c>
      <c r="AB46" s="79">
        <v>1</v>
      </c>
      <c r="AC46" s="79">
        <v>2</v>
      </c>
      <c r="AD46" s="79">
        <v>2</v>
      </c>
      <c r="AE46" s="79">
        <v>2</v>
      </c>
      <c r="AF46" s="79">
        <v>1</v>
      </c>
      <c r="AG46" s="80">
        <v>3</v>
      </c>
      <c r="AH46" s="78">
        <v>5</v>
      </c>
      <c r="AI46" s="79">
        <v>12</v>
      </c>
      <c r="AJ46" s="79">
        <v>4</v>
      </c>
      <c r="AK46" s="80">
        <v>10</v>
      </c>
    </row>
    <row r="79" spans="1:31" ht="16.5" thickBot="1" x14ac:dyDescent="0.3">
      <c r="A79" s="86" t="s">
        <v>132</v>
      </c>
      <c r="B79" s="86" t="s">
        <v>133</v>
      </c>
      <c r="C79" s="86"/>
      <c r="D79" s="86" t="s">
        <v>134</v>
      </c>
      <c r="E79" s="86" t="s">
        <v>135</v>
      </c>
      <c r="F79" s="86" t="s">
        <v>136</v>
      </c>
      <c r="G79" s="86" t="s">
        <v>176</v>
      </c>
      <c r="H79" s="86" t="s">
        <v>137</v>
      </c>
      <c r="I79" s="86" t="s">
        <v>138</v>
      </c>
      <c r="J79" s="86" t="s">
        <v>139</v>
      </c>
    </row>
    <row r="80" spans="1:31" ht="15.75" customHeight="1" x14ac:dyDescent="0.25">
      <c r="A80" s="87" t="s">
        <v>140</v>
      </c>
      <c r="B80" s="88">
        <v>10</v>
      </c>
      <c r="C80" s="88"/>
      <c r="D80" s="89">
        <v>56</v>
      </c>
      <c r="E80" s="89">
        <v>15</v>
      </c>
      <c r="F80" s="89">
        <v>11</v>
      </c>
      <c r="G80" s="89">
        <v>16</v>
      </c>
      <c r="H80" s="88">
        <v>40</v>
      </c>
      <c r="I80" s="89">
        <v>38</v>
      </c>
      <c r="J80" s="134">
        <f t="shared" ref="J80:J111" si="2">H80-I80</f>
        <v>2</v>
      </c>
      <c r="K80" s="313" t="s">
        <v>434</v>
      </c>
      <c r="L80" s="314"/>
      <c r="M80" s="315"/>
      <c r="O80" s="133"/>
      <c r="P80" s="133"/>
      <c r="W80" s="309"/>
      <c r="X80" s="309"/>
      <c r="Y80" s="70" t="s">
        <v>211</v>
      </c>
      <c r="Z80" s="70" t="s">
        <v>212</v>
      </c>
      <c r="AA80" s="70" t="s">
        <v>213</v>
      </c>
      <c r="AC80" s="70" t="s">
        <v>214</v>
      </c>
      <c r="AD80" s="70" t="s">
        <v>215</v>
      </c>
      <c r="AE80" s="70" t="s">
        <v>216</v>
      </c>
    </row>
    <row r="81" spans="1:31" ht="15.75" customHeight="1" thickBot="1" x14ac:dyDescent="0.3">
      <c r="A81" s="90" t="s">
        <v>141</v>
      </c>
      <c r="B81" s="91">
        <v>4</v>
      </c>
      <c r="C81" s="91"/>
      <c r="D81" s="91">
        <v>71</v>
      </c>
      <c r="E81" s="91">
        <v>18</v>
      </c>
      <c r="F81" s="92">
        <v>17</v>
      </c>
      <c r="G81" s="91">
        <v>7</v>
      </c>
      <c r="H81" s="91">
        <v>53</v>
      </c>
      <c r="I81" s="91">
        <v>28</v>
      </c>
      <c r="J81" s="127">
        <f t="shared" si="2"/>
        <v>25</v>
      </c>
      <c r="K81" s="316"/>
      <c r="L81" s="317"/>
      <c r="M81" s="318"/>
      <c r="O81" s="133"/>
      <c r="P81" s="133"/>
      <c r="W81" s="309" t="s">
        <v>209</v>
      </c>
      <c r="X81" s="309"/>
      <c r="Y81" s="70">
        <f>COUNTIF(L3:AG40,3)</f>
        <v>481</v>
      </c>
      <c r="Z81" s="70">
        <f>COUNTIF(L3:AG40,1)</f>
        <v>201</v>
      </c>
      <c r="AA81" s="70">
        <f>COUNTIF(L3:AG40,0)</f>
        <v>154</v>
      </c>
      <c r="AC81" s="109">
        <f>Y81/SUM($Y$81:$AA$81)</f>
        <v>0.57535885167464118</v>
      </c>
      <c r="AD81" s="109">
        <f t="shared" ref="AD81:AE81" si="3">Z81/SUM($Y$81:$AA$81)</f>
        <v>0.24043062200956938</v>
      </c>
      <c r="AE81" s="109">
        <f t="shared" si="3"/>
        <v>0.18421052631578946</v>
      </c>
    </row>
    <row r="82" spans="1:31" ht="15.75" customHeight="1" thickBot="1" x14ac:dyDescent="0.3">
      <c r="A82" s="93" t="s">
        <v>142</v>
      </c>
      <c r="B82" s="94">
        <v>12</v>
      </c>
      <c r="C82" s="94"/>
      <c r="D82" s="94">
        <v>51</v>
      </c>
      <c r="E82" s="94">
        <v>13</v>
      </c>
      <c r="F82" s="95">
        <v>12</v>
      </c>
      <c r="G82" s="94">
        <v>17</v>
      </c>
      <c r="H82" s="95">
        <v>52</v>
      </c>
      <c r="I82" s="94">
        <v>49</v>
      </c>
      <c r="J82" s="135">
        <f t="shared" si="2"/>
        <v>3</v>
      </c>
      <c r="K82" s="319" t="s">
        <v>435</v>
      </c>
      <c r="L82" s="320"/>
      <c r="M82" s="321"/>
      <c r="O82" s="133"/>
      <c r="P82" s="133"/>
      <c r="W82" s="309" t="s">
        <v>210</v>
      </c>
      <c r="X82" s="309"/>
      <c r="Y82" s="70">
        <f>COUNTIF(K3:K40,3)+COUNTIF(J3:J15,3)</f>
        <v>25</v>
      </c>
      <c r="Z82" s="70">
        <f>COUNTIF(K3:K40,1)+COUNTIF(J3:J15,1)</f>
        <v>13</v>
      </c>
      <c r="AA82" s="70">
        <f>COUNTIF(K3:K40,0)+COUNTIF(J3:J15,0)</f>
        <v>13</v>
      </c>
      <c r="AC82" s="109">
        <f>Y82/SUM($Y$82:$AA$82)</f>
        <v>0.49019607843137253</v>
      </c>
      <c r="AD82" s="109">
        <f t="shared" ref="AD82:AE82" si="4">Z82/SUM($Y$82:$AA$82)</f>
        <v>0.25490196078431371</v>
      </c>
      <c r="AE82" s="109">
        <f t="shared" si="4"/>
        <v>0.25490196078431371</v>
      </c>
    </row>
    <row r="83" spans="1:31" ht="16.5" customHeight="1" thickBot="1" x14ac:dyDescent="0.3">
      <c r="A83" s="96" t="s">
        <v>143</v>
      </c>
      <c r="B83" s="97">
        <v>5</v>
      </c>
      <c r="C83" s="97"/>
      <c r="D83" s="97">
        <v>63</v>
      </c>
      <c r="E83" s="97">
        <v>17</v>
      </c>
      <c r="F83" s="97">
        <v>12</v>
      </c>
      <c r="G83" s="97">
        <v>9</v>
      </c>
      <c r="H83" s="97">
        <v>49</v>
      </c>
      <c r="I83" s="97">
        <v>32</v>
      </c>
      <c r="J83" s="136">
        <f t="shared" si="2"/>
        <v>17</v>
      </c>
      <c r="K83" s="322" t="s">
        <v>436</v>
      </c>
      <c r="L83" s="323"/>
      <c r="M83" s="324"/>
      <c r="O83" s="133"/>
      <c r="P83" s="133"/>
      <c r="W83" s="310" t="s">
        <v>97</v>
      </c>
      <c r="X83" s="310"/>
      <c r="Y83" s="194">
        <v>224</v>
      </c>
      <c r="Z83" s="194">
        <v>60</v>
      </c>
      <c r="AA83" s="70">
        <v>76</v>
      </c>
      <c r="AC83" s="109">
        <f>Y83/SUM($Y$83:$AA$83)</f>
        <v>0.62222222222222223</v>
      </c>
      <c r="AD83" s="195">
        <f t="shared" ref="AD83:AE83" si="5">Z83/SUM($Y$83:$AA$83)</f>
        <v>0.16666666666666666</v>
      </c>
      <c r="AE83" s="195">
        <f t="shared" si="5"/>
        <v>0.21111111111111111</v>
      </c>
    </row>
    <row r="84" spans="1:31" ht="15.75" customHeight="1" x14ac:dyDescent="0.25">
      <c r="A84" s="87" t="s">
        <v>144</v>
      </c>
      <c r="B84" s="89">
        <v>3</v>
      </c>
      <c r="C84" s="89"/>
      <c r="D84" s="89">
        <v>68</v>
      </c>
      <c r="E84" s="88">
        <v>19</v>
      </c>
      <c r="F84" s="89">
        <v>11</v>
      </c>
      <c r="G84" s="89">
        <v>8</v>
      </c>
      <c r="H84" s="89">
        <v>62</v>
      </c>
      <c r="I84" s="89">
        <v>32</v>
      </c>
      <c r="J84" s="137">
        <f t="shared" si="2"/>
        <v>30</v>
      </c>
      <c r="K84" s="288" t="s">
        <v>284</v>
      </c>
      <c r="L84" s="289"/>
      <c r="M84" s="290"/>
      <c r="O84" s="141"/>
      <c r="P84" s="141"/>
      <c r="W84" s="325"/>
      <c r="X84" s="325"/>
      <c r="Y84" s="196"/>
      <c r="Z84" s="196"/>
      <c r="AA84" s="196"/>
      <c r="AC84" s="197"/>
      <c r="AD84" s="197"/>
      <c r="AE84" s="197"/>
    </row>
    <row r="85" spans="1:31" ht="15.75" x14ac:dyDescent="0.25">
      <c r="A85" s="90" t="s">
        <v>145</v>
      </c>
      <c r="B85" s="98">
        <v>1</v>
      </c>
      <c r="C85" s="98"/>
      <c r="D85" s="91">
        <v>78</v>
      </c>
      <c r="E85" s="91">
        <v>23</v>
      </c>
      <c r="F85" s="91">
        <v>9</v>
      </c>
      <c r="G85" s="91">
        <v>6</v>
      </c>
      <c r="H85" s="91">
        <v>68</v>
      </c>
      <c r="I85" s="91">
        <v>33</v>
      </c>
      <c r="J85" s="127">
        <f t="shared" si="2"/>
        <v>35</v>
      </c>
      <c r="K85" s="291"/>
      <c r="L85" s="292"/>
      <c r="M85" s="293"/>
      <c r="O85" s="141"/>
      <c r="P85" s="141"/>
    </row>
    <row r="86" spans="1:31" ht="15.75" x14ac:dyDescent="0.25">
      <c r="A86" s="93" t="s">
        <v>146</v>
      </c>
      <c r="B86" s="95">
        <v>2</v>
      </c>
      <c r="C86" s="95"/>
      <c r="D86" s="95">
        <v>78</v>
      </c>
      <c r="E86" s="95">
        <v>22</v>
      </c>
      <c r="F86" s="94">
        <v>12</v>
      </c>
      <c r="G86" s="95">
        <v>4</v>
      </c>
      <c r="H86" s="94">
        <v>59</v>
      </c>
      <c r="I86" s="99">
        <v>17</v>
      </c>
      <c r="J86" s="135">
        <f t="shared" si="2"/>
        <v>42</v>
      </c>
      <c r="K86" s="291"/>
      <c r="L86" s="292"/>
      <c r="M86" s="293"/>
      <c r="O86" s="141"/>
      <c r="P86" s="141"/>
    </row>
    <row r="87" spans="1:31" ht="15.75" x14ac:dyDescent="0.25">
      <c r="A87" s="90" t="s">
        <v>147</v>
      </c>
      <c r="B87" s="91">
        <v>2</v>
      </c>
      <c r="C87" s="91"/>
      <c r="D87" s="91">
        <v>73</v>
      </c>
      <c r="E87" s="91">
        <v>22</v>
      </c>
      <c r="F87" s="91">
        <v>7</v>
      </c>
      <c r="G87" s="91">
        <v>9</v>
      </c>
      <c r="H87" s="91">
        <v>73</v>
      </c>
      <c r="I87" s="91">
        <v>43</v>
      </c>
      <c r="J87" s="127">
        <f t="shared" si="2"/>
        <v>30</v>
      </c>
      <c r="K87" s="291"/>
      <c r="L87" s="292"/>
      <c r="M87" s="293"/>
      <c r="O87" s="141"/>
      <c r="P87" s="141"/>
    </row>
    <row r="88" spans="1:31" ht="15.75" x14ac:dyDescent="0.25">
      <c r="A88" s="93" t="s">
        <v>148</v>
      </c>
      <c r="B88" s="95">
        <v>2</v>
      </c>
      <c r="C88" s="95"/>
      <c r="D88" s="95">
        <v>70</v>
      </c>
      <c r="E88" s="95">
        <v>20</v>
      </c>
      <c r="F88" s="95">
        <v>10</v>
      </c>
      <c r="G88" s="95">
        <v>8</v>
      </c>
      <c r="H88" s="95">
        <v>63</v>
      </c>
      <c r="I88" s="95">
        <v>38</v>
      </c>
      <c r="J88" s="138">
        <f t="shared" si="2"/>
        <v>25</v>
      </c>
      <c r="K88" s="291"/>
      <c r="L88" s="292"/>
      <c r="M88" s="293"/>
      <c r="O88" s="141"/>
      <c r="P88" s="141"/>
    </row>
    <row r="89" spans="1:31" ht="15.75" x14ac:dyDescent="0.25">
      <c r="A89" s="90" t="s">
        <v>149</v>
      </c>
      <c r="B89" s="98">
        <v>1</v>
      </c>
      <c r="C89" s="98"/>
      <c r="D89" s="91">
        <v>87</v>
      </c>
      <c r="E89" s="98">
        <v>26</v>
      </c>
      <c r="F89" s="91">
        <v>9</v>
      </c>
      <c r="G89" s="91">
        <v>3</v>
      </c>
      <c r="H89" s="91">
        <v>79</v>
      </c>
      <c r="I89" s="91">
        <v>36</v>
      </c>
      <c r="J89" s="127">
        <f t="shared" si="2"/>
        <v>43</v>
      </c>
      <c r="K89" s="291"/>
      <c r="L89" s="292"/>
      <c r="M89" s="293"/>
      <c r="O89" s="141"/>
      <c r="P89" s="141"/>
    </row>
    <row r="90" spans="1:31" ht="15.75" x14ac:dyDescent="0.25">
      <c r="A90" s="93" t="s">
        <v>150</v>
      </c>
      <c r="B90" s="95">
        <v>2</v>
      </c>
      <c r="C90" s="95"/>
      <c r="D90" s="95">
        <v>78</v>
      </c>
      <c r="E90" s="95">
        <v>23</v>
      </c>
      <c r="F90" s="95">
        <v>9</v>
      </c>
      <c r="G90" s="95">
        <v>6</v>
      </c>
      <c r="H90" s="95">
        <v>85</v>
      </c>
      <c r="I90" s="95">
        <v>42</v>
      </c>
      <c r="J90" s="135">
        <f t="shared" si="2"/>
        <v>43</v>
      </c>
      <c r="K90" s="291"/>
      <c r="L90" s="292"/>
      <c r="M90" s="293"/>
      <c r="O90" s="141"/>
      <c r="P90" s="141"/>
    </row>
    <row r="91" spans="1:31" ht="15.75" x14ac:dyDescent="0.25">
      <c r="A91" s="90" t="s">
        <v>151</v>
      </c>
      <c r="B91" s="98">
        <v>1</v>
      </c>
      <c r="C91" s="98"/>
      <c r="D91" s="98">
        <v>90</v>
      </c>
      <c r="E91" s="98">
        <v>26</v>
      </c>
      <c r="F91" s="92">
        <v>12</v>
      </c>
      <c r="G91" s="98">
        <v>0</v>
      </c>
      <c r="H91" s="91">
        <v>73</v>
      </c>
      <c r="I91" s="91">
        <v>26</v>
      </c>
      <c r="J91" s="127">
        <f t="shared" si="2"/>
        <v>47</v>
      </c>
      <c r="K91" s="291"/>
      <c r="L91" s="292"/>
      <c r="M91" s="293"/>
      <c r="O91" s="141"/>
      <c r="P91" s="141"/>
    </row>
    <row r="92" spans="1:31" ht="15.75" x14ac:dyDescent="0.25">
      <c r="A92" s="93" t="s">
        <v>152</v>
      </c>
      <c r="B92" s="95">
        <v>2</v>
      </c>
      <c r="C92" s="95"/>
      <c r="D92" s="95">
        <v>83</v>
      </c>
      <c r="E92" s="95">
        <v>25</v>
      </c>
      <c r="F92" s="95">
        <v>8</v>
      </c>
      <c r="G92" s="95">
        <v>5</v>
      </c>
      <c r="H92" s="99">
        <v>87</v>
      </c>
      <c r="I92" s="95">
        <v>36</v>
      </c>
      <c r="J92" s="139">
        <f t="shared" si="2"/>
        <v>51</v>
      </c>
      <c r="K92" s="291"/>
      <c r="L92" s="292"/>
      <c r="M92" s="293"/>
      <c r="O92" s="141"/>
      <c r="P92" s="141"/>
    </row>
    <row r="93" spans="1:31" ht="15.75" x14ac:dyDescent="0.25">
      <c r="A93" s="90" t="s">
        <v>153</v>
      </c>
      <c r="B93" s="91">
        <v>4</v>
      </c>
      <c r="C93" s="91"/>
      <c r="D93" s="92">
        <v>67</v>
      </c>
      <c r="E93" s="91">
        <v>20</v>
      </c>
      <c r="F93" s="91">
        <v>7</v>
      </c>
      <c r="G93" s="92">
        <v>11</v>
      </c>
      <c r="H93" s="91">
        <v>68</v>
      </c>
      <c r="I93" s="91">
        <v>31</v>
      </c>
      <c r="J93" s="127">
        <f t="shared" si="2"/>
        <v>37</v>
      </c>
      <c r="K93" s="291"/>
      <c r="L93" s="292"/>
      <c r="M93" s="293"/>
      <c r="O93" s="141"/>
      <c r="P93" s="141"/>
    </row>
    <row r="94" spans="1:31" ht="15.75" x14ac:dyDescent="0.25">
      <c r="A94" s="93" t="s">
        <v>154</v>
      </c>
      <c r="B94" s="95">
        <v>4</v>
      </c>
      <c r="C94" s="95"/>
      <c r="D94" s="95">
        <v>68</v>
      </c>
      <c r="E94" s="94">
        <v>19</v>
      </c>
      <c r="F94" s="95">
        <v>11</v>
      </c>
      <c r="G94" s="95">
        <v>8</v>
      </c>
      <c r="H94" s="95">
        <v>63</v>
      </c>
      <c r="I94" s="95">
        <v>35</v>
      </c>
      <c r="J94" s="135">
        <f t="shared" si="2"/>
        <v>28</v>
      </c>
      <c r="K94" s="291"/>
      <c r="L94" s="292"/>
      <c r="M94" s="293"/>
      <c r="O94" s="141"/>
      <c r="P94" s="141"/>
    </row>
    <row r="95" spans="1:31" ht="15.75" x14ac:dyDescent="0.25">
      <c r="A95" s="90" t="s">
        <v>155</v>
      </c>
      <c r="B95" s="91">
        <v>3</v>
      </c>
      <c r="C95" s="91"/>
      <c r="D95" s="91">
        <v>83</v>
      </c>
      <c r="E95" s="91">
        <v>24</v>
      </c>
      <c r="F95" s="91">
        <v>11</v>
      </c>
      <c r="G95" s="91">
        <v>3</v>
      </c>
      <c r="H95" s="91">
        <v>74</v>
      </c>
      <c r="I95" s="91">
        <v>31</v>
      </c>
      <c r="J95" s="127">
        <f t="shared" si="2"/>
        <v>43</v>
      </c>
      <c r="K95" s="291"/>
      <c r="L95" s="292"/>
      <c r="M95" s="293"/>
      <c r="O95" s="141"/>
      <c r="P95" s="141"/>
    </row>
    <row r="96" spans="1:31" ht="15.75" x14ac:dyDescent="0.25">
      <c r="A96" s="93" t="s">
        <v>156</v>
      </c>
      <c r="B96" s="95">
        <v>4</v>
      </c>
      <c r="C96" s="95"/>
      <c r="D96" s="95">
        <v>72</v>
      </c>
      <c r="E96" s="95">
        <v>20</v>
      </c>
      <c r="F96" s="95">
        <v>12</v>
      </c>
      <c r="G96" s="95">
        <v>6</v>
      </c>
      <c r="H96" s="95">
        <v>68</v>
      </c>
      <c r="I96" s="95">
        <v>37</v>
      </c>
      <c r="J96" s="135">
        <f t="shared" si="2"/>
        <v>31</v>
      </c>
      <c r="K96" s="291"/>
      <c r="L96" s="292"/>
      <c r="M96" s="293"/>
      <c r="O96" s="141"/>
      <c r="P96" s="141"/>
    </row>
    <row r="97" spans="1:16" ht="15.75" x14ac:dyDescent="0.25">
      <c r="A97" s="90" t="s">
        <v>157</v>
      </c>
      <c r="B97" s="91">
        <v>3</v>
      </c>
      <c r="C97" s="91"/>
      <c r="D97" s="91">
        <v>75</v>
      </c>
      <c r="E97" s="91">
        <v>23</v>
      </c>
      <c r="F97" s="98">
        <v>6</v>
      </c>
      <c r="G97" s="91">
        <v>9</v>
      </c>
      <c r="H97" s="91">
        <v>83</v>
      </c>
      <c r="I97" s="91">
        <v>41</v>
      </c>
      <c r="J97" s="127">
        <f t="shared" si="2"/>
        <v>42</v>
      </c>
      <c r="K97" s="291"/>
      <c r="L97" s="292"/>
      <c r="M97" s="293"/>
      <c r="O97" s="141"/>
      <c r="P97" s="141"/>
    </row>
    <row r="98" spans="1:16" ht="15.75" x14ac:dyDescent="0.25">
      <c r="A98" s="93" t="s">
        <v>158</v>
      </c>
      <c r="B98" s="95">
        <v>4</v>
      </c>
      <c r="C98" s="95"/>
      <c r="D98" s="95">
        <v>68</v>
      </c>
      <c r="E98" s="94">
        <v>19</v>
      </c>
      <c r="F98" s="95">
        <v>11</v>
      </c>
      <c r="G98" s="95">
        <v>8</v>
      </c>
      <c r="H98" s="95">
        <v>72</v>
      </c>
      <c r="I98" s="95">
        <v>43</v>
      </c>
      <c r="J98" s="135">
        <f t="shared" si="2"/>
        <v>29</v>
      </c>
      <c r="K98" s="291"/>
      <c r="L98" s="292"/>
      <c r="M98" s="293"/>
      <c r="O98" s="141"/>
      <c r="P98" s="141"/>
    </row>
    <row r="99" spans="1:16" ht="15.75" x14ac:dyDescent="0.25">
      <c r="A99" s="90" t="s">
        <v>159</v>
      </c>
      <c r="B99" s="91">
        <v>3</v>
      </c>
      <c r="C99" s="91"/>
      <c r="D99" s="91">
        <v>70</v>
      </c>
      <c r="E99" s="91">
        <v>20</v>
      </c>
      <c r="F99" s="91">
        <v>9</v>
      </c>
      <c r="G99" s="91">
        <v>9</v>
      </c>
      <c r="H99" s="91">
        <v>66</v>
      </c>
      <c r="I99" s="91">
        <v>41</v>
      </c>
      <c r="J99" s="127">
        <f t="shared" si="2"/>
        <v>25</v>
      </c>
      <c r="K99" s="291"/>
      <c r="L99" s="292"/>
      <c r="M99" s="293"/>
      <c r="O99" s="141"/>
      <c r="P99" s="141"/>
    </row>
    <row r="100" spans="1:16" ht="15.75" x14ac:dyDescent="0.25">
      <c r="A100" s="93" t="s">
        <v>160</v>
      </c>
      <c r="B100" s="95">
        <v>4</v>
      </c>
      <c r="C100" s="95"/>
      <c r="D100" s="95">
        <v>73</v>
      </c>
      <c r="E100" s="95">
        <v>21</v>
      </c>
      <c r="F100" s="95">
        <v>10</v>
      </c>
      <c r="G100" s="95">
        <v>7</v>
      </c>
      <c r="H100" s="95">
        <v>72</v>
      </c>
      <c r="I100" s="95">
        <v>37</v>
      </c>
      <c r="J100" s="135">
        <f t="shared" si="2"/>
        <v>35</v>
      </c>
      <c r="K100" s="291"/>
      <c r="L100" s="292"/>
      <c r="M100" s="293"/>
      <c r="O100" s="141"/>
      <c r="P100" s="141"/>
    </row>
    <row r="101" spans="1:16" ht="15.75" x14ac:dyDescent="0.25">
      <c r="A101" s="90" t="s">
        <v>161</v>
      </c>
      <c r="B101" s="91">
        <v>4</v>
      </c>
      <c r="C101" s="91"/>
      <c r="D101" s="91">
        <v>79</v>
      </c>
      <c r="E101" s="91">
        <v>24</v>
      </c>
      <c r="F101" s="91">
        <v>7</v>
      </c>
      <c r="G101" s="91">
        <v>7</v>
      </c>
      <c r="H101" s="91">
        <v>68</v>
      </c>
      <c r="I101" s="91">
        <v>41</v>
      </c>
      <c r="J101" s="127">
        <f t="shared" si="2"/>
        <v>27</v>
      </c>
      <c r="K101" s="291"/>
      <c r="L101" s="292"/>
      <c r="M101" s="293"/>
      <c r="O101" s="141"/>
      <c r="P101" s="141"/>
    </row>
    <row r="102" spans="1:16" ht="15.75" x14ac:dyDescent="0.25">
      <c r="A102" s="93" t="s">
        <v>162</v>
      </c>
      <c r="B102" s="95">
        <v>3</v>
      </c>
      <c r="C102" s="95"/>
      <c r="D102" s="95">
        <v>75</v>
      </c>
      <c r="E102" s="95">
        <v>22</v>
      </c>
      <c r="F102" s="95">
        <v>9</v>
      </c>
      <c r="G102" s="95">
        <v>7</v>
      </c>
      <c r="H102" s="95">
        <v>71</v>
      </c>
      <c r="I102" s="95">
        <v>36</v>
      </c>
      <c r="J102" s="135">
        <f t="shared" si="2"/>
        <v>35</v>
      </c>
      <c r="K102" s="291"/>
      <c r="L102" s="292"/>
      <c r="M102" s="293"/>
      <c r="O102" s="141"/>
      <c r="P102" s="141"/>
    </row>
    <row r="103" spans="1:16" ht="15.75" x14ac:dyDescent="0.25">
      <c r="A103" s="90" t="s">
        <v>163</v>
      </c>
      <c r="B103" s="91">
        <v>2</v>
      </c>
      <c r="C103" s="91"/>
      <c r="D103" s="91">
        <v>71</v>
      </c>
      <c r="E103" s="91">
        <v>20</v>
      </c>
      <c r="F103" s="91">
        <v>11</v>
      </c>
      <c r="G103" s="91">
        <v>7</v>
      </c>
      <c r="H103" s="91">
        <v>65</v>
      </c>
      <c r="I103" s="91">
        <v>36</v>
      </c>
      <c r="J103" s="127">
        <f t="shared" si="2"/>
        <v>29</v>
      </c>
      <c r="K103" s="291"/>
      <c r="L103" s="292"/>
      <c r="M103" s="293"/>
      <c r="O103" s="141"/>
      <c r="P103" s="141"/>
    </row>
    <row r="104" spans="1:16" ht="15.75" x14ac:dyDescent="0.25">
      <c r="A104" s="93" t="s">
        <v>164</v>
      </c>
      <c r="B104" s="95">
        <v>5</v>
      </c>
      <c r="C104" s="95"/>
      <c r="D104" s="95">
        <v>75</v>
      </c>
      <c r="E104" s="95">
        <v>23</v>
      </c>
      <c r="F104" s="99">
        <v>6</v>
      </c>
      <c r="G104" s="95">
        <v>9</v>
      </c>
      <c r="H104" s="95">
        <v>77</v>
      </c>
      <c r="I104" s="94">
        <v>44</v>
      </c>
      <c r="J104" s="135">
        <f t="shared" si="2"/>
        <v>33</v>
      </c>
      <c r="K104" s="291"/>
      <c r="L104" s="292"/>
      <c r="M104" s="293"/>
      <c r="O104" s="141"/>
      <c r="P104" s="141"/>
    </row>
    <row r="105" spans="1:16" ht="16.5" thickBot="1" x14ac:dyDescent="0.3">
      <c r="A105" s="100" t="s">
        <v>165</v>
      </c>
      <c r="B105" s="101">
        <v>6</v>
      </c>
      <c r="C105" s="101"/>
      <c r="D105" s="101">
        <v>63</v>
      </c>
      <c r="E105" s="101">
        <v>19</v>
      </c>
      <c r="F105" s="101">
        <v>6</v>
      </c>
      <c r="G105" s="101">
        <v>13</v>
      </c>
      <c r="H105" s="101">
        <v>74</v>
      </c>
      <c r="I105" s="101">
        <v>51</v>
      </c>
      <c r="J105" s="140">
        <f t="shared" si="2"/>
        <v>23</v>
      </c>
      <c r="K105" s="294"/>
      <c r="L105" s="295"/>
      <c r="M105" s="296"/>
      <c r="O105" s="141"/>
      <c r="P105" s="141"/>
    </row>
    <row r="106" spans="1:16" ht="16.5" thickBot="1" x14ac:dyDescent="0.3">
      <c r="A106" s="128" t="s">
        <v>173</v>
      </c>
      <c r="B106" s="129">
        <v>5</v>
      </c>
      <c r="C106" s="129"/>
      <c r="D106" s="129">
        <v>70</v>
      </c>
      <c r="E106" s="129">
        <v>21</v>
      </c>
      <c r="F106" s="129">
        <v>7</v>
      </c>
      <c r="G106" s="129">
        <v>10</v>
      </c>
      <c r="H106" s="129">
        <v>72</v>
      </c>
      <c r="I106" s="129">
        <v>51</v>
      </c>
      <c r="J106" s="130">
        <f t="shared" si="2"/>
        <v>21</v>
      </c>
      <c r="K106" s="285" t="s">
        <v>286</v>
      </c>
      <c r="L106" s="286"/>
      <c r="M106" s="287"/>
      <c r="O106" s="126"/>
      <c r="P106" s="126"/>
    </row>
    <row r="107" spans="1:16" ht="16.5" thickBot="1" x14ac:dyDescent="0.3">
      <c r="A107" s="131" t="s">
        <v>186</v>
      </c>
      <c r="B107" s="132">
        <v>8</v>
      </c>
      <c r="C107" s="132"/>
      <c r="D107" s="132">
        <v>56</v>
      </c>
      <c r="E107" s="132">
        <v>14</v>
      </c>
      <c r="F107" s="132">
        <v>14</v>
      </c>
      <c r="G107" s="132">
        <v>10</v>
      </c>
      <c r="H107" s="132">
        <v>56</v>
      </c>
      <c r="I107" s="132">
        <v>48</v>
      </c>
      <c r="J107" s="150">
        <f t="shared" si="2"/>
        <v>8</v>
      </c>
      <c r="K107" s="285" t="s">
        <v>288</v>
      </c>
      <c r="L107" s="286"/>
      <c r="M107" s="287"/>
      <c r="O107" s="126"/>
      <c r="P107" s="126"/>
    </row>
    <row r="108" spans="1:16" ht="15.75" customHeight="1" x14ac:dyDescent="0.25">
      <c r="A108" s="93" t="s">
        <v>201</v>
      </c>
      <c r="B108" s="122">
        <v>8</v>
      </c>
      <c r="C108" s="122"/>
      <c r="D108" s="122">
        <v>61</v>
      </c>
      <c r="E108" s="122">
        <v>18</v>
      </c>
      <c r="F108" s="122">
        <v>7</v>
      </c>
      <c r="G108" s="122">
        <v>13</v>
      </c>
      <c r="H108" s="122">
        <v>55</v>
      </c>
      <c r="I108" s="122">
        <v>39</v>
      </c>
      <c r="J108" s="154">
        <f t="shared" si="2"/>
        <v>16</v>
      </c>
      <c r="K108" s="297" t="s">
        <v>289</v>
      </c>
      <c r="L108" s="298"/>
      <c r="M108" s="299"/>
      <c r="O108" s="126"/>
      <c r="P108" s="126"/>
    </row>
    <row r="109" spans="1:16" ht="15.75" customHeight="1" x14ac:dyDescent="0.25">
      <c r="A109" s="90" t="s">
        <v>219</v>
      </c>
      <c r="B109" s="91">
        <v>5</v>
      </c>
      <c r="C109" s="91"/>
      <c r="D109" s="91">
        <v>69</v>
      </c>
      <c r="E109" s="91">
        <v>22</v>
      </c>
      <c r="F109" s="91">
        <v>3</v>
      </c>
      <c r="G109" s="91">
        <v>13</v>
      </c>
      <c r="H109" s="91">
        <v>61</v>
      </c>
      <c r="I109" s="91">
        <v>48</v>
      </c>
      <c r="J109" s="127">
        <f t="shared" si="2"/>
        <v>13</v>
      </c>
      <c r="K109" s="300"/>
      <c r="L109" s="301"/>
      <c r="M109" s="302"/>
      <c r="O109" s="126"/>
      <c r="P109" s="126"/>
    </row>
    <row r="110" spans="1:16" ht="15.75" customHeight="1" x14ac:dyDescent="0.25">
      <c r="A110" s="93" t="s">
        <v>274</v>
      </c>
      <c r="B110" s="122">
        <v>2</v>
      </c>
      <c r="C110" s="122"/>
      <c r="D110" s="122">
        <v>84</v>
      </c>
      <c r="E110" s="122">
        <v>26</v>
      </c>
      <c r="F110" s="122">
        <v>6</v>
      </c>
      <c r="G110" s="122">
        <v>6</v>
      </c>
      <c r="H110" s="122">
        <v>88</v>
      </c>
      <c r="I110" s="122">
        <v>43</v>
      </c>
      <c r="J110" s="154">
        <f t="shared" si="2"/>
        <v>45</v>
      </c>
      <c r="K110" s="300"/>
      <c r="L110" s="301"/>
      <c r="M110" s="302"/>
      <c r="O110" s="126"/>
      <c r="P110" s="126"/>
    </row>
    <row r="111" spans="1:16" ht="15.75" customHeight="1" x14ac:dyDescent="0.25">
      <c r="A111" s="90" t="s">
        <v>285</v>
      </c>
      <c r="B111" s="91">
        <v>2</v>
      </c>
      <c r="C111" s="91"/>
      <c r="D111" s="91">
        <v>89</v>
      </c>
      <c r="E111" s="91">
        <v>28</v>
      </c>
      <c r="F111" s="91">
        <v>5</v>
      </c>
      <c r="G111" s="91">
        <v>5</v>
      </c>
      <c r="H111" s="91">
        <v>91</v>
      </c>
      <c r="I111" s="91">
        <v>29</v>
      </c>
      <c r="J111" s="127">
        <f t="shared" si="2"/>
        <v>62</v>
      </c>
      <c r="K111" s="300"/>
      <c r="L111" s="301"/>
      <c r="M111" s="302"/>
      <c r="O111" s="126"/>
      <c r="P111" s="126"/>
    </row>
    <row r="112" spans="1:16" ht="15.75" customHeight="1" x14ac:dyDescent="0.25">
      <c r="A112" s="93" t="s">
        <v>310</v>
      </c>
      <c r="B112" s="122">
        <v>2</v>
      </c>
      <c r="C112" s="122"/>
      <c r="D112" s="122">
        <f>SUM(E112*3+F112)</f>
        <v>74</v>
      </c>
      <c r="E112" s="122">
        <f>COUNTIF(E3:E40,3)</f>
        <v>20</v>
      </c>
      <c r="F112" s="122">
        <f>COUNTIF(E3:E40,1)</f>
        <v>14</v>
      </c>
      <c r="G112" s="122">
        <f>COUNTIF(E3:E40,0)</f>
        <v>4</v>
      </c>
      <c r="H112" s="122">
        <v>67</v>
      </c>
      <c r="I112" s="122">
        <v>33</v>
      </c>
      <c r="J112" s="154">
        <f t="shared" ref="J112:J114" si="6">H112-I112</f>
        <v>34</v>
      </c>
      <c r="K112" s="300"/>
      <c r="L112" s="301"/>
      <c r="M112" s="302"/>
    </row>
    <row r="113" spans="1:13" ht="16.5" customHeight="1" x14ac:dyDescent="0.25">
      <c r="A113" s="156" t="s">
        <v>311</v>
      </c>
      <c r="B113" s="156">
        <v>1</v>
      </c>
      <c r="C113" s="156"/>
      <c r="D113" s="156">
        <f>SUM(E113*3+F113)</f>
        <v>85</v>
      </c>
      <c r="E113" s="156">
        <f>COUNTIF(D3:D41,3)</f>
        <v>26</v>
      </c>
      <c r="F113" s="156">
        <f>COUNTIF(D3:D41,1)</f>
        <v>7</v>
      </c>
      <c r="G113" s="156">
        <f>COUNTIF(D3:D41,0)</f>
        <v>5</v>
      </c>
      <c r="H113" s="156">
        <v>69</v>
      </c>
      <c r="I113" s="156">
        <v>26</v>
      </c>
      <c r="J113" s="157">
        <f t="shared" si="6"/>
        <v>43</v>
      </c>
      <c r="K113" s="300"/>
      <c r="L113" s="301"/>
      <c r="M113" s="302"/>
    </row>
    <row r="114" spans="1:13" ht="16.5" thickBot="1" x14ac:dyDescent="0.3">
      <c r="A114" s="93" t="s">
        <v>437</v>
      </c>
      <c r="B114" s="122"/>
      <c r="C114" s="122"/>
      <c r="D114" s="122">
        <f>SUM(E114*3+F114)</f>
        <v>12</v>
      </c>
      <c r="E114" s="122">
        <f>COUNTIF(C3:C41,3)</f>
        <v>4</v>
      </c>
      <c r="F114" s="122">
        <f>COUNTIF(C3:C41,1)</f>
        <v>0</v>
      </c>
      <c r="G114" s="122">
        <f>COUNTIF(C3:C41,0)</f>
        <v>1</v>
      </c>
      <c r="H114" s="122">
        <f>Match!R4</f>
        <v>10</v>
      </c>
      <c r="I114" s="122">
        <f>Match!S4</f>
        <v>5</v>
      </c>
      <c r="J114" s="154">
        <f t="shared" si="6"/>
        <v>5</v>
      </c>
      <c r="K114" s="303"/>
      <c r="L114" s="304"/>
      <c r="M114" s="305"/>
    </row>
  </sheetData>
  <autoFilter ref="A79:J112" xr:uid="{9C81160F-C24B-449F-8F5A-CB622AB71070}"/>
  <mergeCells count="15">
    <mergeCell ref="W84:X84"/>
    <mergeCell ref="AH1:AK1"/>
    <mergeCell ref="W80:X80"/>
    <mergeCell ref="W81:X81"/>
    <mergeCell ref="W82:X82"/>
    <mergeCell ref="W83:X83"/>
    <mergeCell ref="L1:AG1"/>
    <mergeCell ref="K80:M81"/>
    <mergeCell ref="K82:M82"/>
    <mergeCell ref="K83:M83"/>
    <mergeCell ref="C1:I1"/>
    <mergeCell ref="K106:M106"/>
    <mergeCell ref="K107:M107"/>
    <mergeCell ref="K84:M105"/>
    <mergeCell ref="K108:M114"/>
  </mergeCells>
  <phoneticPr fontId="23" type="noConversion"/>
  <conditionalFormatting sqref="A3:A40">
    <cfRule type="colorScale" priority="1">
      <colorScale>
        <cfvo type="min"/>
        <cfvo type="max"/>
        <color rgb="FFFFEF9C"/>
        <color rgb="FF63BE7B"/>
      </colorScale>
    </cfRule>
  </conditionalFormatting>
  <conditionalFormatting sqref="A3:A44">
    <cfRule type="colorScale" priority="8">
      <colorScale>
        <cfvo type="min"/>
        <cfvo type="max"/>
        <color rgb="FFFFFF00"/>
        <color rgb="FF00B050"/>
      </colorScale>
    </cfRule>
  </conditionalFormatting>
  <conditionalFormatting sqref="C3:AK44">
    <cfRule type="cellIs" dxfId="8" priority="2" operator="equal">
      <formula>1</formula>
    </cfRule>
    <cfRule type="cellIs" dxfId="7" priority="3" operator="equal">
      <formula>0</formula>
    </cfRule>
    <cfRule type="cellIs" dxfId="6" priority="4" operator="equal">
      <formula>3</formula>
    </cfRule>
  </conditionalFormatting>
  <conditionalFormatting sqref="J3:K45">
    <cfRule type="cellIs" dxfId="5" priority="42" operator="equal">
      <formula>0</formula>
    </cfRule>
    <cfRule type="cellIs" dxfId="4" priority="43" operator="equal">
      <formula>1</formula>
    </cfRule>
    <cfRule type="cellIs" dxfId="3" priority="44" operator="equal">
      <formula>3</formula>
    </cfRule>
  </conditionalFormatting>
  <conditionalFormatting sqref="L46:M46 U46">
    <cfRule type="cellIs" dxfId="2" priority="57" operator="equal">
      <formula>0</formula>
    </cfRule>
    <cfRule type="cellIs" dxfId="1" priority="58" operator="equal">
      <formula>1</formula>
    </cfRule>
    <cfRule type="cellIs" dxfId="0" priority="59" operator="equal">
      <formula>3</formula>
    </cfRule>
  </conditionalFormatting>
  <pageMargins left="0.7" right="0.7" top="0.75" bottom="0.75" header="0.3" footer="0.3"/>
  <pageSetup orientation="portrait" r:id="rId1"/>
  <ignoredErrors>
    <ignoredError sqref="Y82 Z82:AA82" formulaRange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3F60-F7A3-4B6D-9155-E3B2D44C3547}">
  <dimension ref="A1:U22"/>
  <sheetViews>
    <sheetView workbookViewId="0">
      <selection activeCell="D5" sqref="D5"/>
    </sheetView>
  </sheetViews>
  <sheetFormatPr defaultRowHeight="15" x14ac:dyDescent="0.25"/>
  <cols>
    <col min="1" max="1" width="10.140625" bestFit="1" customWidth="1"/>
    <col min="2" max="2" width="5.5703125" bestFit="1" customWidth="1"/>
    <col min="3" max="3" width="17.85546875" bestFit="1" customWidth="1"/>
    <col min="4" max="4" width="22.140625" bestFit="1" customWidth="1"/>
    <col min="5" max="5" width="19.85546875" bestFit="1" customWidth="1"/>
    <col min="6" max="6" width="10.140625" bestFit="1" customWidth="1"/>
    <col min="7" max="7" width="7.42578125" bestFit="1" customWidth="1"/>
    <col min="8" max="8" width="19.85546875" bestFit="1" customWidth="1"/>
    <col min="9" max="9" width="15.42578125" bestFit="1" customWidth="1"/>
    <col min="10" max="10" width="18.7109375" bestFit="1" customWidth="1"/>
    <col min="12" max="12" width="4.140625" bestFit="1" customWidth="1"/>
    <col min="13" max="13" width="22.140625" bestFit="1" customWidth="1"/>
    <col min="14" max="14" width="3.85546875" bestFit="1" customWidth="1"/>
    <col min="15" max="15" width="2.85546875" bestFit="1" customWidth="1"/>
    <col min="16" max="16" width="2.28515625" bestFit="1" customWidth="1"/>
    <col min="17" max="17" width="2" bestFit="1" customWidth="1"/>
    <col min="18" max="18" width="3.28515625" bestFit="1" customWidth="1"/>
    <col min="19" max="20" width="3.5703125" bestFit="1" customWidth="1"/>
    <col min="21" max="21" width="3.7109375" bestFit="1" customWidth="1"/>
  </cols>
  <sheetData>
    <row r="1" spans="1:21" x14ac:dyDescent="0.25">
      <c r="A1" s="203" t="s">
        <v>405</v>
      </c>
      <c r="B1" s="203"/>
      <c r="C1" s="203"/>
      <c r="D1" s="203"/>
      <c r="E1" s="203"/>
      <c r="F1" s="203" t="s">
        <v>406</v>
      </c>
      <c r="G1" s="203"/>
      <c r="H1" s="203"/>
      <c r="I1" s="203"/>
      <c r="J1" s="203"/>
    </row>
    <row r="2" spans="1:21" x14ac:dyDescent="0.25">
      <c r="A2" s="203"/>
      <c r="B2" s="203"/>
      <c r="C2" s="203"/>
      <c r="D2" s="203"/>
      <c r="E2" s="203"/>
      <c r="F2" s="203"/>
      <c r="G2" s="203"/>
      <c r="H2" s="203"/>
      <c r="I2" s="203"/>
      <c r="J2" s="203"/>
      <c r="L2" t="s">
        <v>409</v>
      </c>
      <c r="M2" t="s">
        <v>410</v>
      </c>
      <c r="N2" t="s">
        <v>411</v>
      </c>
      <c r="O2" t="s">
        <v>211</v>
      </c>
      <c r="P2" t="s">
        <v>212</v>
      </c>
      <c r="Q2" t="s">
        <v>213</v>
      </c>
      <c r="R2" t="s">
        <v>137</v>
      </c>
      <c r="S2" t="s">
        <v>138</v>
      </c>
      <c r="T2" t="s">
        <v>139</v>
      </c>
      <c r="U2" t="s">
        <v>412</v>
      </c>
    </row>
    <row r="3" spans="1:21" x14ac:dyDescent="0.25">
      <c r="A3" t="s">
        <v>399</v>
      </c>
      <c r="B3" t="s">
        <v>400</v>
      </c>
      <c r="C3" t="s">
        <v>401</v>
      </c>
      <c r="D3" t="s">
        <v>402</v>
      </c>
      <c r="E3" t="s">
        <v>403</v>
      </c>
      <c r="F3" t="s">
        <v>399</v>
      </c>
      <c r="G3" t="s">
        <v>407</v>
      </c>
      <c r="H3" t="s">
        <v>401</v>
      </c>
      <c r="I3" t="s">
        <v>402</v>
      </c>
      <c r="J3" t="s">
        <v>403</v>
      </c>
      <c r="L3">
        <v>1</v>
      </c>
      <c r="M3" t="s">
        <v>408</v>
      </c>
      <c r="N3" s="193">
        <v>6</v>
      </c>
      <c r="O3" s="193">
        <v>6</v>
      </c>
      <c r="P3" s="193">
        <v>0</v>
      </c>
      <c r="Q3" s="193">
        <v>0</v>
      </c>
      <c r="R3" s="193">
        <v>16</v>
      </c>
      <c r="S3" s="193">
        <v>5</v>
      </c>
      <c r="T3" s="193">
        <v>11</v>
      </c>
      <c r="U3" s="193">
        <v>18</v>
      </c>
    </row>
    <row r="4" spans="1:21" x14ac:dyDescent="0.25">
      <c r="A4" t="s">
        <v>481</v>
      </c>
      <c r="B4" s="192">
        <v>0.875</v>
      </c>
      <c r="C4" t="s">
        <v>6</v>
      </c>
      <c r="D4" t="s">
        <v>488</v>
      </c>
      <c r="E4" t="s">
        <v>471</v>
      </c>
      <c r="F4" t="s">
        <v>470</v>
      </c>
      <c r="G4" s="202" t="s">
        <v>480</v>
      </c>
      <c r="H4" t="s">
        <v>4</v>
      </c>
      <c r="I4" t="s">
        <v>424</v>
      </c>
      <c r="J4" t="s">
        <v>471</v>
      </c>
      <c r="L4">
        <v>2</v>
      </c>
      <c r="M4" t="s">
        <v>413</v>
      </c>
      <c r="N4" s="193">
        <v>6</v>
      </c>
      <c r="O4" s="193">
        <v>5</v>
      </c>
      <c r="P4" s="193">
        <v>0</v>
      </c>
      <c r="Q4" s="193">
        <v>1</v>
      </c>
      <c r="R4" s="193">
        <v>10</v>
      </c>
      <c r="S4" s="193">
        <v>5</v>
      </c>
      <c r="T4" s="193">
        <v>5</v>
      </c>
      <c r="U4" s="193">
        <v>15</v>
      </c>
    </row>
    <row r="5" spans="1:21" x14ac:dyDescent="0.25">
      <c r="L5">
        <v>3</v>
      </c>
      <c r="M5" t="s">
        <v>417</v>
      </c>
      <c r="N5" s="193">
        <v>6</v>
      </c>
      <c r="O5" s="193">
        <v>4</v>
      </c>
      <c r="P5" s="193">
        <v>1</v>
      </c>
      <c r="Q5" s="193">
        <v>1</v>
      </c>
      <c r="R5" s="193">
        <v>18</v>
      </c>
      <c r="S5" s="193">
        <v>5</v>
      </c>
      <c r="T5" s="193">
        <v>13</v>
      </c>
      <c r="U5" s="193">
        <v>13</v>
      </c>
    </row>
    <row r="6" spans="1:21" x14ac:dyDescent="0.25">
      <c r="L6">
        <v>4</v>
      </c>
      <c r="M6" t="s">
        <v>416</v>
      </c>
      <c r="N6" s="193">
        <v>6</v>
      </c>
      <c r="O6" s="193">
        <v>2</v>
      </c>
      <c r="P6" s="193">
        <v>4</v>
      </c>
      <c r="Q6" s="193">
        <v>0</v>
      </c>
      <c r="R6" s="193">
        <v>12</v>
      </c>
      <c r="S6" s="193">
        <v>6</v>
      </c>
      <c r="T6" s="193">
        <v>6</v>
      </c>
      <c r="U6" s="193">
        <v>10</v>
      </c>
    </row>
    <row r="7" spans="1:21" x14ac:dyDescent="0.25">
      <c r="L7">
        <v>5</v>
      </c>
      <c r="M7" t="s">
        <v>420</v>
      </c>
      <c r="N7" s="193">
        <v>6</v>
      </c>
      <c r="O7" s="193">
        <v>2</v>
      </c>
      <c r="P7" s="193">
        <v>4</v>
      </c>
      <c r="Q7" s="193">
        <v>0</v>
      </c>
      <c r="R7" s="193">
        <v>8</v>
      </c>
      <c r="S7" s="193">
        <v>5</v>
      </c>
      <c r="T7" s="193">
        <v>3</v>
      </c>
      <c r="U7" s="193">
        <v>10</v>
      </c>
    </row>
    <row r="8" spans="1:21" x14ac:dyDescent="0.25">
      <c r="L8">
        <v>6</v>
      </c>
      <c r="M8" t="s">
        <v>418</v>
      </c>
      <c r="N8" s="193">
        <v>6</v>
      </c>
      <c r="O8" s="193">
        <v>3</v>
      </c>
      <c r="P8" s="193">
        <v>1</v>
      </c>
      <c r="Q8" s="193">
        <v>2</v>
      </c>
      <c r="R8" s="193">
        <v>15</v>
      </c>
      <c r="S8" s="193">
        <v>13</v>
      </c>
      <c r="T8" s="193">
        <v>2</v>
      </c>
      <c r="U8" s="193">
        <v>10</v>
      </c>
    </row>
    <row r="9" spans="1:21" x14ac:dyDescent="0.25">
      <c r="L9">
        <v>7</v>
      </c>
      <c r="M9" t="s">
        <v>424</v>
      </c>
      <c r="N9" s="193">
        <v>6</v>
      </c>
      <c r="O9" s="193">
        <v>2</v>
      </c>
      <c r="P9" s="193">
        <v>3</v>
      </c>
      <c r="Q9" s="193">
        <v>1</v>
      </c>
      <c r="R9" s="193">
        <v>8</v>
      </c>
      <c r="S9" s="193">
        <v>5</v>
      </c>
      <c r="T9" s="193">
        <v>3</v>
      </c>
      <c r="U9" s="193">
        <v>9</v>
      </c>
    </row>
    <row r="10" spans="1:21" x14ac:dyDescent="0.25">
      <c r="L10">
        <v>8</v>
      </c>
      <c r="M10" t="s">
        <v>422</v>
      </c>
      <c r="N10" s="193">
        <v>6</v>
      </c>
      <c r="O10" s="193">
        <v>2</v>
      </c>
      <c r="P10" s="193">
        <v>3</v>
      </c>
      <c r="Q10" s="193">
        <v>1</v>
      </c>
      <c r="R10" s="193">
        <v>8</v>
      </c>
      <c r="S10" s="193">
        <v>6</v>
      </c>
      <c r="T10" s="193">
        <v>2</v>
      </c>
      <c r="U10" s="193">
        <v>9</v>
      </c>
    </row>
    <row r="11" spans="1:21" x14ac:dyDescent="0.25">
      <c r="L11">
        <v>9</v>
      </c>
      <c r="M11" t="s">
        <v>425</v>
      </c>
      <c r="N11" s="193">
        <v>6</v>
      </c>
      <c r="O11" s="193">
        <v>2</v>
      </c>
      <c r="P11" s="193">
        <v>3</v>
      </c>
      <c r="Q11" s="193">
        <v>1</v>
      </c>
      <c r="R11" s="193">
        <v>7</v>
      </c>
      <c r="S11" s="193">
        <v>7</v>
      </c>
      <c r="T11" s="193">
        <v>0</v>
      </c>
      <c r="U11" s="193">
        <v>9</v>
      </c>
    </row>
    <row r="12" spans="1:21" x14ac:dyDescent="0.25">
      <c r="L12">
        <v>10</v>
      </c>
      <c r="M12" t="s">
        <v>423</v>
      </c>
      <c r="N12" s="193">
        <v>6</v>
      </c>
      <c r="O12" s="193">
        <v>3</v>
      </c>
      <c r="P12" s="193">
        <v>0</v>
      </c>
      <c r="Q12" s="193">
        <v>3</v>
      </c>
      <c r="R12" s="193">
        <v>9</v>
      </c>
      <c r="S12" s="193">
        <v>12</v>
      </c>
      <c r="T12" s="193" t="s">
        <v>457</v>
      </c>
      <c r="U12" s="193">
        <v>9</v>
      </c>
    </row>
    <row r="13" spans="1:21" x14ac:dyDescent="0.25">
      <c r="L13">
        <v>11</v>
      </c>
      <c r="M13" t="s">
        <v>427</v>
      </c>
      <c r="N13" s="193">
        <v>5</v>
      </c>
      <c r="O13" s="193">
        <v>2</v>
      </c>
      <c r="P13" s="193">
        <v>2</v>
      </c>
      <c r="Q13" s="193">
        <v>1</v>
      </c>
      <c r="R13" s="193">
        <v>9</v>
      </c>
      <c r="S13" s="193">
        <v>9</v>
      </c>
      <c r="T13" s="193">
        <v>0</v>
      </c>
      <c r="U13" s="193">
        <v>8</v>
      </c>
    </row>
    <row r="14" spans="1:21" x14ac:dyDescent="0.25">
      <c r="L14">
        <v>12</v>
      </c>
      <c r="M14" t="s">
        <v>419</v>
      </c>
      <c r="N14" s="193">
        <v>6</v>
      </c>
      <c r="O14" s="193">
        <v>2</v>
      </c>
      <c r="P14" s="193">
        <v>1</v>
      </c>
      <c r="Q14" s="193">
        <v>3</v>
      </c>
      <c r="R14" s="193">
        <v>9</v>
      </c>
      <c r="S14" s="193">
        <v>12</v>
      </c>
      <c r="T14" s="193" t="s">
        <v>457</v>
      </c>
      <c r="U14" s="193">
        <v>7</v>
      </c>
    </row>
    <row r="15" spans="1:21" x14ac:dyDescent="0.25">
      <c r="L15">
        <v>13</v>
      </c>
      <c r="M15" t="s">
        <v>426</v>
      </c>
      <c r="N15" s="193">
        <v>6</v>
      </c>
      <c r="O15" s="193">
        <v>1</v>
      </c>
      <c r="P15" s="193">
        <v>3</v>
      </c>
      <c r="Q15" s="193">
        <v>2</v>
      </c>
      <c r="R15" s="193">
        <v>9</v>
      </c>
      <c r="S15" s="193">
        <v>9</v>
      </c>
      <c r="T15" s="193">
        <v>0</v>
      </c>
      <c r="U15" s="193">
        <v>6</v>
      </c>
    </row>
    <row r="16" spans="1:21" x14ac:dyDescent="0.25">
      <c r="L16">
        <v>14</v>
      </c>
      <c r="M16" t="s">
        <v>428</v>
      </c>
      <c r="N16" s="193">
        <v>6</v>
      </c>
      <c r="O16" s="193">
        <v>1</v>
      </c>
      <c r="P16" s="193">
        <v>2</v>
      </c>
      <c r="Q16" s="193">
        <v>3</v>
      </c>
      <c r="R16" s="193">
        <v>5</v>
      </c>
      <c r="S16" s="193">
        <v>8</v>
      </c>
      <c r="T16" s="193" t="s">
        <v>457</v>
      </c>
      <c r="U16" s="193">
        <v>5</v>
      </c>
    </row>
    <row r="17" spans="12:21" x14ac:dyDescent="0.25">
      <c r="L17">
        <v>15</v>
      </c>
      <c r="M17" t="s">
        <v>414</v>
      </c>
      <c r="N17" s="193">
        <v>6</v>
      </c>
      <c r="O17" s="193">
        <v>1</v>
      </c>
      <c r="P17" s="193">
        <v>2</v>
      </c>
      <c r="Q17" s="193">
        <v>3</v>
      </c>
      <c r="R17" s="193">
        <v>6</v>
      </c>
      <c r="S17" s="193">
        <v>11</v>
      </c>
      <c r="T17" s="193" t="s">
        <v>433</v>
      </c>
      <c r="U17" s="193">
        <v>5</v>
      </c>
    </row>
    <row r="18" spans="12:21" x14ac:dyDescent="0.25">
      <c r="L18">
        <v>16</v>
      </c>
      <c r="M18" t="s">
        <v>429</v>
      </c>
      <c r="N18" s="193">
        <v>6</v>
      </c>
      <c r="O18" s="193">
        <v>1</v>
      </c>
      <c r="P18" s="193">
        <v>1</v>
      </c>
      <c r="Q18" s="193">
        <v>4</v>
      </c>
      <c r="R18" s="193">
        <v>6</v>
      </c>
      <c r="S18" s="193">
        <v>12</v>
      </c>
      <c r="T18" s="193" t="s">
        <v>460</v>
      </c>
      <c r="U18" s="193">
        <v>4</v>
      </c>
    </row>
    <row r="19" spans="12:21" x14ac:dyDescent="0.25">
      <c r="L19">
        <v>17</v>
      </c>
      <c r="M19" t="s">
        <v>415</v>
      </c>
      <c r="N19" s="193">
        <v>6</v>
      </c>
      <c r="O19" s="193">
        <v>0</v>
      </c>
      <c r="P19" s="193">
        <v>3</v>
      </c>
      <c r="Q19" s="193">
        <v>3</v>
      </c>
      <c r="R19" s="193">
        <v>7</v>
      </c>
      <c r="S19" s="193">
        <v>13</v>
      </c>
      <c r="T19" s="193" t="s">
        <v>460</v>
      </c>
      <c r="U19" s="193">
        <v>3</v>
      </c>
    </row>
    <row r="20" spans="12:21" x14ac:dyDescent="0.25">
      <c r="L20">
        <v>18</v>
      </c>
      <c r="M20" t="s">
        <v>430</v>
      </c>
      <c r="N20" s="193">
        <v>6</v>
      </c>
      <c r="O20" s="193">
        <v>0</v>
      </c>
      <c r="P20" s="193">
        <v>3</v>
      </c>
      <c r="Q20" s="193">
        <v>3</v>
      </c>
      <c r="R20" s="193">
        <v>3</v>
      </c>
      <c r="S20" s="193">
        <v>9</v>
      </c>
      <c r="T20" s="193" t="s">
        <v>460</v>
      </c>
      <c r="U20" s="193">
        <v>3</v>
      </c>
    </row>
    <row r="21" spans="12:21" x14ac:dyDescent="0.25">
      <c r="L21">
        <v>19</v>
      </c>
      <c r="M21" t="s">
        <v>404</v>
      </c>
      <c r="N21" s="193">
        <v>5</v>
      </c>
      <c r="O21" s="193">
        <v>1</v>
      </c>
      <c r="P21" s="193">
        <v>0</v>
      </c>
      <c r="Q21" s="193">
        <v>4</v>
      </c>
      <c r="R21" s="193">
        <v>1</v>
      </c>
      <c r="S21" s="193">
        <v>10</v>
      </c>
      <c r="T21" s="193" t="s">
        <v>473</v>
      </c>
      <c r="U21" s="193">
        <v>3</v>
      </c>
    </row>
    <row r="22" spans="12:21" x14ac:dyDescent="0.25">
      <c r="L22">
        <v>20</v>
      </c>
      <c r="M22" t="s">
        <v>421</v>
      </c>
      <c r="N22" s="193">
        <v>6</v>
      </c>
      <c r="O22" s="193">
        <v>0</v>
      </c>
      <c r="P22" s="193">
        <v>2</v>
      </c>
      <c r="Q22" s="193">
        <v>4</v>
      </c>
      <c r="R22" s="193">
        <v>6</v>
      </c>
      <c r="S22" s="193">
        <v>10</v>
      </c>
      <c r="T22" s="193" t="s">
        <v>472</v>
      </c>
      <c r="U22" s="193">
        <v>2</v>
      </c>
    </row>
  </sheetData>
  <mergeCells count="2">
    <mergeCell ref="A1:E2"/>
    <mergeCell ref="F1:J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F815-59E5-49DB-A710-CC57B82C1BDD}">
  <dimension ref="A1:E17"/>
  <sheetViews>
    <sheetView tabSelected="1" workbookViewId="0">
      <selection activeCell="C18" sqref="C18"/>
    </sheetView>
  </sheetViews>
  <sheetFormatPr defaultRowHeight="15" x14ac:dyDescent="0.25"/>
  <cols>
    <col min="2" max="2" width="12" bestFit="1" customWidth="1"/>
  </cols>
  <sheetData>
    <row r="1" spans="1:5" x14ac:dyDescent="0.25">
      <c r="A1" t="s">
        <v>409</v>
      </c>
      <c r="B1" t="s">
        <v>1</v>
      </c>
      <c r="C1" t="s">
        <v>443</v>
      </c>
      <c r="D1" t="s">
        <v>444</v>
      </c>
      <c r="E1" t="s">
        <v>456</v>
      </c>
    </row>
    <row r="2" spans="1:5" x14ac:dyDescent="0.25">
      <c r="A2" t="s">
        <v>350</v>
      </c>
      <c r="B2" t="s">
        <v>474</v>
      </c>
      <c r="C2" s="199">
        <v>7.6</v>
      </c>
      <c r="D2">
        <v>90</v>
      </c>
    </row>
    <row r="3" spans="1:5" x14ac:dyDescent="0.25">
      <c r="A3" t="s">
        <v>440</v>
      </c>
      <c r="B3" t="s">
        <v>476</v>
      </c>
      <c r="C3" s="199">
        <v>7.6</v>
      </c>
      <c r="D3" t="s">
        <v>453</v>
      </c>
      <c r="E3" t="s">
        <v>482</v>
      </c>
    </row>
    <row r="4" spans="1:5" x14ac:dyDescent="0.25">
      <c r="A4" t="s">
        <v>441</v>
      </c>
      <c r="B4" t="s">
        <v>450</v>
      </c>
      <c r="C4" s="199">
        <v>6.3</v>
      </c>
      <c r="D4">
        <v>90</v>
      </c>
    </row>
    <row r="5" spans="1:5" x14ac:dyDescent="0.25">
      <c r="A5" t="s">
        <v>441</v>
      </c>
      <c r="B5" t="s">
        <v>455</v>
      </c>
      <c r="C5" s="199">
        <v>7.4</v>
      </c>
      <c r="D5">
        <v>90</v>
      </c>
    </row>
    <row r="6" spans="1:5" x14ac:dyDescent="0.25">
      <c r="A6" t="s">
        <v>442</v>
      </c>
      <c r="B6" t="s">
        <v>483</v>
      </c>
      <c r="C6" s="199">
        <v>7.7</v>
      </c>
      <c r="D6" t="s">
        <v>453</v>
      </c>
      <c r="E6" t="s">
        <v>484</v>
      </c>
    </row>
    <row r="7" spans="1:5" x14ac:dyDescent="0.25">
      <c r="A7" t="s">
        <v>445</v>
      </c>
      <c r="B7" t="s">
        <v>477</v>
      </c>
      <c r="C7" s="199">
        <v>7.5</v>
      </c>
      <c r="D7">
        <v>90</v>
      </c>
      <c r="E7" t="s">
        <v>484</v>
      </c>
    </row>
    <row r="8" spans="1:5" x14ac:dyDescent="0.25">
      <c r="A8" t="s">
        <v>445</v>
      </c>
      <c r="B8" t="s">
        <v>485</v>
      </c>
      <c r="C8" s="199">
        <v>7.2</v>
      </c>
      <c r="D8" t="s">
        <v>453</v>
      </c>
    </row>
    <row r="9" spans="1:5" x14ac:dyDescent="0.25">
      <c r="A9" t="s">
        <v>446</v>
      </c>
      <c r="B9" t="s">
        <v>451</v>
      </c>
      <c r="C9" s="199">
        <v>7.1</v>
      </c>
      <c r="D9" t="s">
        <v>453</v>
      </c>
    </row>
    <row r="10" spans="1:5" x14ac:dyDescent="0.25">
      <c r="A10" t="s">
        <v>447</v>
      </c>
      <c r="B10" t="s">
        <v>486</v>
      </c>
      <c r="C10" s="199">
        <v>8.1</v>
      </c>
      <c r="D10">
        <v>90</v>
      </c>
    </row>
    <row r="11" spans="1:5" x14ac:dyDescent="0.25">
      <c r="A11" t="s">
        <v>448</v>
      </c>
      <c r="B11" t="s">
        <v>478</v>
      </c>
      <c r="C11" s="199">
        <v>6.8</v>
      </c>
      <c r="D11">
        <v>90</v>
      </c>
    </row>
    <row r="12" spans="1:5" x14ac:dyDescent="0.25">
      <c r="A12" t="s">
        <v>449</v>
      </c>
      <c r="B12" t="s">
        <v>479</v>
      </c>
      <c r="C12" s="199">
        <v>6.4</v>
      </c>
      <c r="D12" t="s">
        <v>453</v>
      </c>
    </row>
    <row r="13" spans="1:5" x14ac:dyDescent="0.25">
      <c r="A13" t="s">
        <v>442</v>
      </c>
      <c r="B13" t="s">
        <v>475</v>
      </c>
      <c r="C13" s="199">
        <v>6.6</v>
      </c>
      <c r="D13" t="s">
        <v>452</v>
      </c>
    </row>
    <row r="14" spans="1:5" x14ac:dyDescent="0.25">
      <c r="A14" t="s">
        <v>445</v>
      </c>
      <c r="B14" t="s">
        <v>459</v>
      </c>
      <c r="C14" s="199">
        <v>8.1999999999999993</v>
      </c>
      <c r="D14" t="s">
        <v>452</v>
      </c>
      <c r="E14" t="s">
        <v>482</v>
      </c>
    </row>
    <row r="15" spans="1:5" x14ac:dyDescent="0.25">
      <c r="A15" t="s">
        <v>449</v>
      </c>
      <c r="B15" t="s">
        <v>469</v>
      </c>
      <c r="C15" s="199">
        <v>7.1</v>
      </c>
      <c r="D15" t="s">
        <v>452</v>
      </c>
    </row>
    <row r="16" spans="1:5" x14ac:dyDescent="0.25">
      <c r="A16" t="s">
        <v>446</v>
      </c>
      <c r="B16" t="s">
        <v>454</v>
      </c>
      <c r="C16" s="199" t="s">
        <v>166</v>
      </c>
      <c r="D16" t="s">
        <v>452</v>
      </c>
    </row>
    <row r="17" spans="1:4" x14ac:dyDescent="0.25">
      <c r="A17" t="s">
        <v>440</v>
      </c>
      <c r="B17" t="s">
        <v>487</v>
      </c>
      <c r="C17" s="199" t="s">
        <v>166</v>
      </c>
      <c r="D17" t="s">
        <v>452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4"/>
  <dimension ref="A1:L32"/>
  <sheetViews>
    <sheetView zoomScaleNormal="100" workbookViewId="0">
      <selection activeCell="F7" sqref="F7"/>
    </sheetView>
  </sheetViews>
  <sheetFormatPr defaultColWidth="8.85546875" defaultRowHeight="15" x14ac:dyDescent="0.25"/>
  <cols>
    <col min="1" max="1" width="3.28515625" bestFit="1" customWidth="1"/>
    <col min="2" max="2" width="21.28515625" customWidth="1"/>
    <col min="3" max="3" width="5.42578125" bestFit="1" customWidth="1"/>
    <col min="4" max="4" width="5.7109375" customWidth="1"/>
    <col min="5" max="5" width="6" bestFit="1" customWidth="1"/>
    <col min="8" max="8" width="3.28515625" customWidth="1"/>
    <col min="9" max="9" width="27.85546875" bestFit="1" customWidth="1"/>
    <col min="10" max="10" width="6" bestFit="1" customWidth="1"/>
    <col min="11" max="11" width="5.42578125" bestFit="1" customWidth="1"/>
    <col min="12" max="12" width="5.5703125" bestFit="1" customWidth="1"/>
  </cols>
  <sheetData>
    <row r="1" spans="1:12" ht="15.75" thickBot="1" x14ac:dyDescent="0.3">
      <c r="A1" s="208" t="s">
        <v>46</v>
      </c>
      <c r="B1" s="326"/>
      <c r="C1" s="327" t="s">
        <v>44</v>
      </c>
      <c r="D1" s="211"/>
      <c r="E1" s="328"/>
      <c r="H1" s="208" t="s">
        <v>47</v>
      </c>
      <c r="I1" s="326"/>
      <c r="J1" s="327" t="s">
        <v>44</v>
      </c>
      <c r="K1" s="211"/>
      <c r="L1" s="328"/>
    </row>
    <row r="2" spans="1:12" x14ac:dyDescent="0.25">
      <c r="A2" s="3" t="s">
        <v>48</v>
      </c>
      <c r="B2" s="5" t="s">
        <v>1</v>
      </c>
      <c r="C2" s="10" t="s">
        <v>2</v>
      </c>
      <c r="D2" s="12" t="s">
        <v>3</v>
      </c>
      <c r="E2" s="13" t="s">
        <v>45</v>
      </c>
      <c r="H2" s="3" t="s">
        <v>48</v>
      </c>
      <c r="I2" s="5" t="s">
        <v>1</v>
      </c>
      <c r="J2" s="10" t="s">
        <v>3</v>
      </c>
      <c r="K2" s="12" t="s">
        <v>2</v>
      </c>
      <c r="L2" s="13" t="s">
        <v>45</v>
      </c>
    </row>
    <row r="3" spans="1:12" x14ac:dyDescent="0.25">
      <c r="A3" s="3">
        <v>1</v>
      </c>
      <c r="B3" s="5" t="s">
        <v>49</v>
      </c>
      <c r="C3" s="11">
        <v>716</v>
      </c>
      <c r="D3" s="9">
        <v>14</v>
      </c>
      <c r="E3" s="14">
        <f>C3/D3</f>
        <v>51.142857142857146</v>
      </c>
      <c r="H3" s="3">
        <v>1</v>
      </c>
      <c r="I3" s="5" t="s">
        <v>58</v>
      </c>
      <c r="J3" s="11">
        <v>228</v>
      </c>
      <c r="K3" s="9">
        <v>377</v>
      </c>
      <c r="L3" s="14">
        <f t="shared" ref="L3:L29" si="0">J3/K3</f>
        <v>0.60477453580901852</v>
      </c>
    </row>
    <row r="4" spans="1:12" x14ac:dyDescent="0.25">
      <c r="A4" s="3">
        <v>2</v>
      </c>
      <c r="B4" s="5" t="s">
        <v>50</v>
      </c>
      <c r="C4" s="11">
        <v>669</v>
      </c>
      <c r="D4" s="9">
        <v>48</v>
      </c>
      <c r="E4" s="14">
        <f t="shared" ref="E4:E12" si="1">C4/D4</f>
        <v>13.9375</v>
      </c>
      <c r="H4" s="3">
        <v>2</v>
      </c>
      <c r="I4" s="5" t="s">
        <v>59</v>
      </c>
      <c r="J4" s="11">
        <v>185</v>
      </c>
      <c r="K4" s="9">
        <v>288</v>
      </c>
      <c r="L4" s="14">
        <f t="shared" si="0"/>
        <v>0.64236111111111116</v>
      </c>
    </row>
    <row r="5" spans="1:12" x14ac:dyDescent="0.25">
      <c r="A5" s="3">
        <v>3</v>
      </c>
      <c r="B5" s="5" t="s">
        <v>51</v>
      </c>
      <c r="C5" s="11">
        <v>621</v>
      </c>
      <c r="D5" s="9">
        <v>68</v>
      </c>
      <c r="E5" s="14">
        <f t="shared" si="1"/>
        <v>9.132352941176471</v>
      </c>
      <c r="H5" s="3">
        <v>3</v>
      </c>
      <c r="I5" s="5" t="s">
        <v>60</v>
      </c>
      <c r="J5" s="11">
        <v>178</v>
      </c>
      <c r="K5" s="9">
        <v>396</v>
      </c>
      <c r="L5" s="14">
        <f t="shared" si="0"/>
        <v>0.4494949494949495</v>
      </c>
    </row>
    <row r="6" spans="1:12" x14ac:dyDescent="0.25">
      <c r="A6" s="3">
        <v>4</v>
      </c>
      <c r="B6" s="5" t="s">
        <v>52</v>
      </c>
      <c r="C6" s="11">
        <v>619</v>
      </c>
      <c r="D6" s="9">
        <v>28</v>
      </c>
      <c r="E6" s="14">
        <f t="shared" si="1"/>
        <v>22.107142857142858</v>
      </c>
      <c r="H6" s="3">
        <v>4</v>
      </c>
      <c r="I6" s="5" t="s">
        <v>57</v>
      </c>
      <c r="J6" s="11">
        <v>149</v>
      </c>
      <c r="K6" s="9">
        <v>481</v>
      </c>
      <c r="L6" s="14">
        <f t="shared" si="0"/>
        <v>0.30977130977130979</v>
      </c>
    </row>
    <row r="7" spans="1:12" x14ac:dyDescent="0.25">
      <c r="A7" s="3">
        <v>5</v>
      </c>
      <c r="B7" s="5" t="s">
        <v>53</v>
      </c>
      <c r="C7" s="11">
        <v>584</v>
      </c>
      <c r="D7" s="9">
        <v>12</v>
      </c>
      <c r="E7" s="14">
        <f t="shared" si="1"/>
        <v>48.666666666666664</v>
      </c>
      <c r="H7" s="3">
        <v>5</v>
      </c>
      <c r="I7" s="5" t="s">
        <v>61</v>
      </c>
      <c r="J7" s="11">
        <v>139</v>
      </c>
      <c r="K7" s="9">
        <v>184</v>
      </c>
      <c r="L7" s="14">
        <f t="shared" si="0"/>
        <v>0.75543478260869568</v>
      </c>
    </row>
    <row r="8" spans="1:12" x14ac:dyDescent="0.25">
      <c r="A8" s="3">
        <v>6</v>
      </c>
      <c r="B8" s="5" t="s">
        <v>54</v>
      </c>
      <c r="C8" s="11">
        <v>564</v>
      </c>
      <c r="D8" s="9">
        <v>0</v>
      </c>
      <c r="E8" s="14">
        <v>0</v>
      </c>
      <c r="H8" s="3">
        <v>6</v>
      </c>
      <c r="I8" s="5" t="s">
        <v>62</v>
      </c>
      <c r="J8" s="11">
        <v>139</v>
      </c>
      <c r="K8" s="9">
        <v>232</v>
      </c>
      <c r="L8" s="14">
        <f t="shared" si="0"/>
        <v>0.59913793103448276</v>
      </c>
    </row>
    <row r="9" spans="1:12" x14ac:dyDescent="0.25">
      <c r="A9" s="3">
        <v>7</v>
      </c>
      <c r="B9" s="5" t="s">
        <v>55</v>
      </c>
      <c r="C9" s="11">
        <v>528</v>
      </c>
      <c r="D9" s="9">
        <v>13</v>
      </c>
      <c r="E9" s="14">
        <f t="shared" si="1"/>
        <v>40.615384615384613</v>
      </c>
      <c r="H9" s="3">
        <v>7</v>
      </c>
      <c r="I9" s="5" t="s">
        <v>63</v>
      </c>
      <c r="J9" s="11">
        <v>137</v>
      </c>
      <c r="K9" s="9">
        <v>244</v>
      </c>
      <c r="L9" s="14">
        <f t="shared" si="0"/>
        <v>0.56147540983606559</v>
      </c>
    </row>
    <row r="10" spans="1:12" x14ac:dyDescent="0.25">
      <c r="A10" s="3">
        <v>8</v>
      </c>
      <c r="B10" s="5" t="s">
        <v>56</v>
      </c>
      <c r="C10" s="11">
        <v>501</v>
      </c>
      <c r="D10" s="9">
        <v>17</v>
      </c>
      <c r="E10" s="14">
        <f t="shared" si="1"/>
        <v>29.470588235294116</v>
      </c>
      <c r="H10" s="3">
        <v>8</v>
      </c>
      <c r="I10" s="5" t="s">
        <v>64</v>
      </c>
      <c r="J10" s="11">
        <v>132</v>
      </c>
      <c r="K10" s="9">
        <v>278</v>
      </c>
      <c r="L10" s="14">
        <f t="shared" si="0"/>
        <v>0.47482014388489208</v>
      </c>
    </row>
    <row r="11" spans="1:12" x14ac:dyDescent="0.25">
      <c r="A11" s="3">
        <v>9</v>
      </c>
      <c r="B11" s="5" t="s">
        <v>57</v>
      </c>
      <c r="C11" s="11">
        <v>481</v>
      </c>
      <c r="D11" s="9">
        <v>149</v>
      </c>
      <c r="E11" s="14">
        <f t="shared" si="1"/>
        <v>3.2281879194630871</v>
      </c>
      <c r="H11" s="3">
        <v>9</v>
      </c>
      <c r="I11" s="5" t="s">
        <v>65</v>
      </c>
      <c r="J11" s="11">
        <v>125</v>
      </c>
      <c r="K11" s="9">
        <v>374</v>
      </c>
      <c r="L11" s="14">
        <f t="shared" si="0"/>
        <v>0.33422459893048129</v>
      </c>
    </row>
    <row r="12" spans="1:12" x14ac:dyDescent="0.25">
      <c r="A12" s="3">
        <v>10</v>
      </c>
      <c r="B12" s="5" t="s">
        <v>98</v>
      </c>
      <c r="C12" s="11">
        <v>477</v>
      </c>
      <c r="D12" s="9">
        <v>15</v>
      </c>
      <c r="E12" s="14">
        <f t="shared" si="1"/>
        <v>31.8</v>
      </c>
      <c r="H12" s="3">
        <v>10</v>
      </c>
      <c r="I12" s="5" t="s">
        <v>66</v>
      </c>
      <c r="J12" s="11">
        <v>124</v>
      </c>
      <c r="K12" s="9">
        <v>208</v>
      </c>
      <c r="L12" s="14">
        <f t="shared" si="0"/>
        <v>0.59615384615384615</v>
      </c>
    </row>
    <row r="13" spans="1:12" x14ac:dyDescent="0.25">
      <c r="A13" s="3">
        <v>11</v>
      </c>
      <c r="B13" s="5" t="s">
        <v>74</v>
      </c>
      <c r="C13" s="11">
        <v>470</v>
      </c>
      <c r="D13" s="9">
        <v>13</v>
      </c>
      <c r="E13" s="14">
        <f>C13/D13</f>
        <v>36.153846153846153</v>
      </c>
      <c r="H13" s="3">
        <v>11</v>
      </c>
      <c r="I13" s="5" t="s">
        <v>67</v>
      </c>
      <c r="J13" s="11">
        <v>120</v>
      </c>
      <c r="K13" s="9">
        <v>423</v>
      </c>
      <c r="L13" s="14">
        <f t="shared" si="0"/>
        <v>0.28368794326241137</v>
      </c>
    </row>
    <row r="14" spans="1:12" x14ac:dyDescent="0.25">
      <c r="A14" s="3">
        <v>12</v>
      </c>
      <c r="B14" s="5" t="s">
        <v>75</v>
      </c>
      <c r="C14" s="11">
        <v>464</v>
      </c>
      <c r="D14" s="9">
        <v>51</v>
      </c>
      <c r="E14" s="14">
        <f t="shared" ref="E14:E20" si="2">C14/D14</f>
        <v>9.0980392156862742</v>
      </c>
      <c r="H14" s="3">
        <v>12</v>
      </c>
      <c r="I14" s="5" t="s">
        <v>68</v>
      </c>
      <c r="J14" s="11">
        <v>118</v>
      </c>
      <c r="K14" s="9">
        <v>176</v>
      </c>
      <c r="L14" s="14">
        <f t="shared" si="0"/>
        <v>0.67045454545454541</v>
      </c>
    </row>
    <row r="15" spans="1:12" x14ac:dyDescent="0.25">
      <c r="A15" s="3">
        <v>13</v>
      </c>
      <c r="B15" s="5" t="s">
        <v>76</v>
      </c>
      <c r="C15" s="11">
        <v>464</v>
      </c>
      <c r="D15" s="9">
        <v>32</v>
      </c>
      <c r="E15" s="14">
        <f t="shared" si="2"/>
        <v>14.5</v>
      </c>
      <c r="H15" s="3">
        <v>13</v>
      </c>
      <c r="I15" s="5" t="s">
        <v>69</v>
      </c>
      <c r="J15" s="11">
        <v>115</v>
      </c>
      <c r="K15" s="9">
        <v>347</v>
      </c>
      <c r="L15" s="14">
        <f t="shared" si="0"/>
        <v>0.33141210374639768</v>
      </c>
    </row>
    <row r="16" spans="1:12" x14ac:dyDescent="0.25">
      <c r="A16" s="3">
        <v>14</v>
      </c>
      <c r="B16" s="5" t="s">
        <v>77</v>
      </c>
      <c r="C16" s="11">
        <v>449</v>
      </c>
      <c r="D16" s="9">
        <v>8</v>
      </c>
      <c r="E16" s="14">
        <f t="shared" si="2"/>
        <v>56.125</v>
      </c>
      <c r="H16" s="3">
        <v>14</v>
      </c>
      <c r="I16" s="5" t="s">
        <v>70</v>
      </c>
      <c r="J16" s="11">
        <v>109</v>
      </c>
      <c r="K16" s="9">
        <v>161</v>
      </c>
      <c r="L16" s="14">
        <f t="shared" si="0"/>
        <v>0.67701863354037262</v>
      </c>
    </row>
    <row r="17" spans="1:12" x14ac:dyDescent="0.25">
      <c r="A17" s="3">
        <v>15</v>
      </c>
      <c r="B17" s="5" t="s">
        <v>78</v>
      </c>
      <c r="C17" s="11">
        <v>447</v>
      </c>
      <c r="D17" s="9">
        <v>37</v>
      </c>
      <c r="E17" s="14">
        <f t="shared" si="2"/>
        <v>12.081081081081081</v>
      </c>
      <c r="H17" s="3">
        <v>15</v>
      </c>
      <c r="I17" s="5" t="s">
        <v>71</v>
      </c>
      <c r="J17" s="11">
        <v>108</v>
      </c>
      <c r="K17" s="9">
        <v>300</v>
      </c>
      <c r="L17" s="14">
        <f t="shared" si="0"/>
        <v>0.36</v>
      </c>
    </row>
    <row r="18" spans="1:12" x14ac:dyDescent="0.25">
      <c r="A18" s="3">
        <v>16</v>
      </c>
      <c r="B18" s="5" t="s">
        <v>79</v>
      </c>
      <c r="C18" s="11">
        <v>440</v>
      </c>
      <c r="D18" s="9">
        <v>2</v>
      </c>
      <c r="E18" s="15">
        <f t="shared" si="2"/>
        <v>220</v>
      </c>
      <c r="H18" s="3">
        <v>16</v>
      </c>
      <c r="I18" s="5" t="s">
        <v>19</v>
      </c>
      <c r="J18" s="11">
        <v>108</v>
      </c>
      <c r="K18" s="9">
        <v>397</v>
      </c>
      <c r="L18" s="14">
        <f t="shared" si="0"/>
        <v>0.27204030226700254</v>
      </c>
    </row>
    <row r="19" spans="1:12" x14ac:dyDescent="0.25">
      <c r="A19" s="3">
        <v>17</v>
      </c>
      <c r="B19" s="5" t="s">
        <v>99</v>
      </c>
      <c r="C19" s="11">
        <v>423</v>
      </c>
      <c r="D19" s="9">
        <v>120</v>
      </c>
      <c r="E19" s="14">
        <f t="shared" si="2"/>
        <v>3.5249999999999999</v>
      </c>
      <c r="H19" s="3">
        <v>17</v>
      </c>
      <c r="I19" s="5" t="s">
        <v>72</v>
      </c>
      <c r="J19" s="11">
        <v>107</v>
      </c>
      <c r="K19" s="9">
        <v>180</v>
      </c>
      <c r="L19" s="14">
        <f t="shared" si="0"/>
        <v>0.59444444444444444</v>
      </c>
    </row>
    <row r="20" spans="1:12" x14ac:dyDescent="0.25">
      <c r="A20" s="3">
        <v>18</v>
      </c>
      <c r="B20" s="5" t="s">
        <v>80</v>
      </c>
      <c r="C20" s="11">
        <v>423</v>
      </c>
      <c r="D20" s="9">
        <v>99</v>
      </c>
      <c r="E20" s="14">
        <f t="shared" si="2"/>
        <v>4.2727272727272725</v>
      </c>
      <c r="H20" s="3">
        <v>18</v>
      </c>
      <c r="I20" s="5" t="s">
        <v>18</v>
      </c>
      <c r="J20" s="11">
        <v>105</v>
      </c>
      <c r="K20" s="9">
        <v>253</v>
      </c>
      <c r="L20" s="14">
        <f t="shared" si="0"/>
        <v>0.41501976284584979</v>
      </c>
    </row>
    <row r="21" spans="1:12" x14ac:dyDescent="0.25">
      <c r="A21" s="3">
        <v>19</v>
      </c>
      <c r="B21" s="5" t="s">
        <v>81</v>
      </c>
      <c r="C21" s="11">
        <v>407</v>
      </c>
      <c r="D21" s="9">
        <v>33</v>
      </c>
      <c r="E21" s="14">
        <f t="shared" ref="E21:E31" si="3">C21/D21</f>
        <v>12.333333333333334</v>
      </c>
      <c r="H21" s="3">
        <v>19</v>
      </c>
      <c r="I21" s="5" t="s">
        <v>73</v>
      </c>
      <c r="J21" s="11">
        <v>100</v>
      </c>
      <c r="K21" s="9">
        <v>156</v>
      </c>
      <c r="L21" s="14">
        <f t="shared" si="0"/>
        <v>0.64102564102564108</v>
      </c>
    </row>
    <row r="22" spans="1:12" x14ac:dyDescent="0.25">
      <c r="A22" s="3">
        <v>20</v>
      </c>
      <c r="B22" s="5" t="s">
        <v>82</v>
      </c>
      <c r="C22" s="11">
        <v>403</v>
      </c>
      <c r="D22" s="9">
        <v>32</v>
      </c>
      <c r="E22" s="14">
        <f t="shared" si="3"/>
        <v>12.59375</v>
      </c>
      <c r="H22" s="3">
        <v>20</v>
      </c>
      <c r="I22" s="5" t="s">
        <v>80</v>
      </c>
      <c r="J22" s="11">
        <v>99</v>
      </c>
      <c r="K22" s="9">
        <v>423</v>
      </c>
      <c r="L22" s="14">
        <f t="shared" si="0"/>
        <v>0.23404255319148937</v>
      </c>
    </row>
    <row r="23" spans="1:12" x14ac:dyDescent="0.25">
      <c r="A23" s="3">
        <v>21</v>
      </c>
      <c r="B23" s="5" t="s">
        <v>19</v>
      </c>
      <c r="C23" s="11">
        <v>397</v>
      </c>
      <c r="D23" s="9">
        <v>108</v>
      </c>
      <c r="E23" s="14">
        <f t="shared" si="3"/>
        <v>3.675925925925926</v>
      </c>
      <c r="H23" s="3">
        <v>21</v>
      </c>
      <c r="I23" s="5" t="s">
        <v>126</v>
      </c>
      <c r="J23" s="11">
        <v>95</v>
      </c>
      <c r="K23" s="9">
        <v>321</v>
      </c>
      <c r="L23" s="14">
        <f t="shared" si="0"/>
        <v>0.29595015576323985</v>
      </c>
    </row>
    <row r="24" spans="1:12" x14ac:dyDescent="0.25">
      <c r="A24" s="3">
        <v>22</v>
      </c>
      <c r="B24" s="5" t="s">
        <v>60</v>
      </c>
      <c r="C24" s="11">
        <v>396</v>
      </c>
      <c r="D24" s="9">
        <v>178</v>
      </c>
      <c r="E24" s="14">
        <f t="shared" si="3"/>
        <v>2.2247191011235956</v>
      </c>
      <c r="H24" s="3">
        <v>23</v>
      </c>
      <c r="I24" s="5" t="s">
        <v>131</v>
      </c>
      <c r="J24" s="11">
        <v>92</v>
      </c>
      <c r="K24" s="9">
        <v>163</v>
      </c>
      <c r="L24" s="14">
        <f t="shared" si="0"/>
        <v>0.56441717791411039</v>
      </c>
    </row>
    <row r="25" spans="1:12" x14ac:dyDescent="0.25">
      <c r="A25" s="3">
        <v>23</v>
      </c>
      <c r="B25" s="5" t="s">
        <v>125</v>
      </c>
      <c r="C25" s="11">
        <v>394</v>
      </c>
      <c r="D25" s="9">
        <v>6</v>
      </c>
      <c r="E25" s="14">
        <f t="shared" si="3"/>
        <v>65.666666666666671</v>
      </c>
      <c r="H25" s="3">
        <v>22</v>
      </c>
      <c r="I25" s="5" t="s">
        <v>127</v>
      </c>
      <c r="J25" s="11">
        <v>92</v>
      </c>
      <c r="K25" s="9">
        <v>281</v>
      </c>
      <c r="L25" s="14">
        <f t="shared" ref="L25" si="4">J25/K25</f>
        <v>0.32740213523131673</v>
      </c>
    </row>
    <row r="26" spans="1:12" x14ac:dyDescent="0.25">
      <c r="A26" s="3">
        <v>24</v>
      </c>
      <c r="B26" s="5" t="s">
        <v>58</v>
      </c>
      <c r="C26" s="11">
        <v>377</v>
      </c>
      <c r="D26" s="9">
        <v>228</v>
      </c>
      <c r="E26" s="14">
        <f t="shared" si="3"/>
        <v>1.6535087719298245</v>
      </c>
      <c r="H26" s="3">
        <v>24</v>
      </c>
      <c r="I26" s="5" t="s">
        <v>128</v>
      </c>
      <c r="J26" s="11">
        <v>88</v>
      </c>
      <c r="K26" s="9">
        <v>217</v>
      </c>
      <c r="L26" s="14">
        <f t="shared" ref="L26" si="5">J26/K26</f>
        <v>0.40552995391705071</v>
      </c>
    </row>
    <row r="27" spans="1:12" x14ac:dyDescent="0.25">
      <c r="A27" s="3">
        <v>25</v>
      </c>
      <c r="B27" s="5" t="s">
        <v>65</v>
      </c>
      <c r="C27" s="11">
        <v>374</v>
      </c>
      <c r="D27" s="9">
        <v>125</v>
      </c>
      <c r="E27" s="14">
        <f t="shared" si="3"/>
        <v>2.992</v>
      </c>
      <c r="H27" s="3">
        <v>25</v>
      </c>
      <c r="I27" s="5" t="s">
        <v>129</v>
      </c>
      <c r="J27" s="11">
        <v>84</v>
      </c>
      <c r="K27" s="9">
        <v>196</v>
      </c>
      <c r="L27" s="14">
        <f t="shared" si="0"/>
        <v>0.42857142857142855</v>
      </c>
    </row>
    <row r="28" spans="1:12" x14ac:dyDescent="0.25">
      <c r="A28" s="3">
        <v>26</v>
      </c>
      <c r="B28" s="5" t="s">
        <v>264</v>
      </c>
      <c r="C28" s="11">
        <v>372</v>
      </c>
      <c r="D28" s="9">
        <v>22</v>
      </c>
      <c r="E28" s="14">
        <f t="shared" si="3"/>
        <v>16.90909090909091</v>
      </c>
      <c r="H28" s="3">
        <v>26</v>
      </c>
      <c r="I28" s="5" t="s">
        <v>267</v>
      </c>
      <c r="J28" s="11">
        <v>84</v>
      </c>
      <c r="K28" s="9">
        <v>284</v>
      </c>
      <c r="L28" s="14">
        <f t="shared" si="0"/>
        <v>0.29577464788732394</v>
      </c>
    </row>
    <row r="29" spans="1:12" x14ac:dyDescent="0.25">
      <c r="A29" s="3">
        <v>27</v>
      </c>
      <c r="B29" s="5" t="s">
        <v>22</v>
      </c>
      <c r="C29" s="11">
        <v>369</v>
      </c>
      <c r="D29" s="9">
        <v>64</v>
      </c>
      <c r="E29" s="14">
        <f t="shared" si="3"/>
        <v>5.765625</v>
      </c>
      <c r="H29" s="3">
        <v>27</v>
      </c>
      <c r="I29" s="5" t="s">
        <v>23</v>
      </c>
      <c r="J29" s="11">
        <v>80</v>
      </c>
      <c r="K29" s="9">
        <v>166</v>
      </c>
      <c r="L29" s="14">
        <f t="shared" si="0"/>
        <v>0.48192771084337349</v>
      </c>
    </row>
    <row r="30" spans="1:12" x14ac:dyDescent="0.25">
      <c r="A30" s="3">
        <v>28</v>
      </c>
      <c r="B30" s="5" t="s">
        <v>265</v>
      </c>
      <c r="C30" s="11">
        <v>365</v>
      </c>
      <c r="D30" s="9">
        <v>6</v>
      </c>
      <c r="E30" s="14">
        <f t="shared" si="3"/>
        <v>60.833333333333336</v>
      </c>
      <c r="H30" s="3">
        <v>28</v>
      </c>
      <c r="I30" s="5" t="s">
        <v>180</v>
      </c>
      <c r="J30" s="11">
        <f>'Apps &amp; Goals'!U10</f>
        <v>84</v>
      </c>
      <c r="K30" s="9">
        <f>'Apps &amp; Goals'!T10</f>
        <v>320</v>
      </c>
      <c r="L30" s="14">
        <f>J30/K30</f>
        <v>0.26250000000000001</v>
      </c>
    </row>
    <row r="31" spans="1:12" x14ac:dyDescent="0.25">
      <c r="A31" s="3">
        <v>29</v>
      </c>
      <c r="B31" s="5" t="s">
        <v>12</v>
      </c>
      <c r="C31" s="11">
        <v>353</v>
      </c>
      <c r="D31" s="9">
        <v>27</v>
      </c>
      <c r="E31" s="14">
        <f t="shared" si="3"/>
        <v>13.074074074074074</v>
      </c>
      <c r="H31" s="3">
        <v>29</v>
      </c>
      <c r="I31" s="5" t="s">
        <v>268</v>
      </c>
      <c r="J31" s="11">
        <v>77</v>
      </c>
      <c r="K31" s="9">
        <v>137</v>
      </c>
      <c r="L31" s="14">
        <f t="shared" ref="L31:L32" si="6">J31/K31</f>
        <v>0.56204379562043794</v>
      </c>
    </row>
    <row r="32" spans="1:12" x14ac:dyDescent="0.25">
      <c r="A32" s="3">
        <v>30</v>
      </c>
      <c r="B32" s="5" t="s">
        <v>266</v>
      </c>
      <c r="C32" s="11">
        <v>352</v>
      </c>
      <c r="D32" s="9">
        <v>0</v>
      </c>
      <c r="E32" s="14">
        <v>0</v>
      </c>
      <c r="H32" s="3">
        <v>30</v>
      </c>
      <c r="I32" s="5" t="s">
        <v>269</v>
      </c>
      <c r="J32" s="11">
        <v>77</v>
      </c>
      <c r="K32" s="9">
        <v>308</v>
      </c>
      <c r="L32" s="14">
        <f t="shared" si="6"/>
        <v>0.25</v>
      </c>
    </row>
  </sheetData>
  <mergeCells count="4">
    <mergeCell ref="A1:B1"/>
    <mergeCell ref="H1:I1"/>
    <mergeCell ref="J1:L1"/>
    <mergeCell ref="C1:E1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26ee109-9f27-4dc9-9e63-64f314675ef1}" enabled="1" method="Standard" siteId="{a681154d-dbd3-466d-a3a7-369dd52815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Sheet1</vt:lpstr>
      <vt:lpstr>#</vt:lpstr>
      <vt:lpstr>Apps &amp; Goals</vt:lpstr>
      <vt:lpstr>Apps &amp; Goals 16-17</vt:lpstr>
      <vt:lpstr>Apps &amp; Goals 17-18</vt:lpstr>
      <vt:lpstr>Apps &amp; Goals 18-19</vt:lpstr>
      <vt:lpstr>Apps &amp; Goals 19-20</vt:lpstr>
      <vt:lpstr>Apps &amp; Goals 20-21</vt:lpstr>
      <vt:lpstr>Apps &amp; Goals 21-22</vt:lpstr>
      <vt:lpstr>Apps &amp; Goals 22-23</vt:lpstr>
      <vt:lpstr>Apps &amp; Goals 23-24</vt:lpstr>
      <vt:lpstr>Apps &amp; Goals 24-25</vt:lpstr>
      <vt:lpstr>Apps &amp; Goals 25-26</vt:lpstr>
      <vt:lpstr>Apps &amp; Goals 26-27</vt:lpstr>
      <vt:lpstr>Graph</vt:lpstr>
      <vt:lpstr>Ex-Players</vt:lpstr>
      <vt:lpstr>Premier League</vt:lpstr>
      <vt:lpstr>Europe</vt:lpstr>
      <vt:lpstr>FA Cup</vt:lpstr>
      <vt:lpstr>League Cup</vt:lpstr>
      <vt:lpstr>Other (CS)</vt:lpstr>
      <vt:lpstr>Season Breakdown</vt:lpstr>
      <vt:lpstr>Match</vt:lpstr>
      <vt:lpstr>Ratings</vt:lpstr>
      <vt:lpstr>All-time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Arsenal Statistics 2013-</dc:title>
  <dc:subject>Arsenal Football Club Data</dc:subject>
  <dc:creator>Przemysław Iskra</dc:creator>
  <cp:keywords>Arsenal FC; Statistics; Excel</cp:keywords>
  <cp:lastModifiedBy>Przemyslaw Iskra</cp:lastModifiedBy>
  <dcterms:created xsi:type="dcterms:W3CDTF">2014-11-01T15:48:11Z</dcterms:created>
  <dcterms:modified xsi:type="dcterms:W3CDTF">2026-10-12T10:17:55Z</dcterms:modified>
</cp:coreProperties>
</file>