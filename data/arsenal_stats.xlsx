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727" documentId="13_ncr:1_{662DAA9A-C5C7-8346-85AE-B86E329139C8}" xr6:coauthVersionLast="47" xr6:coauthVersionMax="47" xr10:uidLastSave="{FF3C1DE5-A41A-4A84-8D66-3771F1496A28}"/>
  <bookViews>
    <workbookView xWindow="-120" yWindow="-120" windowWidth="29040" windowHeight="15720" tabRatio="799" firstSheet="1" activeTab="16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26-27'!$A$3:$S$20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U5" i="1"/>
  <c r="C6" i="5"/>
  <c r="C6" i="30"/>
  <c r="G8" i="10"/>
  <c r="J8" i="10"/>
  <c r="E6" i="1"/>
  <c r="T6" i="1"/>
  <c r="U6" i="1"/>
  <c r="V6" i="1"/>
  <c r="C7" i="5"/>
  <c r="C7" i="30"/>
  <c r="G9" i="10"/>
  <c r="J9" i="10"/>
  <c r="E7" i="1"/>
  <c r="T7" i="1"/>
  <c r="U7" i="1"/>
  <c r="C8" i="5"/>
  <c r="C8" i="30"/>
  <c r="G10" i="10"/>
  <c r="J10" i="10"/>
  <c r="E8" i="1"/>
  <c r="T8" i="1"/>
  <c r="U8" i="1"/>
  <c r="C9" i="5"/>
  <c r="C9" i="30"/>
  <c r="G11" i="10"/>
  <c r="J11" i="10"/>
  <c r="E9" i="1"/>
  <c r="T9" i="1"/>
  <c r="U9" i="1"/>
  <c r="C10" i="5"/>
  <c r="C10" i="30"/>
  <c r="G12" i="10"/>
  <c r="J12" i="10"/>
  <c r="E10" i="1"/>
  <c r="T10" i="1"/>
  <c r="D10" i="5"/>
  <c r="D10" i="30"/>
  <c r="H12" i="10"/>
  <c r="K12" i="10"/>
  <c r="F10" i="1"/>
  <c r="U10" i="1"/>
  <c r="C11" i="5"/>
  <c r="C11" i="30"/>
  <c r="G13" i="10"/>
  <c r="J13" i="10"/>
  <c r="E11" i="1"/>
  <c r="T11" i="1"/>
  <c r="D11" i="5"/>
  <c r="D11" i="30"/>
  <c r="H13" i="10"/>
  <c r="K13" i="10"/>
  <c r="F11" i="1"/>
  <c r="U11" i="1"/>
  <c r="T12" i="1"/>
  <c r="U12" i="1"/>
  <c r="C13" i="5"/>
  <c r="C13" i="30"/>
  <c r="G15" i="10"/>
  <c r="J15" i="10"/>
  <c r="E13" i="1"/>
  <c r="T13" i="1"/>
  <c r="U13" i="1"/>
  <c r="T14" i="1"/>
  <c r="U14" i="1"/>
  <c r="T15" i="1"/>
  <c r="U15" i="1"/>
  <c r="T16" i="1"/>
  <c r="U16" i="1"/>
  <c r="V16" i="1"/>
  <c r="T17" i="1"/>
  <c r="U17" i="1"/>
  <c r="C18" i="5"/>
  <c r="C18" i="30"/>
  <c r="G20" i="10"/>
  <c r="J20" i="10"/>
  <c r="E18" i="1"/>
  <c r="T18" i="1"/>
  <c r="U18" i="1"/>
  <c r="V18" i="1"/>
  <c r="C19" i="5"/>
  <c r="C19" i="30"/>
  <c r="G21" i="10"/>
  <c r="J21" i="10"/>
  <c r="E19" i="1"/>
  <c r="T19" i="1"/>
  <c r="U19" i="1"/>
  <c r="T20" i="1"/>
  <c r="U20" i="1"/>
  <c r="T21" i="1"/>
  <c r="U21" i="1"/>
  <c r="C22" i="5"/>
  <c r="C22" i="30"/>
  <c r="G24" i="10"/>
  <c r="J24" i="10"/>
  <c r="E22" i="1"/>
  <c r="T22" i="1"/>
  <c r="U22" i="1"/>
  <c r="T23" i="1"/>
  <c r="U23" i="1"/>
  <c r="C24" i="5"/>
  <c r="C24" i="30"/>
  <c r="G26" i="10"/>
  <c r="J26" i="10"/>
  <c r="E24" i="1"/>
  <c r="T24" i="1"/>
  <c r="D24" i="5"/>
  <c r="D24" i="30"/>
  <c r="H26" i="10"/>
  <c r="K26" i="10"/>
  <c r="F24" i="1"/>
  <c r="U24" i="1"/>
  <c r="T25" i="1"/>
  <c r="U25" i="1"/>
  <c r="V25" i="1"/>
  <c r="C26" i="5"/>
  <c r="C26" i="30"/>
  <c r="G28" i="10"/>
  <c r="J28" i="10"/>
  <c r="E26" i="1"/>
  <c r="T26" i="1"/>
  <c r="U26" i="1"/>
  <c r="T27" i="1"/>
  <c r="U27" i="1"/>
  <c r="V27" i="1"/>
  <c r="C28" i="5"/>
  <c r="C28" i="30"/>
  <c r="G30" i="10"/>
  <c r="J30" i="10"/>
  <c r="E28" i="1"/>
  <c r="T28" i="1"/>
  <c r="U28" i="1"/>
  <c r="T29" i="1"/>
  <c r="U29" i="1"/>
  <c r="V29" i="1"/>
  <c r="C30" i="5"/>
  <c r="C30" i="30"/>
  <c r="G32" i="10"/>
  <c r="J32" i="10"/>
  <c r="E30" i="1"/>
  <c r="T30" i="1"/>
  <c r="U30" i="1"/>
  <c r="T31" i="1"/>
  <c r="U31" i="1"/>
  <c r="V31" i="1"/>
  <c r="C32" i="5"/>
  <c r="C32" i="30"/>
  <c r="G34" i="10"/>
  <c r="J34" i="10"/>
  <c r="E32" i="1"/>
  <c r="T32" i="1"/>
  <c r="U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0" i="1"/>
  <c r="U40" i="1"/>
  <c r="V40" i="1"/>
  <c r="V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S4" i="1"/>
  <c r="N5" i="1"/>
  <c r="O5" i="1"/>
  <c r="N6" i="1"/>
  <c r="O6" i="1"/>
  <c r="P6" i="1"/>
  <c r="N7" i="1"/>
  <c r="O7" i="1"/>
  <c r="P7" i="1"/>
  <c r="N8" i="1"/>
  <c r="O8" i="1"/>
  <c r="P8" i="1"/>
  <c r="N9" i="1"/>
  <c r="O9" i="1"/>
  <c r="P9" i="1"/>
  <c r="N10" i="1"/>
  <c r="O10" i="1"/>
  <c r="N11" i="1"/>
  <c r="O11" i="1"/>
  <c r="P11" i="1"/>
  <c r="N12" i="1"/>
  <c r="O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N18" i="1"/>
  <c r="O18" i="1"/>
  <c r="P18" i="1"/>
  <c r="N19" i="1"/>
  <c r="O19" i="1"/>
  <c r="P19" i="1"/>
  <c r="N20" i="1"/>
  <c r="O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/>
  <c r="P27" i="1"/>
  <c r="N28" i="1"/>
  <c r="O28" i="1"/>
  <c r="P28" i="1"/>
  <c r="N29" i="1"/>
  <c r="O29" i="1"/>
  <c r="P29" i="1"/>
  <c r="N30" i="1"/>
  <c r="O30" i="1"/>
  <c r="P30" i="1"/>
  <c r="N31" i="1"/>
  <c r="O31" i="1"/>
  <c r="P31" i="1"/>
  <c r="N32" i="1"/>
  <c r="O32" i="1"/>
  <c r="N33" i="1"/>
  <c r="O33" i="1"/>
  <c r="P33" i="1"/>
  <c r="N34" i="1"/>
  <c r="O34" i="1"/>
  <c r="P34" i="1"/>
  <c r="N35" i="1"/>
  <c r="O35" i="1"/>
  <c r="P35" i="1"/>
  <c r="N36" i="1"/>
  <c r="O36" i="1"/>
  <c r="P36" i="1"/>
  <c r="N37" i="1"/>
  <c r="O37" i="1"/>
  <c r="P37" i="1"/>
  <c r="N38" i="1"/>
  <c r="O38" i="1"/>
  <c r="P38" i="1"/>
  <c r="N39" i="1"/>
  <c r="O39" i="1"/>
  <c r="P39" i="1"/>
  <c r="N40" i="1"/>
  <c r="O40" i="1"/>
  <c r="P40" i="1"/>
  <c r="P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K13" i="1"/>
  <c r="L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K20" i="1"/>
  <c r="L20" i="1"/>
  <c r="M20" i="1"/>
  <c r="K21" i="1"/>
  <c r="L21" i="1"/>
  <c r="M21" i="1"/>
  <c r="K22" i="1"/>
  <c r="L22" i="1"/>
  <c r="M22" i="1"/>
  <c r="K23" i="1"/>
  <c r="L23" i="1"/>
  <c r="K24" i="1"/>
  <c r="L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39" i="1"/>
  <c r="L39" i="1"/>
  <c r="M39" i="1"/>
  <c r="K40" i="1"/>
  <c r="L40" i="1"/>
  <c r="M40" i="1"/>
  <c r="M4" i="1"/>
  <c r="H5" i="1"/>
  <c r="I5" i="1"/>
  <c r="J5" i="1"/>
  <c r="H6" i="1"/>
  <c r="I6" i="1"/>
  <c r="J6" i="1"/>
  <c r="H7" i="1"/>
  <c r="I7" i="1"/>
  <c r="H8" i="1"/>
  <c r="I8" i="1"/>
  <c r="J8" i="1"/>
  <c r="H9" i="1"/>
  <c r="I9" i="1"/>
  <c r="H10" i="1"/>
  <c r="I10" i="1"/>
  <c r="J10" i="1"/>
  <c r="H11" i="1"/>
  <c r="I11" i="1"/>
  <c r="J11" i="1"/>
  <c r="H12" i="1"/>
  <c r="I12" i="1"/>
  <c r="H13" i="1"/>
  <c r="I13" i="1"/>
  <c r="H14" i="1"/>
  <c r="I14" i="1"/>
  <c r="H15" i="1"/>
  <c r="I15" i="1"/>
  <c r="H16" i="1"/>
  <c r="I16" i="1"/>
  <c r="J16" i="1"/>
  <c r="H17" i="1"/>
  <c r="I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H23" i="1"/>
  <c r="I23" i="1"/>
  <c r="H24" i="1"/>
  <c r="I24" i="1"/>
  <c r="J24" i="1"/>
  <c r="H25" i="1"/>
  <c r="I25" i="1"/>
  <c r="J25" i="1"/>
  <c r="H26" i="1"/>
  <c r="I26" i="1"/>
  <c r="H27" i="1"/>
  <c r="I27" i="1"/>
  <c r="J27" i="1"/>
  <c r="H28" i="1"/>
  <c r="I28" i="1"/>
  <c r="J28" i="1"/>
  <c r="H29" i="1"/>
  <c r="I29" i="1"/>
  <c r="J29" i="1"/>
  <c r="H30" i="1"/>
  <c r="I30" i="1"/>
  <c r="H31" i="1"/>
  <c r="I31" i="1"/>
  <c r="J31" i="1"/>
  <c r="H32" i="1"/>
  <c r="I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J4" i="1"/>
  <c r="E5" i="1"/>
  <c r="F5" i="1"/>
  <c r="G5" i="1"/>
  <c r="F6" i="1"/>
  <c r="G6" i="1"/>
  <c r="F7" i="1"/>
  <c r="F8" i="1"/>
  <c r="F9" i="1"/>
  <c r="E12" i="1"/>
  <c r="F12" i="1"/>
  <c r="G12" i="1"/>
  <c r="F13" i="1"/>
  <c r="G13" i="1"/>
  <c r="E14" i="1"/>
  <c r="F14" i="1"/>
  <c r="E15" i="1"/>
  <c r="F15" i="1"/>
  <c r="G15" i="1"/>
  <c r="E16" i="1"/>
  <c r="F16" i="1"/>
  <c r="G16" i="1"/>
  <c r="E17" i="1"/>
  <c r="F17" i="1"/>
  <c r="F18" i="1"/>
  <c r="G18" i="1"/>
  <c r="F19" i="1"/>
  <c r="E20" i="1"/>
  <c r="F20" i="1"/>
  <c r="E21" i="1"/>
  <c r="F21" i="1"/>
  <c r="F22" i="1"/>
  <c r="G22" i="1"/>
  <c r="E23" i="1"/>
  <c r="F23" i="1"/>
  <c r="E25" i="1"/>
  <c r="F25" i="1"/>
  <c r="G25" i="1"/>
  <c r="F26" i="1"/>
  <c r="E26" i="5"/>
  <c r="E26" i="30"/>
  <c r="I28" i="10"/>
  <c r="L28" i="10"/>
  <c r="G26" i="1"/>
  <c r="E27" i="1"/>
  <c r="F27" i="1"/>
  <c r="G27" i="1"/>
  <c r="F28" i="1"/>
  <c r="E29" i="1"/>
  <c r="F29" i="1"/>
  <c r="G29" i="1"/>
  <c r="F30" i="1"/>
  <c r="E31" i="1"/>
  <c r="F31" i="1"/>
  <c r="G31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F4" i="1"/>
  <c r="U4" i="1"/>
  <c r="G4" i="1"/>
  <c r="H4" i="1"/>
  <c r="C4" i="5"/>
  <c r="C4" i="30"/>
  <c r="G6" i="10"/>
  <c r="J6" i="10"/>
  <c r="E4" i="1"/>
  <c r="T4" i="1"/>
  <c r="I4" i="1"/>
  <c r="K4" i="1"/>
  <c r="L4" i="1"/>
  <c r="N4" i="1"/>
  <c r="O4" i="1"/>
  <c r="Q4" i="1"/>
  <c r="R4" i="1"/>
  <c r="BF7" i="10"/>
  <c r="BG7" i="10"/>
  <c r="BH7" i="10"/>
  <c r="BF8" i="10"/>
  <c r="BG8" i="10"/>
  <c r="BH8" i="10"/>
  <c r="BF9" i="10"/>
  <c r="BG9" i="10"/>
  <c r="BH9" i="10"/>
  <c r="BF10" i="10"/>
  <c r="BG10" i="10"/>
  <c r="BH10" i="10"/>
  <c r="BF11" i="10"/>
  <c r="BG11" i="10"/>
  <c r="BH11" i="10"/>
  <c r="BF12" i="10"/>
  <c r="BG12" i="10"/>
  <c r="BH12" i="10"/>
  <c r="S10" i="1"/>
  <c r="BF13" i="10"/>
  <c r="BG13" i="10"/>
  <c r="BH13" i="10"/>
  <c r="BF14" i="10"/>
  <c r="BG14" i="10"/>
  <c r="BH14" i="10"/>
  <c r="BF15" i="10"/>
  <c r="BG15" i="10"/>
  <c r="BH15" i="10"/>
  <c r="BF16" i="10"/>
  <c r="BG16" i="10"/>
  <c r="BH16" i="10"/>
  <c r="BF17" i="10"/>
  <c r="BG17" i="10"/>
  <c r="BH17" i="10"/>
  <c r="BF18" i="10"/>
  <c r="BG18" i="10"/>
  <c r="BH18" i="10"/>
  <c r="BF19" i="10"/>
  <c r="BG19" i="10"/>
  <c r="BH19" i="10"/>
  <c r="BF20" i="10"/>
  <c r="BG20" i="10"/>
  <c r="BH20" i="10"/>
  <c r="BF21" i="10"/>
  <c r="BG21" i="10"/>
  <c r="BH21" i="10"/>
  <c r="BF22" i="10"/>
  <c r="BG22" i="10"/>
  <c r="BH22" i="10"/>
  <c r="BF23" i="10"/>
  <c r="BG23" i="10"/>
  <c r="BH23" i="10"/>
  <c r="BF24" i="10"/>
  <c r="BG24" i="10"/>
  <c r="BH24" i="10"/>
  <c r="BF25" i="10"/>
  <c r="BG25" i="10"/>
  <c r="BH25" i="10"/>
  <c r="BF26" i="10"/>
  <c r="BG26" i="10"/>
  <c r="BH26" i="10"/>
  <c r="BF27" i="10"/>
  <c r="BG27" i="10"/>
  <c r="BH27" i="10"/>
  <c r="BF28" i="10"/>
  <c r="BG28" i="10"/>
  <c r="BH28" i="10"/>
  <c r="BF29" i="10"/>
  <c r="BG29" i="10"/>
  <c r="BH29" i="10"/>
  <c r="BF30" i="10"/>
  <c r="BG30" i="10"/>
  <c r="BH30" i="10"/>
  <c r="BF31" i="10"/>
  <c r="BG31" i="10"/>
  <c r="BH31" i="10"/>
  <c r="BF32" i="10"/>
  <c r="BG32" i="10"/>
  <c r="BH32" i="10"/>
  <c r="BF33" i="10"/>
  <c r="BG33" i="10"/>
  <c r="BH33" i="10"/>
  <c r="BF34" i="10"/>
  <c r="BG34" i="10"/>
  <c r="BH34" i="10"/>
  <c r="BF35" i="10"/>
  <c r="BG35" i="10"/>
  <c r="BH35" i="10"/>
  <c r="BF36" i="10"/>
  <c r="BG36" i="10"/>
  <c r="BH36" i="10"/>
  <c r="BF37" i="10"/>
  <c r="BG37" i="10"/>
  <c r="BH37" i="10"/>
  <c r="BF38" i="10"/>
  <c r="BG38" i="10"/>
  <c r="BH38" i="10"/>
  <c r="BF39" i="10"/>
  <c r="BG39" i="10"/>
  <c r="BH39" i="10"/>
  <c r="BF40" i="10"/>
  <c r="BG40" i="10"/>
  <c r="BH40" i="10"/>
  <c r="BF41" i="10"/>
  <c r="BG41" i="10"/>
  <c r="BH41" i="10"/>
  <c r="BF42" i="10"/>
  <c r="BG42" i="10"/>
  <c r="BH42" i="10"/>
  <c r="BH6" i="10"/>
  <c r="BC7" i="10"/>
  <c r="BD7" i="10"/>
  <c r="BE7" i="10"/>
  <c r="BC8" i="10"/>
  <c r="BD8" i="10"/>
  <c r="BE8" i="10"/>
  <c r="BC9" i="10"/>
  <c r="BD9" i="10"/>
  <c r="BE9" i="10"/>
  <c r="BC10" i="10"/>
  <c r="BD10" i="10"/>
  <c r="BE10" i="10"/>
  <c r="BC11" i="10"/>
  <c r="BD11" i="10"/>
  <c r="BE11" i="10"/>
  <c r="BC12" i="10"/>
  <c r="BD12" i="10"/>
  <c r="BE12" i="10"/>
  <c r="BC13" i="10"/>
  <c r="BD13" i="10"/>
  <c r="BE13" i="10"/>
  <c r="BC14" i="10"/>
  <c r="BD14" i="10"/>
  <c r="BE14" i="10"/>
  <c r="BC15" i="10"/>
  <c r="BD15" i="10"/>
  <c r="BE15" i="10"/>
  <c r="BC16" i="10"/>
  <c r="BD16" i="10"/>
  <c r="BE16" i="10"/>
  <c r="BC17" i="10"/>
  <c r="BD17" i="10"/>
  <c r="BE17" i="10"/>
  <c r="BC18" i="10"/>
  <c r="BD18" i="10"/>
  <c r="BE18" i="10"/>
  <c r="BC19" i="10"/>
  <c r="BD19" i="10"/>
  <c r="BE19" i="10"/>
  <c r="BC20" i="10"/>
  <c r="BD20" i="10"/>
  <c r="BE20" i="10"/>
  <c r="BC21" i="10"/>
  <c r="BD21" i="10"/>
  <c r="BE21" i="10"/>
  <c r="BC22" i="10"/>
  <c r="BD22" i="10"/>
  <c r="BE22" i="10"/>
  <c r="BC23" i="10"/>
  <c r="BD23" i="10"/>
  <c r="BE23" i="10"/>
  <c r="BC24" i="10"/>
  <c r="BD24" i="10"/>
  <c r="BE24" i="10"/>
  <c r="BC25" i="10"/>
  <c r="BD25" i="10"/>
  <c r="BE25" i="10"/>
  <c r="BC26" i="10"/>
  <c r="BD26" i="10"/>
  <c r="BE26" i="10"/>
  <c r="BC27" i="10"/>
  <c r="BD27" i="10"/>
  <c r="BE27" i="10"/>
  <c r="BC28" i="10"/>
  <c r="BD28" i="10"/>
  <c r="BE28" i="10"/>
  <c r="BC29" i="10"/>
  <c r="BD29" i="10"/>
  <c r="BE29" i="10"/>
  <c r="BC30" i="10"/>
  <c r="BD30" i="10"/>
  <c r="BE30" i="10"/>
  <c r="BC31" i="10"/>
  <c r="BD31" i="10"/>
  <c r="BE31" i="10"/>
  <c r="BC32" i="10"/>
  <c r="BD32" i="10"/>
  <c r="BE32" i="10"/>
  <c r="BC33" i="10"/>
  <c r="BD33" i="10"/>
  <c r="BE33" i="10"/>
  <c r="BC34" i="10"/>
  <c r="BD34" i="10"/>
  <c r="BE34" i="10"/>
  <c r="BC35" i="10"/>
  <c r="BD35" i="10"/>
  <c r="BE35" i="10"/>
  <c r="BC36" i="10"/>
  <c r="BD36" i="10"/>
  <c r="BE36" i="10"/>
  <c r="BC37" i="10"/>
  <c r="BD37" i="10"/>
  <c r="BE37" i="10"/>
  <c r="BC38" i="10"/>
  <c r="BD38" i="10"/>
  <c r="BE38" i="10"/>
  <c r="BC39" i="10"/>
  <c r="BD39" i="10"/>
  <c r="BE39" i="10"/>
  <c r="BC40" i="10"/>
  <c r="BD40" i="10"/>
  <c r="BE40" i="10"/>
  <c r="BC41" i="10"/>
  <c r="BD41" i="10"/>
  <c r="BE41" i="10"/>
  <c r="BC42" i="10"/>
  <c r="BD42" i="10"/>
  <c r="BE42" i="10"/>
  <c r="BE6" i="10"/>
  <c r="AT7" i="10"/>
  <c r="AU7" i="10"/>
  <c r="AV7" i="10"/>
  <c r="P5" i="1"/>
  <c r="AT8" i="10"/>
  <c r="AU8" i="10"/>
  <c r="AV8" i="10"/>
  <c r="AT9" i="10"/>
  <c r="AU9" i="10"/>
  <c r="AV9" i="10"/>
  <c r="AT10" i="10"/>
  <c r="AU10" i="10"/>
  <c r="AV10" i="10"/>
  <c r="AT11" i="10"/>
  <c r="AU11" i="10"/>
  <c r="AV11" i="10"/>
  <c r="AT12" i="10"/>
  <c r="AU12" i="10"/>
  <c r="AV12" i="10"/>
  <c r="P10" i="1"/>
  <c r="AT13" i="10"/>
  <c r="AU13" i="10"/>
  <c r="AV13" i="10"/>
  <c r="AT14" i="10"/>
  <c r="AU14" i="10"/>
  <c r="AV14" i="10"/>
  <c r="P12" i="1"/>
  <c r="AT15" i="10"/>
  <c r="AU15" i="10"/>
  <c r="AV15" i="10"/>
  <c r="AT16" i="10"/>
  <c r="AU16" i="10"/>
  <c r="AV16" i="10"/>
  <c r="AT17" i="10"/>
  <c r="AU17" i="10"/>
  <c r="AV17" i="10"/>
  <c r="AT18" i="10"/>
  <c r="AU18" i="10"/>
  <c r="AV18" i="10"/>
  <c r="AT19" i="10"/>
  <c r="AU19" i="10"/>
  <c r="AV19" i="10"/>
  <c r="P17" i="1"/>
  <c r="AT20" i="10"/>
  <c r="AU20" i="10"/>
  <c r="AV20" i="10"/>
  <c r="AT21" i="10"/>
  <c r="AU21" i="10"/>
  <c r="AV21" i="10"/>
  <c r="AT22" i="10"/>
  <c r="AU22" i="10"/>
  <c r="AV22" i="10"/>
  <c r="P20" i="1"/>
  <c r="AT23" i="10"/>
  <c r="AU23" i="10"/>
  <c r="AV23" i="10"/>
  <c r="AT24" i="10"/>
  <c r="AU24" i="10"/>
  <c r="AV24" i="10"/>
  <c r="AT25" i="10"/>
  <c r="AU25" i="10"/>
  <c r="AV25" i="10"/>
  <c r="AT26" i="10"/>
  <c r="AU26" i="10"/>
  <c r="AV26" i="10"/>
  <c r="AT27" i="10"/>
  <c r="AU27" i="10"/>
  <c r="AV27" i="10"/>
  <c r="AT28" i="10"/>
  <c r="AU28" i="10"/>
  <c r="AV28" i="10"/>
  <c r="AT29" i="10"/>
  <c r="AU29" i="10"/>
  <c r="AV29" i="10"/>
  <c r="AT30" i="10"/>
  <c r="AU30" i="10"/>
  <c r="AV30" i="10"/>
  <c r="AT31" i="10"/>
  <c r="AU31" i="10"/>
  <c r="AV31" i="10"/>
  <c r="AT32" i="10"/>
  <c r="AU32" i="10"/>
  <c r="AV32" i="10"/>
  <c r="AT33" i="10"/>
  <c r="AU33" i="10"/>
  <c r="AV33" i="10"/>
  <c r="AT34" i="10"/>
  <c r="AU34" i="10"/>
  <c r="AV34" i="10"/>
  <c r="P32" i="1"/>
  <c r="AT35" i="10"/>
  <c r="AU35" i="10"/>
  <c r="AV35" i="10"/>
  <c r="AT36" i="10"/>
  <c r="AU36" i="10"/>
  <c r="AV36" i="10"/>
  <c r="AT37" i="10"/>
  <c r="AU37" i="10"/>
  <c r="AV37" i="10"/>
  <c r="AT38" i="10"/>
  <c r="AU38" i="10"/>
  <c r="AV38" i="10"/>
  <c r="AT39" i="10"/>
  <c r="AU39" i="10"/>
  <c r="AV39" i="10"/>
  <c r="AT40" i="10"/>
  <c r="AU40" i="10"/>
  <c r="AV40" i="10"/>
  <c r="AT41" i="10"/>
  <c r="AU41" i="10"/>
  <c r="AV41" i="10"/>
  <c r="AT42" i="10"/>
  <c r="AU42" i="10"/>
  <c r="AV42" i="10"/>
  <c r="AV6" i="10"/>
  <c r="AQ7" i="10"/>
  <c r="AR7" i="10"/>
  <c r="AS7" i="10"/>
  <c r="AQ8" i="10"/>
  <c r="AR8" i="10"/>
  <c r="AS8" i="10"/>
  <c r="AQ9" i="10"/>
  <c r="AR9" i="10"/>
  <c r="AS9" i="10"/>
  <c r="AQ10" i="10"/>
  <c r="AR10" i="10"/>
  <c r="AS10" i="10"/>
  <c r="AQ11" i="10"/>
  <c r="AR11" i="10"/>
  <c r="AS11" i="10"/>
  <c r="AQ12" i="10"/>
  <c r="AR12" i="10"/>
  <c r="AS12" i="10"/>
  <c r="AQ13" i="10"/>
  <c r="AR13" i="10"/>
  <c r="AS13" i="10"/>
  <c r="AQ14" i="10"/>
  <c r="AR14" i="10"/>
  <c r="AS14" i="10"/>
  <c r="AQ15" i="10"/>
  <c r="AR15" i="10"/>
  <c r="AS15" i="10"/>
  <c r="AQ16" i="10"/>
  <c r="AR16" i="10"/>
  <c r="AS16" i="10"/>
  <c r="AQ17" i="10"/>
  <c r="AR17" i="10"/>
  <c r="AS17" i="10"/>
  <c r="AQ18" i="10"/>
  <c r="AR18" i="10"/>
  <c r="AS18" i="10"/>
  <c r="AQ19" i="10"/>
  <c r="AR19" i="10"/>
  <c r="AS19" i="10"/>
  <c r="AQ20" i="10"/>
  <c r="AR20" i="10"/>
  <c r="AS20" i="10"/>
  <c r="AQ21" i="10"/>
  <c r="AR21" i="10"/>
  <c r="AS21" i="10"/>
  <c r="AQ22" i="10"/>
  <c r="AR22" i="10"/>
  <c r="AS22" i="10"/>
  <c r="AQ23" i="10"/>
  <c r="AR23" i="10"/>
  <c r="AS23" i="10"/>
  <c r="AQ24" i="10"/>
  <c r="AR24" i="10"/>
  <c r="AS24" i="10"/>
  <c r="AQ25" i="10"/>
  <c r="AR25" i="10"/>
  <c r="AS25" i="10"/>
  <c r="AQ26" i="10"/>
  <c r="AR26" i="10"/>
  <c r="AS26" i="10"/>
  <c r="AQ27" i="10"/>
  <c r="AR27" i="10"/>
  <c r="AS27" i="10"/>
  <c r="AQ28" i="10"/>
  <c r="AR28" i="10"/>
  <c r="AS28" i="10"/>
  <c r="AQ29" i="10"/>
  <c r="AR29" i="10"/>
  <c r="AS29" i="10"/>
  <c r="AQ30" i="10"/>
  <c r="AR30" i="10"/>
  <c r="AS30" i="10"/>
  <c r="AQ31" i="10"/>
  <c r="AR31" i="10"/>
  <c r="AS31" i="10"/>
  <c r="AQ32" i="10"/>
  <c r="AR32" i="10"/>
  <c r="AS32" i="10"/>
  <c r="AQ33" i="10"/>
  <c r="AR33" i="10"/>
  <c r="AS33" i="10"/>
  <c r="AQ34" i="10"/>
  <c r="AR34" i="10"/>
  <c r="AS34" i="10"/>
  <c r="AQ35" i="10"/>
  <c r="AR35" i="10"/>
  <c r="AS35" i="10"/>
  <c r="AQ36" i="10"/>
  <c r="AR36" i="10"/>
  <c r="AS36" i="10"/>
  <c r="AQ37" i="10"/>
  <c r="AR37" i="10"/>
  <c r="AS37" i="10"/>
  <c r="AQ38" i="10"/>
  <c r="AR38" i="10"/>
  <c r="AS38" i="10"/>
  <c r="AQ39" i="10"/>
  <c r="AR39" i="10"/>
  <c r="AS39" i="10"/>
  <c r="AQ40" i="10"/>
  <c r="AR40" i="10"/>
  <c r="AS40" i="10"/>
  <c r="AQ41" i="10"/>
  <c r="AR41" i="10"/>
  <c r="AS41" i="10"/>
  <c r="AQ42" i="10"/>
  <c r="AR42" i="10"/>
  <c r="AS42" i="10"/>
  <c r="AS6" i="10"/>
  <c r="AE7" i="10"/>
  <c r="AH7" i="10"/>
  <c r="AF7" i="10"/>
  <c r="AI7" i="10"/>
  <c r="AG7" i="10"/>
  <c r="AJ7" i="10"/>
  <c r="AE8" i="10"/>
  <c r="AH8" i="10"/>
  <c r="AF8" i="10"/>
  <c r="AI8" i="10"/>
  <c r="AG8" i="10"/>
  <c r="AJ8" i="10"/>
  <c r="AE9" i="10"/>
  <c r="AH9" i="10"/>
  <c r="AF9" i="10"/>
  <c r="AI9" i="10"/>
  <c r="AG9" i="10"/>
  <c r="AJ9" i="10"/>
  <c r="AE10" i="10"/>
  <c r="AH10" i="10"/>
  <c r="AF10" i="10"/>
  <c r="AI10" i="10"/>
  <c r="AG10" i="10"/>
  <c r="AJ10" i="10"/>
  <c r="AE11" i="10"/>
  <c r="AH11" i="10"/>
  <c r="AF11" i="10"/>
  <c r="AI11" i="10"/>
  <c r="AG11" i="10"/>
  <c r="AJ11" i="10"/>
  <c r="AE12" i="10"/>
  <c r="AH12" i="10"/>
  <c r="AF12" i="10"/>
  <c r="AI12" i="10"/>
  <c r="AG12" i="10"/>
  <c r="AJ12" i="10"/>
  <c r="AE13" i="10"/>
  <c r="AH13" i="10"/>
  <c r="AF13" i="10"/>
  <c r="AI13" i="10"/>
  <c r="AG13" i="10"/>
  <c r="AJ13" i="10"/>
  <c r="AE14" i="10"/>
  <c r="AH14" i="10"/>
  <c r="AF14" i="10"/>
  <c r="AI14" i="10"/>
  <c r="AG14" i="10"/>
  <c r="AJ14" i="10"/>
  <c r="M12" i="1"/>
  <c r="AE15" i="10"/>
  <c r="AH15" i="10"/>
  <c r="AF15" i="10"/>
  <c r="AI15" i="10"/>
  <c r="AG15" i="10"/>
  <c r="AJ15" i="10"/>
  <c r="M13" i="1"/>
  <c r="AE16" i="10"/>
  <c r="AH16" i="10"/>
  <c r="AF16" i="10"/>
  <c r="AI16" i="10"/>
  <c r="AG16" i="10"/>
  <c r="AJ16" i="10"/>
  <c r="AE17" i="10"/>
  <c r="AH17" i="10"/>
  <c r="AF17" i="10"/>
  <c r="AI17" i="10"/>
  <c r="AG17" i="10"/>
  <c r="AJ17" i="10"/>
  <c r="AE18" i="10"/>
  <c r="AH18" i="10"/>
  <c r="AF18" i="10"/>
  <c r="AI18" i="10"/>
  <c r="AG18" i="10"/>
  <c r="AJ18" i="10"/>
  <c r="AE19" i="10"/>
  <c r="AH19" i="10"/>
  <c r="AF19" i="10"/>
  <c r="AI19" i="10"/>
  <c r="AG19" i="10"/>
  <c r="AJ19" i="10"/>
  <c r="AE20" i="10"/>
  <c r="AH20" i="10"/>
  <c r="AF20" i="10"/>
  <c r="AI20" i="10"/>
  <c r="AG20" i="10"/>
  <c r="AJ20" i="10"/>
  <c r="AE21" i="10"/>
  <c r="AH21" i="10"/>
  <c r="AF21" i="10"/>
  <c r="AI21" i="10"/>
  <c r="AG21" i="10"/>
  <c r="AJ21" i="10"/>
  <c r="M19" i="1"/>
  <c r="AE22" i="10"/>
  <c r="AH22" i="10"/>
  <c r="AF22" i="10"/>
  <c r="AI22" i="10"/>
  <c r="AG22" i="10"/>
  <c r="AJ22" i="10"/>
  <c r="AE23" i="10"/>
  <c r="AH23" i="10"/>
  <c r="AF23" i="10"/>
  <c r="AI23" i="10"/>
  <c r="AG23" i="10"/>
  <c r="AJ23" i="10"/>
  <c r="AE24" i="10"/>
  <c r="AH24" i="10"/>
  <c r="AF24" i="10"/>
  <c r="AI24" i="10"/>
  <c r="AG24" i="10"/>
  <c r="AJ24" i="10"/>
  <c r="AE25" i="10"/>
  <c r="AH25" i="10"/>
  <c r="AF25" i="10"/>
  <c r="AI25" i="10"/>
  <c r="AG25" i="10"/>
  <c r="AJ25" i="10"/>
  <c r="M23" i="1"/>
  <c r="AE26" i="10"/>
  <c r="AH26" i="10"/>
  <c r="AF26" i="10"/>
  <c r="AI26" i="10"/>
  <c r="AG26" i="10"/>
  <c r="AJ26" i="10"/>
  <c r="M24" i="1"/>
  <c r="AE27" i="10"/>
  <c r="AH27" i="10"/>
  <c r="AF27" i="10"/>
  <c r="AI27" i="10"/>
  <c r="AG27" i="10"/>
  <c r="AJ27" i="10"/>
  <c r="AE28" i="10"/>
  <c r="AH28" i="10"/>
  <c r="AF28" i="10"/>
  <c r="AI28" i="10"/>
  <c r="AG28" i="10"/>
  <c r="AJ28" i="10"/>
  <c r="AE29" i="10"/>
  <c r="AH29" i="10"/>
  <c r="AF29" i="10"/>
  <c r="AI29" i="10"/>
  <c r="AG29" i="10"/>
  <c r="AJ29" i="10"/>
  <c r="AE30" i="10"/>
  <c r="AH30" i="10"/>
  <c r="AF30" i="10"/>
  <c r="AI30" i="10"/>
  <c r="AG30" i="10"/>
  <c r="AJ30" i="10"/>
  <c r="AE31" i="10"/>
  <c r="AH31" i="10"/>
  <c r="AF31" i="10"/>
  <c r="AI31" i="10"/>
  <c r="AG31" i="10"/>
  <c r="AJ31" i="10"/>
  <c r="AE32" i="10"/>
  <c r="AH32" i="10"/>
  <c r="AF32" i="10"/>
  <c r="AI32" i="10"/>
  <c r="AG32" i="10"/>
  <c r="AJ32" i="10"/>
  <c r="AE33" i="10"/>
  <c r="AH33" i="10"/>
  <c r="AF33" i="10"/>
  <c r="AI33" i="10"/>
  <c r="AG33" i="10"/>
  <c r="AJ33" i="10"/>
  <c r="AE34" i="10"/>
  <c r="AH34" i="10"/>
  <c r="AF34" i="10"/>
  <c r="AI34" i="10"/>
  <c r="AG34" i="10"/>
  <c r="AJ34" i="10"/>
  <c r="AE35" i="10"/>
  <c r="AH35" i="10"/>
  <c r="AF35" i="10"/>
  <c r="AI35" i="10"/>
  <c r="AG35" i="10"/>
  <c r="AJ35" i="10"/>
  <c r="AE36" i="10"/>
  <c r="AH36" i="10"/>
  <c r="AF36" i="10"/>
  <c r="AI36" i="10"/>
  <c r="AG36" i="10"/>
  <c r="AJ36" i="10"/>
  <c r="AE37" i="10"/>
  <c r="AH37" i="10"/>
  <c r="AF37" i="10"/>
  <c r="AI37" i="10"/>
  <c r="AG37" i="10"/>
  <c r="AJ37" i="10"/>
  <c r="AE38" i="10"/>
  <c r="AH38" i="10"/>
  <c r="AF38" i="10"/>
  <c r="AI38" i="10"/>
  <c r="AG38" i="10"/>
  <c r="AJ38" i="10"/>
  <c r="AE39" i="10"/>
  <c r="AH39" i="10"/>
  <c r="AF39" i="10"/>
  <c r="AI39" i="10"/>
  <c r="AG39" i="10"/>
  <c r="AJ39" i="10"/>
  <c r="AE40" i="10"/>
  <c r="AH40" i="10"/>
  <c r="AF40" i="10"/>
  <c r="AI40" i="10"/>
  <c r="AG40" i="10"/>
  <c r="AJ40" i="10"/>
  <c r="AE41" i="10"/>
  <c r="AH41" i="10"/>
  <c r="AF41" i="10"/>
  <c r="AI41" i="10"/>
  <c r="AG41" i="10"/>
  <c r="AJ41" i="10"/>
  <c r="AE42" i="10"/>
  <c r="AH42" i="10"/>
  <c r="AF42" i="10"/>
  <c r="AI42" i="10"/>
  <c r="AG42" i="10"/>
  <c r="AJ42" i="10"/>
  <c r="AG6" i="10"/>
  <c r="AJ6" i="10"/>
  <c r="S42" i="10"/>
  <c r="V42" i="10"/>
  <c r="T42" i="10"/>
  <c r="W42" i="10"/>
  <c r="U42" i="10"/>
  <c r="X42" i="10"/>
  <c r="S7" i="10"/>
  <c r="V7" i="10"/>
  <c r="T7" i="10"/>
  <c r="W7" i="10"/>
  <c r="U7" i="10"/>
  <c r="X7" i="10"/>
  <c r="S8" i="10"/>
  <c r="V8" i="10"/>
  <c r="T8" i="10"/>
  <c r="W8" i="10"/>
  <c r="U8" i="10"/>
  <c r="X8" i="10"/>
  <c r="S9" i="10"/>
  <c r="V9" i="10"/>
  <c r="T9" i="10"/>
  <c r="W9" i="10"/>
  <c r="U9" i="10"/>
  <c r="X9" i="10"/>
  <c r="J7" i="1"/>
  <c r="S10" i="10"/>
  <c r="V10" i="10"/>
  <c r="T10" i="10"/>
  <c r="W10" i="10"/>
  <c r="U10" i="10"/>
  <c r="X10" i="10"/>
  <c r="S11" i="10"/>
  <c r="V11" i="10"/>
  <c r="T11" i="10"/>
  <c r="W11" i="10"/>
  <c r="U11" i="10"/>
  <c r="X11" i="10"/>
  <c r="J9" i="1"/>
  <c r="S12" i="10"/>
  <c r="V12" i="10"/>
  <c r="T12" i="10"/>
  <c r="W12" i="10"/>
  <c r="U12" i="10"/>
  <c r="X12" i="10"/>
  <c r="S13" i="10"/>
  <c r="V13" i="10"/>
  <c r="T13" i="10"/>
  <c r="W13" i="10"/>
  <c r="U13" i="10"/>
  <c r="X13" i="10"/>
  <c r="S14" i="10"/>
  <c r="V14" i="10"/>
  <c r="T14" i="10"/>
  <c r="W14" i="10"/>
  <c r="U14" i="10"/>
  <c r="X14" i="10"/>
  <c r="J12" i="1"/>
  <c r="S15" i="10"/>
  <c r="V15" i="10"/>
  <c r="T15" i="10"/>
  <c r="W15" i="10"/>
  <c r="U15" i="10"/>
  <c r="X15" i="10"/>
  <c r="J13" i="1"/>
  <c r="S16" i="10"/>
  <c r="V16" i="10"/>
  <c r="T16" i="10"/>
  <c r="W16" i="10"/>
  <c r="U16" i="10"/>
  <c r="X16" i="10"/>
  <c r="J14" i="1"/>
  <c r="S17" i="10"/>
  <c r="V17" i="10"/>
  <c r="T17" i="10"/>
  <c r="W17" i="10"/>
  <c r="U17" i="10"/>
  <c r="X17" i="10"/>
  <c r="J15" i="1"/>
  <c r="S18" i="10"/>
  <c r="V18" i="10"/>
  <c r="T18" i="10"/>
  <c r="W18" i="10"/>
  <c r="U18" i="10"/>
  <c r="X18" i="10"/>
  <c r="S19" i="10"/>
  <c r="V19" i="10"/>
  <c r="T19" i="10"/>
  <c r="W19" i="10"/>
  <c r="U19" i="10"/>
  <c r="X19" i="10"/>
  <c r="J17" i="1"/>
  <c r="S20" i="10"/>
  <c r="V20" i="10"/>
  <c r="T20" i="10"/>
  <c r="W20" i="10"/>
  <c r="U20" i="10"/>
  <c r="X20" i="10"/>
  <c r="S21" i="10"/>
  <c r="V21" i="10"/>
  <c r="T21" i="10"/>
  <c r="W21" i="10"/>
  <c r="U21" i="10"/>
  <c r="X21" i="10"/>
  <c r="S22" i="10"/>
  <c r="V22" i="10"/>
  <c r="T22" i="10"/>
  <c r="W22" i="10"/>
  <c r="U22" i="10"/>
  <c r="X22" i="10"/>
  <c r="S23" i="10"/>
  <c r="V23" i="10"/>
  <c r="T23" i="10"/>
  <c r="W23" i="10"/>
  <c r="U23" i="10"/>
  <c r="X23" i="10"/>
  <c r="S24" i="10"/>
  <c r="V24" i="10"/>
  <c r="T24" i="10"/>
  <c r="W24" i="10"/>
  <c r="U24" i="10"/>
  <c r="X24" i="10"/>
  <c r="J22" i="1"/>
  <c r="V22" i="1"/>
  <c r="S25" i="10"/>
  <c r="V25" i="10"/>
  <c r="T25" i="10"/>
  <c r="W25" i="10"/>
  <c r="U25" i="10"/>
  <c r="X25" i="10"/>
  <c r="J23" i="1"/>
  <c r="S26" i="10"/>
  <c r="V26" i="10"/>
  <c r="T26" i="10"/>
  <c r="W26" i="10"/>
  <c r="U26" i="10"/>
  <c r="X26" i="10"/>
  <c r="S27" i="10"/>
  <c r="V27" i="10"/>
  <c r="T27" i="10"/>
  <c r="W27" i="10"/>
  <c r="U27" i="10"/>
  <c r="X27" i="10"/>
  <c r="S28" i="10"/>
  <c r="V28" i="10"/>
  <c r="T28" i="10"/>
  <c r="W28" i="10"/>
  <c r="U28" i="10"/>
  <c r="X28" i="10"/>
  <c r="J26" i="1"/>
  <c r="V26" i="1"/>
  <c r="S29" i="10"/>
  <c r="V29" i="10"/>
  <c r="T29" i="10"/>
  <c r="W29" i="10"/>
  <c r="U29" i="10"/>
  <c r="X29" i="10"/>
  <c r="S30" i="10"/>
  <c r="V30" i="10"/>
  <c r="T30" i="10"/>
  <c r="W30" i="10"/>
  <c r="U30" i="10"/>
  <c r="X30" i="10"/>
  <c r="S31" i="10"/>
  <c r="V31" i="10"/>
  <c r="T31" i="10"/>
  <c r="W31" i="10"/>
  <c r="U31" i="10"/>
  <c r="X31" i="10"/>
  <c r="S32" i="10"/>
  <c r="V32" i="10"/>
  <c r="T32" i="10"/>
  <c r="W32" i="10"/>
  <c r="U32" i="10"/>
  <c r="X32" i="10"/>
  <c r="J30" i="1"/>
  <c r="S33" i="10"/>
  <c r="V33" i="10"/>
  <c r="T33" i="10"/>
  <c r="W33" i="10"/>
  <c r="U33" i="10"/>
  <c r="X33" i="10"/>
  <c r="S34" i="10"/>
  <c r="V34" i="10"/>
  <c r="T34" i="10"/>
  <c r="W34" i="10"/>
  <c r="U34" i="10"/>
  <c r="X34" i="10"/>
  <c r="J32" i="1"/>
  <c r="S35" i="10"/>
  <c r="V35" i="10"/>
  <c r="T35" i="10"/>
  <c r="W35" i="10"/>
  <c r="U35" i="10"/>
  <c r="X35" i="10"/>
  <c r="S36" i="10"/>
  <c r="V36" i="10"/>
  <c r="T36" i="10"/>
  <c r="W36" i="10"/>
  <c r="U36" i="10"/>
  <c r="X36" i="10"/>
  <c r="S37" i="10"/>
  <c r="V37" i="10"/>
  <c r="T37" i="10"/>
  <c r="W37" i="10"/>
  <c r="U37" i="10"/>
  <c r="X37" i="10"/>
  <c r="S38" i="10"/>
  <c r="V38" i="10"/>
  <c r="T38" i="10"/>
  <c r="W38" i="10"/>
  <c r="U38" i="10"/>
  <c r="X38" i="10"/>
  <c r="S39" i="10"/>
  <c r="V39" i="10"/>
  <c r="T39" i="10"/>
  <c r="W39" i="10"/>
  <c r="U39" i="10"/>
  <c r="X39" i="10"/>
  <c r="S40" i="10"/>
  <c r="V40" i="10"/>
  <c r="T40" i="10"/>
  <c r="W40" i="10"/>
  <c r="U40" i="10"/>
  <c r="X40" i="10"/>
  <c r="S41" i="10"/>
  <c r="V41" i="10"/>
  <c r="T41" i="10"/>
  <c r="W41" i="10"/>
  <c r="U41" i="10"/>
  <c r="X41" i="10"/>
  <c r="U6" i="10"/>
  <c r="X6" i="10"/>
  <c r="G7" i="10"/>
  <c r="J7" i="10"/>
  <c r="H7" i="10"/>
  <c r="K7" i="10"/>
  <c r="I7" i="10"/>
  <c r="L7" i="10"/>
  <c r="H8" i="10"/>
  <c r="K8" i="10"/>
  <c r="I8" i="10"/>
  <c r="L8" i="10"/>
  <c r="H9" i="10"/>
  <c r="K9" i="10"/>
  <c r="E7" i="5"/>
  <c r="E7" i="30"/>
  <c r="I9" i="10"/>
  <c r="L9" i="10"/>
  <c r="G7" i="1"/>
  <c r="H10" i="10"/>
  <c r="K10" i="10"/>
  <c r="I10" i="10"/>
  <c r="L10" i="10"/>
  <c r="G8" i="1"/>
  <c r="V8" i="1"/>
  <c r="H11" i="10"/>
  <c r="K11" i="10"/>
  <c r="I11" i="10"/>
  <c r="L11" i="10"/>
  <c r="G9" i="1"/>
  <c r="I12" i="10"/>
  <c r="L12" i="10"/>
  <c r="G10" i="1"/>
  <c r="I13" i="10"/>
  <c r="L13" i="10"/>
  <c r="G11" i="1"/>
  <c r="G14" i="10"/>
  <c r="J14" i="10"/>
  <c r="H14" i="10"/>
  <c r="K14" i="10"/>
  <c r="I14" i="10"/>
  <c r="L14" i="10"/>
  <c r="H15" i="10"/>
  <c r="K15" i="10"/>
  <c r="I15" i="10"/>
  <c r="L15" i="10"/>
  <c r="G16" i="10"/>
  <c r="J16" i="10"/>
  <c r="H16" i="10"/>
  <c r="K16" i="10"/>
  <c r="I16" i="10"/>
  <c r="L16" i="10"/>
  <c r="G14" i="1"/>
  <c r="G17" i="10"/>
  <c r="J17" i="10"/>
  <c r="H17" i="10"/>
  <c r="K17" i="10"/>
  <c r="I17" i="10"/>
  <c r="L17" i="10"/>
  <c r="G18" i="10"/>
  <c r="J18" i="10"/>
  <c r="H18" i="10"/>
  <c r="K18" i="10"/>
  <c r="I18" i="10"/>
  <c r="L18" i="10"/>
  <c r="G19" i="10"/>
  <c r="J19" i="10"/>
  <c r="H19" i="10"/>
  <c r="K19" i="10"/>
  <c r="I19" i="10"/>
  <c r="L19" i="10"/>
  <c r="G17" i="1"/>
  <c r="H20" i="10"/>
  <c r="K20" i="10"/>
  <c r="I20" i="10"/>
  <c r="L20" i="10"/>
  <c r="H21" i="10"/>
  <c r="K21" i="10"/>
  <c r="I21" i="10"/>
  <c r="L21" i="10"/>
  <c r="G19" i="1"/>
  <c r="G22" i="10"/>
  <c r="J22" i="10"/>
  <c r="H22" i="10"/>
  <c r="K22" i="10"/>
  <c r="I22" i="10"/>
  <c r="L22" i="10"/>
  <c r="G20" i="1"/>
  <c r="G23" i="10"/>
  <c r="J23" i="10"/>
  <c r="H23" i="10"/>
  <c r="K23" i="10"/>
  <c r="I23" i="10"/>
  <c r="L23" i="10"/>
  <c r="G21" i="1"/>
  <c r="V21" i="1"/>
  <c r="H24" i="10"/>
  <c r="K24" i="10"/>
  <c r="I24" i="10"/>
  <c r="L24" i="10"/>
  <c r="G25" i="10"/>
  <c r="J25" i="10"/>
  <c r="H25" i="10"/>
  <c r="K25" i="10"/>
  <c r="I25" i="10"/>
  <c r="L25" i="10"/>
  <c r="G23" i="1"/>
  <c r="I26" i="10"/>
  <c r="L26" i="10"/>
  <c r="G24" i="1"/>
  <c r="G27" i="10"/>
  <c r="J27" i="10"/>
  <c r="H27" i="10"/>
  <c r="K27" i="10"/>
  <c r="I27" i="10"/>
  <c r="L27" i="10"/>
  <c r="H28" i="10"/>
  <c r="K28" i="10"/>
  <c r="G29" i="10"/>
  <c r="J29" i="10"/>
  <c r="H29" i="10"/>
  <c r="K29" i="10"/>
  <c r="I29" i="10"/>
  <c r="L29" i="10"/>
  <c r="H30" i="10"/>
  <c r="K30" i="10"/>
  <c r="I30" i="10"/>
  <c r="L30" i="10"/>
  <c r="G28" i="1"/>
  <c r="G31" i="10"/>
  <c r="J31" i="10"/>
  <c r="H31" i="10"/>
  <c r="K31" i="10"/>
  <c r="I31" i="10"/>
  <c r="L31" i="10"/>
  <c r="H32" i="10"/>
  <c r="K32" i="10"/>
  <c r="I32" i="10"/>
  <c r="L32" i="10"/>
  <c r="G30" i="1"/>
  <c r="G33" i="10"/>
  <c r="J33" i="10"/>
  <c r="H33" i="10"/>
  <c r="K33" i="10"/>
  <c r="I33" i="10"/>
  <c r="L33" i="10"/>
  <c r="H34" i="10"/>
  <c r="K34" i="10"/>
  <c r="I34" i="10"/>
  <c r="L34" i="10"/>
  <c r="G35" i="10"/>
  <c r="J35" i="10"/>
  <c r="H35" i="10"/>
  <c r="K35" i="10"/>
  <c r="I35" i="10"/>
  <c r="L35" i="10"/>
  <c r="G36" i="10"/>
  <c r="J36" i="10"/>
  <c r="H36" i="10"/>
  <c r="K36" i="10"/>
  <c r="I36" i="10"/>
  <c r="L36" i="10"/>
  <c r="G37" i="10"/>
  <c r="J37" i="10"/>
  <c r="H37" i="10"/>
  <c r="K37" i="10"/>
  <c r="I37" i="10"/>
  <c r="L37" i="10"/>
  <c r="G38" i="10"/>
  <c r="J38" i="10"/>
  <c r="H38" i="10"/>
  <c r="K38" i="10"/>
  <c r="I38" i="10"/>
  <c r="L38" i="10"/>
  <c r="G39" i="10"/>
  <c r="J39" i="10"/>
  <c r="H39" i="10"/>
  <c r="K39" i="10"/>
  <c r="I39" i="10"/>
  <c r="L39" i="10"/>
  <c r="G40" i="10"/>
  <c r="J40" i="10"/>
  <c r="H40" i="10"/>
  <c r="K40" i="10"/>
  <c r="I40" i="10"/>
  <c r="L40" i="10"/>
  <c r="G41" i="10"/>
  <c r="J41" i="10"/>
  <c r="H41" i="10"/>
  <c r="K41" i="10"/>
  <c r="I41" i="10"/>
  <c r="L41" i="10"/>
  <c r="G42" i="10"/>
  <c r="J42" i="10"/>
  <c r="H42" i="10"/>
  <c r="K42" i="10"/>
  <c r="I42" i="10"/>
  <c r="L42" i="10"/>
  <c r="I6" i="10"/>
  <c r="L6" i="10"/>
  <c r="I5" i="30"/>
  <c r="R5" i="30"/>
  <c r="J5" i="30"/>
  <c r="S5" i="30"/>
  <c r="K5" i="30"/>
  <c r="L5" i="30"/>
  <c r="M5" i="30"/>
  <c r="N5" i="30"/>
  <c r="O5" i="30"/>
  <c r="P5" i="30"/>
  <c r="Q5" i="30"/>
  <c r="T5" i="30"/>
  <c r="I6" i="30"/>
  <c r="R6" i="30"/>
  <c r="J6" i="30"/>
  <c r="S6" i="30"/>
  <c r="K6" i="30"/>
  <c r="T6" i="30"/>
  <c r="L6" i="30"/>
  <c r="M6" i="30"/>
  <c r="N6" i="30"/>
  <c r="O6" i="30"/>
  <c r="P6" i="30"/>
  <c r="Q6" i="30"/>
  <c r="I7" i="30"/>
  <c r="R7" i="30"/>
  <c r="J7" i="30"/>
  <c r="S7" i="30"/>
  <c r="K7" i="30"/>
  <c r="T7" i="30"/>
  <c r="L7" i="30"/>
  <c r="M7" i="30"/>
  <c r="N7" i="30"/>
  <c r="O7" i="30"/>
  <c r="P7" i="30"/>
  <c r="Q7" i="30"/>
  <c r="I8" i="30"/>
  <c r="J8" i="30"/>
  <c r="K8" i="30"/>
  <c r="L8" i="30"/>
  <c r="M8" i="30"/>
  <c r="N8" i="30"/>
  <c r="O8" i="30"/>
  <c r="P8" i="30"/>
  <c r="Q8" i="30"/>
  <c r="R8" i="30"/>
  <c r="S8" i="30"/>
  <c r="T8" i="30"/>
  <c r="I9" i="30"/>
  <c r="R9" i="30"/>
  <c r="J9" i="30"/>
  <c r="S9" i="30"/>
  <c r="K9" i="30"/>
  <c r="L9" i="30"/>
  <c r="M9" i="30"/>
  <c r="N9" i="30"/>
  <c r="O9" i="30"/>
  <c r="P9" i="30"/>
  <c r="Q9" i="30"/>
  <c r="T9" i="30"/>
  <c r="I10" i="30"/>
  <c r="R10" i="30"/>
  <c r="J10" i="30"/>
  <c r="S10" i="30"/>
  <c r="K10" i="30"/>
  <c r="T10" i="30"/>
  <c r="L10" i="30"/>
  <c r="M10" i="30"/>
  <c r="N10" i="30"/>
  <c r="O10" i="30"/>
  <c r="P10" i="30"/>
  <c r="Q10" i="30"/>
  <c r="I11" i="30"/>
  <c r="R11" i="30"/>
  <c r="J11" i="30"/>
  <c r="S11" i="30"/>
  <c r="K11" i="30"/>
  <c r="T11" i="30"/>
  <c r="L11" i="30"/>
  <c r="M11" i="30"/>
  <c r="N11" i="30"/>
  <c r="O11" i="30"/>
  <c r="P11" i="30"/>
  <c r="Q11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I13" i="30"/>
  <c r="R13" i="30"/>
  <c r="J13" i="30"/>
  <c r="S13" i="30"/>
  <c r="K13" i="30"/>
  <c r="L13" i="30"/>
  <c r="M13" i="30"/>
  <c r="N13" i="30"/>
  <c r="O13" i="30"/>
  <c r="P13" i="30"/>
  <c r="Q13" i="30"/>
  <c r="T13" i="30"/>
  <c r="I14" i="30"/>
  <c r="R14" i="30"/>
  <c r="J14" i="30"/>
  <c r="S14" i="30"/>
  <c r="K14" i="30"/>
  <c r="T14" i="30"/>
  <c r="L14" i="30"/>
  <c r="M14" i="30"/>
  <c r="N14" i="30"/>
  <c r="O14" i="30"/>
  <c r="P14" i="30"/>
  <c r="Q14" i="30"/>
  <c r="I15" i="30"/>
  <c r="R15" i="30"/>
  <c r="J15" i="30"/>
  <c r="S15" i="30"/>
  <c r="K15" i="30"/>
  <c r="T15" i="30"/>
  <c r="L15" i="30"/>
  <c r="M15" i="30"/>
  <c r="N15" i="30"/>
  <c r="O15" i="30"/>
  <c r="P15" i="30"/>
  <c r="Q15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I17" i="30"/>
  <c r="R17" i="30"/>
  <c r="J17" i="30"/>
  <c r="S17" i="30"/>
  <c r="K17" i="30"/>
  <c r="L17" i="30"/>
  <c r="M17" i="30"/>
  <c r="N17" i="30"/>
  <c r="O17" i="30"/>
  <c r="P17" i="30"/>
  <c r="Q17" i="30"/>
  <c r="T17" i="30"/>
  <c r="I18" i="30"/>
  <c r="R18" i="30"/>
  <c r="J18" i="30"/>
  <c r="S18" i="30"/>
  <c r="K18" i="30"/>
  <c r="T18" i="30"/>
  <c r="L18" i="30"/>
  <c r="M18" i="30"/>
  <c r="N18" i="30"/>
  <c r="O18" i="30"/>
  <c r="P18" i="30"/>
  <c r="Q18" i="30"/>
  <c r="I19" i="30"/>
  <c r="R19" i="30"/>
  <c r="J19" i="30"/>
  <c r="S19" i="30"/>
  <c r="K19" i="30"/>
  <c r="T19" i="30"/>
  <c r="L19" i="30"/>
  <c r="M19" i="30"/>
  <c r="N19" i="30"/>
  <c r="O19" i="30"/>
  <c r="P19" i="30"/>
  <c r="Q19" i="30"/>
  <c r="I20" i="30"/>
  <c r="J20" i="30"/>
  <c r="K20" i="30"/>
  <c r="L20" i="30"/>
  <c r="M20" i="30"/>
  <c r="N20" i="30"/>
  <c r="O20" i="30"/>
  <c r="P20" i="30"/>
  <c r="Q20" i="30"/>
  <c r="R20" i="30"/>
  <c r="S20" i="30"/>
  <c r="T20" i="30"/>
  <c r="I21" i="30"/>
  <c r="R21" i="30"/>
  <c r="J21" i="30"/>
  <c r="S21" i="30"/>
  <c r="K21" i="30"/>
  <c r="L21" i="30"/>
  <c r="M21" i="30"/>
  <c r="N21" i="30"/>
  <c r="O21" i="30"/>
  <c r="P21" i="30"/>
  <c r="Q21" i="30"/>
  <c r="T21" i="30"/>
  <c r="I22" i="30"/>
  <c r="R22" i="30"/>
  <c r="J22" i="30"/>
  <c r="S22" i="30"/>
  <c r="K22" i="30"/>
  <c r="T22" i="30"/>
  <c r="L22" i="30"/>
  <c r="M22" i="30"/>
  <c r="N22" i="30"/>
  <c r="O22" i="30"/>
  <c r="P22" i="30"/>
  <c r="Q22" i="30"/>
  <c r="I23" i="30"/>
  <c r="R23" i="30"/>
  <c r="J23" i="30"/>
  <c r="S23" i="30"/>
  <c r="K23" i="30"/>
  <c r="T23" i="30"/>
  <c r="L23" i="30"/>
  <c r="M23" i="30"/>
  <c r="N23" i="30"/>
  <c r="O23" i="30"/>
  <c r="P23" i="30"/>
  <c r="Q23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I25" i="30"/>
  <c r="R25" i="30"/>
  <c r="J25" i="30"/>
  <c r="K25" i="30"/>
  <c r="L25" i="30"/>
  <c r="M25" i="30"/>
  <c r="S25" i="30"/>
  <c r="N25" i="30"/>
  <c r="O25" i="30"/>
  <c r="P25" i="30"/>
  <c r="Q25" i="30"/>
  <c r="T25" i="30"/>
  <c r="I26" i="30"/>
  <c r="R26" i="30"/>
  <c r="J26" i="30"/>
  <c r="S26" i="30"/>
  <c r="K26" i="30"/>
  <c r="T26" i="30"/>
  <c r="L26" i="30"/>
  <c r="M26" i="30"/>
  <c r="N26" i="30"/>
  <c r="O26" i="30"/>
  <c r="P26" i="30"/>
  <c r="Q26" i="30"/>
  <c r="I27" i="30"/>
  <c r="R27" i="30"/>
  <c r="J27" i="30"/>
  <c r="S27" i="30"/>
  <c r="K27" i="30"/>
  <c r="L27" i="30"/>
  <c r="M27" i="30"/>
  <c r="N27" i="30"/>
  <c r="T27" i="30"/>
  <c r="O27" i="30"/>
  <c r="P27" i="30"/>
  <c r="Q27" i="30"/>
  <c r="I28" i="30"/>
  <c r="J28" i="30"/>
  <c r="K28" i="30"/>
  <c r="L28" i="30"/>
  <c r="M28" i="30"/>
  <c r="N28" i="30"/>
  <c r="O28" i="30"/>
  <c r="P28" i="30"/>
  <c r="Q28" i="30"/>
  <c r="R28" i="30"/>
  <c r="S28" i="30"/>
  <c r="T28" i="30"/>
  <c r="I29" i="30"/>
  <c r="R29" i="30"/>
  <c r="J29" i="30"/>
  <c r="S29" i="30"/>
  <c r="K29" i="30"/>
  <c r="L29" i="30"/>
  <c r="M29" i="30"/>
  <c r="N29" i="30"/>
  <c r="O29" i="30"/>
  <c r="P29" i="30"/>
  <c r="Q29" i="30"/>
  <c r="T29" i="30"/>
  <c r="I30" i="30"/>
  <c r="R30" i="30"/>
  <c r="J30" i="30"/>
  <c r="S30" i="30"/>
  <c r="K30" i="30"/>
  <c r="T30" i="30"/>
  <c r="L30" i="30"/>
  <c r="M30" i="30"/>
  <c r="N30" i="30"/>
  <c r="O30" i="30"/>
  <c r="P30" i="30"/>
  <c r="Q30" i="30"/>
  <c r="I31" i="30"/>
  <c r="R31" i="30"/>
  <c r="J31" i="30"/>
  <c r="S31" i="30"/>
  <c r="K31" i="30"/>
  <c r="L31" i="30"/>
  <c r="M31" i="30"/>
  <c r="N31" i="30"/>
  <c r="T31" i="30"/>
  <c r="O31" i="30"/>
  <c r="P31" i="30"/>
  <c r="Q31" i="30"/>
  <c r="I32" i="30"/>
  <c r="J32" i="30"/>
  <c r="K32" i="30"/>
  <c r="L32" i="30"/>
  <c r="M32" i="30"/>
  <c r="N32" i="30"/>
  <c r="O32" i="30"/>
  <c r="P32" i="30"/>
  <c r="Q32" i="30"/>
  <c r="R32" i="30"/>
  <c r="S32" i="30"/>
  <c r="T32" i="30"/>
  <c r="I33" i="30"/>
  <c r="R33" i="30"/>
  <c r="J33" i="30"/>
  <c r="S33" i="30"/>
  <c r="K33" i="30"/>
  <c r="L33" i="30"/>
  <c r="M33" i="30"/>
  <c r="N33" i="30"/>
  <c r="O33" i="30"/>
  <c r="P33" i="30"/>
  <c r="Q33" i="30"/>
  <c r="T33" i="30"/>
  <c r="I34" i="30"/>
  <c r="R34" i="30"/>
  <c r="J34" i="30"/>
  <c r="S34" i="30"/>
  <c r="K34" i="30"/>
  <c r="T34" i="30"/>
  <c r="L34" i="30"/>
  <c r="M34" i="30"/>
  <c r="N34" i="30"/>
  <c r="O34" i="30"/>
  <c r="P34" i="30"/>
  <c r="Q34" i="30"/>
  <c r="I35" i="30"/>
  <c r="R35" i="30"/>
  <c r="J35" i="30"/>
  <c r="S35" i="30"/>
  <c r="K35" i="30"/>
  <c r="L35" i="30"/>
  <c r="M35" i="30"/>
  <c r="N35" i="30"/>
  <c r="T35" i="30"/>
  <c r="O35" i="30"/>
  <c r="P35" i="30"/>
  <c r="Q35" i="30"/>
  <c r="I36" i="30"/>
  <c r="J36" i="30"/>
  <c r="K36" i="30"/>
  <c r="L36" i="30"/>
  <c r="M36" i="30"/>
  <c r="N36" i="30"/>
  <c r="O36" i="30"/>
  <c r="P36" i="30"/>
  <c r="Q36" i="30"/>
  <c r="R36" i="30"/>
  <c r="S36" i="30"/>
  <c r="T36" i="30"/>
  <c r="I37" i="30"/>
  <c r="R37" i="30"/>
  <c r="J37" i="30"/>
  <c r="S37" i="30"/>
  <c r="K37" i="30"/>
  <c r="L37" i="30"/>
  <c r="M37" i="30"/>
  <c r="N37" i="30"/>
  <c r="O37" i="30"/>
  <c r="P37" i="30"/>
  <c r="Q37" i="30"/>
  <c r="T37" i="30"/>
  <c r="I38" i="30"/>
  <c r="R38" i="30"/>
  <c r="J38" i="30"/>
  <c r="S38" i="30"/>
  <c r="K38" i="30"/>
  <c r="T38" i="30"/>
  <c r="L38" i="30"/>
  <c r="M38" i="30"/>
  <c r="N38" i="30"/>
  <c r="O38" i="30"/>
  <c r="P38" i="30"/>
  <c r="Q38" i="30"/>
  <c r="I39" i="30"/>
  <c r="R39" i="30"/>
  <c r="J39" i="30"/>
  <c r="S39" i="30"/>
  <c r="K39" i="30"/>
  <c r="L39" i="30"/>
  <c r="M39" i="30"/>
  <c r="N39" i="30"/>
  <c r="T39" i="30"/>
  <c r="O39" i="30"/>
  <c r="P39" i="30"/>
  <c r="Q39" i="30"/>
  <c r="I40" i="30"/>
  <c r="J40" i="30"/>
  <c r="K40" i="30"/>
  <c r="L40" i="30"/>
  <c r="M40" i="30"/>
  <c r="N40" i="30"/>
  <c r="O40" i="30"/>
  <c r="P40" i="30"/>
  <c r="Q40" i="30"/>
  <c r="R40" i="30"/>
  <c r="S40" i="30"/>
  <c r="T40" i="30"/>
  <c r="S4" i="30"/>
  <c r="T4" i="30"/>
  <c r="P4" i="30"/>
  <c r="BD6" i="10"/>
  <c r="Q4" i="30"/>
  <c r="N4" i="30"/>
  <c r="K4" i="30"/>
  <c r="F5" i="30"/>
  <c r="G5" i="30"/>
  <c r="H5" i="30"/>
  <c r="F6" i="30"/>
  <c r="G6" i="30"/>
  <c r="H6" i="30"/>
  <c r="F7" i="30"/>
  <c r="G7" i="30"/>
  <c r="H7" i="30"/>
  <c r="F8" i="30"/>
  <c r="G8" i="30"/>
  <c r="H8" i="30"/>
  <c r="F9" i="30"/>
  <c r="G9" i="30"/>
  <c r="H9" i="30"/>
  <c r="F10" i="30"/>
  <c r="G10" i="30"/>
  <c r="H10" i="30"/>
  <c r="F11" i="30"/>
  <c r="G11" i="30"/>
  <c r="H11" i="30"/>
  <c r="F12" i="30"/>
  <c r="G12" i="30"/>
  <c r="H12" i="30"/>
  <c r="F13" i="30"/>
  <c r="G13" i="30"/>
  <c r="H13" i="30"/>
  <c r="F14" i="30"/>
  <c r="G14" i="30"/>
  <c r="H14" i="30"/>
  <c r="F15" i="30"/>
  <c r="G15" i="30"/>
  <c r="H15" i="30"/>
  <c r="F16" i="30"/>
  <c r="G16" i="30"/>
  <c r="H16" i="30"/>
  <c r="F17" i="30"/>
  <c r="G17" i="30"/>
  <c r="H17" i="30"/>
  <c r="F18" i="30"/>
  <c r="G18" i="30"/>
  <c r="H18" i="30"/>
  <c r="F19" i="30"/>
  <c r="G19" i="30"/>
  <c r="H19" i="30"/>
  <c r="F20" i="30"/>
  <c r="G20" i="30"/>
  <c r="H20" i="30"/>
  <c r="F21" i="30"/>
  <c r="G21" i="30"/>
  <c r="H21" i="30"/>
  <c r="F22" i="30"/>
  <c r="G22" i="30"/>
  <c r="H22" i="30"/>
  <c r="F23" i="30"/>
  <c r="G23" i="30"/>
  <c r="H23" i="30"/>
  <c r="F24" i="30"/>
  <c r="G24" i="30"/>
  <c r="H24" i="30"/>
  <c r="F25" i="30"/>
  <c r="G25" i="30"/>
  <c r="H25" i="30"/>
  <c r="F26" i="30"/>
  <c r="G26" i="30"/>
  <c r="H26" i="30"/>
  <c r="F27" i="30"/>
  <c r="G27" i="30"/>
  <c r="H27" i="30"/>
  <c r="F28" i="30"/>
  <c r="G28" i="30"/>
  <c r="H28" i="30"/>
  <c r="F29" i="30"/>
  <c r="G29" i="30"/>
  <c r="H29" i="30"/>
  <c r="F30" i="30"/>
  <c r="G30" i="30"/>
  <c r="H30" i="30"/>
  <c r="F31" i="30"/>
  <c r="G31" i="30"/>
  <c r="H31" i="30"/>
  <c r="F32" i="30"/>
  <c r="G32" i="30"/>
  <c r="H32" i="30"/>
  <c r="F33" i="30"/>
  <c r="G33" i="30"/>
  <c r="H33" i="30"/>
  <c r="F34" i="30"/>
  <c r="G34" i="30"/>
  <c r="H34" i="30"/>
  <c r="F35" i="30"/>
  <c r="G35" i="30"/>
  <c r="H35" i="30"/>
  <c r="F36" i="30"/>
  <c r="G36" i="30"/>
  <c r="H36" i="30"/>
  <c r="F37" i="30"/>
  <c r="G37" i="30"/>
  <c r="H37" i="30"/>
  <c r="F38" i="30"/>
  <c r="G38" i="30"/>
  <c r="H38" i="30"/>
  <c r="F39" i="30"/>
  <c r="G39" i="30"/>
  <c r="H39" i="30"/>
  <c r="F40" i="30"/>
  <c r="G40" i="30"/>
  <c r="H40" i="30"/>
  <c r="H4" i="30"/>
  <c r="C40" i="30"/>
  <c r="D40" i="30"/>
  <c r="E40" i="30"/>
  <c r="C5" i="30"/>
  <c r="D5" i="30"/>
  <c r="E5" i="30"/>
  <c r="D6" i="30"/>
  <c r="E6" i="30"/>
  <c r="D7" i="30"/>
  <c r="D8" i="30"/>
  <c r="E8" i="30"/>
  <c r="D9" i="30"/>
  <c r="E9" i="30"/>
  <c r="E10" i="30"/>
  <c r="E11" i="30"/>
  <c r="C12" i="30"/>
  <c r="D12" i="30"/>
  <c r="E12" i="30"/>
  <c r="D13" i="30"/>
  <c r="E13" i="30"/>
  <c r="C14" i="30"/>
  <c r="D14" i="30"/>
  <c r="E14" i="30"/>
  <c r="C15" i="30"/>
  <c r="D15" i="30"/>
  <c r="E15" i="30"/>
  <c r="C16" i="30"/>
  <c r="D16" i="30"/>
  <c r="E16" i="30"/>
  <c r="C17" i="30"/>
  <c r="D17" i="30"/>
  <c r="E17" i="30"/>
  <c r="D18" i="30"/>
  <c r="E18" i="30"/>
  <c r="D19" i="30"/>
  <c r="E19" i="30"/>
  <c r="C20" i="30"/>
  <c r="D20" i="30"/>
  <c r="E20" i="30"/>
  <c r="C21" i="30"/>
  <c r="D21" i="30"/>
  <c r="E21" i="30"/>
  <c r="D22" i="30"/>
  <c r="E22" i="30"/>
  <c r="C23" i="30"/>
  <c r="D23" i="30"/>
  <c r="E23" i="30"/>
  <c r="E24" i="30"/>
  <c r="C25" i="30"/>
  <c r="D25" i="30"/>
  <c r="E25" i="30"/>
  <c r="D26" i="30"/>
  <c r="C27" i="30"/>
  <c r="D27" i="30"/>
  <c r="E27" i="30"/>
  <c r="D28" i="30"/>
  <c r="E28" i="30"/>
  <c r="C29" i="30"/>
  <c r="D29" i="30"/>
  <c r="E29" i="30"/>
  <c r="D30" i="30"/>
  <c r="E30" i="30"/>
  <c r="C31" i="30"/>
  <c r="D31" i="30"/>
  <c r="E31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D4" i="30"/>
  <c r="E4" i="30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W41" i="8"/>
  <c r="T41" i="8"/>
  <c r="Q41" i="8"/>
  <c r="N41" i="8"/>
  <c r="K41" i="8"/>
  <c r="H41" i="8"/>
  <c r="G41" i="8"/>
  <c r="I41" i="8"/>
  <c r="J41" i="8"/>
  <c r="L41" i="8"/>
  <c r="M41" i="8"/>
  <c r="O41" i="8"/>
  <c r="P41" i="8"/>
  <c r="R41" i="8"/>
  <c r="S41" i="8"/>
  <c r="U41" i="8"/>
  <c r="V41" i="8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D4" i="9"/>
  <c r="G4" i="30"/>
  <c r="T6" i="10"/>
  <c r="E4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C5" i="5"/>
  <c r="D5" i="5"/>
  <c r="E5" i="5"/>
  <c r="D6" i="5"/>
  <c r="E6" i="5"/>
  <c r="D7" i="5"/>
  <c r="D8" i="5"/>
  <c r="E8" i="5"/>
  <c r="D9" i="5"/>
  <c r="E9" i="5"/>
  <c r="E10" i="5"/>
  <c r="E11" i="5"/>
  <c r="C12" i="5"/>
  <c r="D12" i="5"/>
  <c r="E12" i="5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D18" i="5"/>
  <c r="E18" i="5"/>
  <c r="D19" i="5"/>
  <c r="E19" i="5"/>
  <c r="C20" i="5"/>
  <c r="D20" i="5"/>
  <c r="E20" i="5"/>
  <c r="C21" i="5"/>
  <c r="D21" i="5"/>
  <c r="E21" i="5"/>
  <c r="D22" i="5"/>
  <c r="E22" i="5"/>
  <c r="C23" i="5"/>
  <c r="D23" i="5"/>
  <c r="E23" i="5"/>
  <c r="E24" i="5"/>
  <c r="C25" i="5"/>
  <c r="D25" i="5"/>
  <c r="E25" i="5"/>
  <c r="D26" i="5"/>
  <c r="C27" i="5"/>
  <c r="D27" i="5"/>
  <c r="E27" i="5"/>
  <c r="D28" i="5"/>
  <c r="E28" i="5"/>
  <c r="C29" i="5"/>
  <c r="D29" i="5"/>
  <c r="E29" i="5"/>
  <c r="D30" i="5"/>
  <c r="E30" i="5"/>
  <c r="C31" i="5"/>
  <c r="D31" i="5"/>
  <c r="E31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D4" i="5"/>
  <c r="E4" i="5"/>
  <c r="DO41" i="5"/>
  <c r="DN41" i="5"/>
  <c r="DM41" i="5"/>
  <c r="DL41" i="5"/>
  <c r="DK41" i="5"/>
  <c r="DJ41" i="5"/>
  <c r="DI41" i="5"/>
  <c r="DH41" i="5"/>
  <c r="DG41" i="5"/>
  <c r="DF41" i="5"/>
  <c r="DE41" i="5"/>
  <c r="DD41" i="5"/>
  <c r="DC41" i="5"/>
  <c r="DB41" i="5"/>
  <c r="DA41" i="5"/>
  <c r="CZ41" i="5"/>
  <c r="CY41" i="5"/>
  <c r="CX41" i="5"/>
  <c r="CW41" i="5"/>
  <c r="CV41" i="5"/>
  <c r="CU41" i="5"/>
  <c r="CT41" i="5"/>
  <c r="CS41" i="5"/>
  <c r="CR41" i="5"/>
  <c r="CQ41" i="5"/>
  <c r="CP41" i="5"/>
  <c r="CO41" i="5"/>
  <c r="CN41" i="5"/>
  <c r="CM41" i="5"/>
  <c r="CL41" i="5"/>
  <c r="CK41" i="5"/>
  <c r="CJ41" i="5"/>
  <c r="CI41" i="5"/>
  <c r="CH41" i="5"/>
  <c r="CG41" i="5"/>
  <c r="CF41" i="5"/>
  <c r="CE41" i="5"/>
  <c r="CD41" i="5"/>
  <c r="CC41" i="5"/>
  <c r="CB41" i="5"/>
  <c r="CA41" i="5"/>
  <c r="BZ41" i="5"/>
  <c r="BY41" i="5"/>
  <c r="BX41" i="5"/>
  <c r="BW41" i="5"/>
  <c r="BV41" i="5"/>
  <c r="BU41" i="5"/>
  <c r="BT41" i="5"/>
  <c r="BS41" i="5"/>
  <c r="BR41" i="5"/>
  <c r="BQ41" i="5"/>
  <c r="BP41" i="5"/>
  <c r="BO41" i="5"/>
  <c r="BN41" i="5"/>
  <c r="BM41" i="5"/>
  <c r="BL41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5" i="8"/>
  <c r="D25" i="8"/>
  <c r="C26" i="8"/>
  <c r="D26" i="8"/>
  <c r="C27" i="8"/>
  <c r="D27" i="8"/>
  <c r="C28" i="8"/>
  <c r="D28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O4" i="30"/>
  <c r="BC6" i="10"/>
  <c r="E3" i="4"/>
  <c r="F41" i="8"/>
  <c r="C4" i="9"/>
  <c r="F4" i="30"/>
  <c r="S6" i="10"/>
  <c r="F41" i="9"/>
  <c r="G41" i="5"/>
  <c r="F41" i="5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V32" i="1"/>
  <c r="V30" i="1"/>
  <c r="V28" i="1"/>
  <c r="V24" i="1"/>
  <c r="V23" i="1"/>
  <c r="V20" i="1"/>
  <c r="V19" i="1"/>
  <c r="V17" i="1"/>
  <c r="V15" i="1"/>
  <c r="V14" i="1"/>
  <c r="V13" i="1"/>
  <c r="V12" i="1"/>
  <c r="V11" i="1"/>
  <c r="V10" i="1"/>
  <c r="V9" i="1"/>
  <c r="V7" i="1"/>
  <c r="V5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/>
  <c r="J30" i="4"/>
  <c r="D113" i="21"/>
  <c r="Y84" i="21"/>
  <c r="G112" i="21"/>
  <c r="F112" i="21"/>
  <c r="E112" i="21"/>
  <c r="D112" i="21"/>
  <c r="J112" i="21"/>
  <c r="AA84" i="21"/>
  <c r="Z84" i="21"/>
  <c r="BF6" i="10"/>
  <c r="BG6" i="10"/>
  <c r="L4" i="30"/>
  <c r="AQ6" i="10"/>
  <c r="M4" i="30"/>
  <c r="AR6" i="10"/>
  <c r="C4" i="8"/>
  <c r="I4" i="30"/>
  <c r="AE6" i="10"/>
  <c r="D4" i="8"/>
  <c r="J4" i="30"/>
  <c r="AF6" i="10"/>
  <c r="H6" i="10"/>
  <c r="E45" i="21"/>
  <c r="J111" i="21"/>
  <c r="F45" i="21"/>
  <c r="R4" i="30"/>
  <c r="J110" i="21"/>
  <c r="G45" i="21"/>
  <c r="AT6" i="10"/>
  <c r="AU6" i="10"/>
  <c r="K6" i="10"/>
  <c r="V6" i="10"/>
  <c r="W6" i="10"/>
  <c r="AH6" i="10"/>
  <c r="AI6" i="10"/>
  <c r="L30" i="4"/>
  <c r="L32" i="4"/>
  <c r="L31" i="4"/>
  <c r="L29" i="4"/>
  <c r="L28" i="4"/>
  <c r="E31" i="4"/>
  <c r="E30" i="4"/>
  <c r="E29" i="4"/>
  <c r="E28" i="4"/>
  <c r="L24" i="4"/>
  <c r="L25" i="4"/>
  <c r="L26" i="4"/>
  <c r="J109" i="21"/>
  <c r="H45" i="21"/>
  <c r="J108" i="21"/>
  <c r="AA83" i="21"/>
  <c r="Z83" i="21"/>
  <c r="Y83" i="21"/>
  <c r="AA82" i="21"/>
  <c r="Z82" i="21"/>
  <c r="Y82" i="21"/>
  <c r="AA81" i="21"/>
  <c r="Z81" i="21"/>
  <c r="Y81" i="21"/>
  <c r="AC83" i="21"/>
  <c r="AE81" i="21"/>
  <c r="AD82" i="21"/>
  <c r="AD81" i="21"/>
  <c r="AE82" i="21"/>
  <c r="AC81" i="21"/>
  <c r="AD83" i="21"/>
  <c r="AE83" i="21"/>
  <c r="AC82" i="21"/>
  <c r="AD84" i="21"/>
  <c r="AC84" i="21"/>
  <c r="AE84" i="21"/>
  <c r="I45" i="21"/>
  <c r="J107" i="21"/>
  <c r="J106" i="21"/>
  <c r="J45" i="21"/>
  <c r="J105" i="2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/>
  <c r="L27" i="4"/>
  <c r="L23" i="4"/>
  <c r="E27" i="4"/>
  <c r="E26" i="4"/>
  <c r="E25" i="4"/>
  <c r="E24" i="4"/>
  <c r="E23" i="4"/>
  <c r="E12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/>
  <c r="L18" i="4"/>
</calcChain>
</file>

<file path=xl/sharedStrings.xml><?xml version="1.0" encoding="utf-8"?>
<sst xmlns="http://schemas.openxmlformats.org/spreadsheetml/2006/main" count="2220" uniqueCount="435">
  <si>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</si>
  <si>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</si>
  <si>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</si>
  <si>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</si>
  <si>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</si>
  <si>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</si>
  <si>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</si>
  <si>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</si>
  <si>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</si>
  <si>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</si>
  <si>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</si>
  <si>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</si>
  <si>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</si>
  <si>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</si>
  <si>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</si>
  <si>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</si>
  <si>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</si>
  <si>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</si>
  <si>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</si>
  <si>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</si>
  <si>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</si>
  <si>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</si>
  <si>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</si>
  <si>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</si>
  <si>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</si>
  <si>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</si>
  <si>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</si>
  <si>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</si>
  <si>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</si>
  <si>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</si>
  <si>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</si>
  <si>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</si>
  <si>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</si>
  <si>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</si>
  <si>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</si>
  <si>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</si>
  <si>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</si>
  <si>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</si>
  <si>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</si>
  <si>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</si>
  <si>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</si>
  <si>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</si>
  <si>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</si>
  <si>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</si>
  <si>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</si>
  <si>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</si>
  <si>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</si>
  <si>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</si>
  <si>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</si>
  <si>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</si>
  <si>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</si>
  <si>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</si>
  <si>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</si>
  <si>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</si>
  <si>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</si>
  <si>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</si>
  <si>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</si>
  <si>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</si>
  <si>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</si>
  <si>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</si>
  <si>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</si>
  <si>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</si>
  <si>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</si>
  <si>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</si>
  <si>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</si>
  <si>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</si>
  <si>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</si>
  <si>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</si>
  <si>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</si>
  <si>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</si>
  <si>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</si>
  <si>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</si>
  <si>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</si>
  <si>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</si>
  <si>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</si>
  <si>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</si>
  <si>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</si>
  <si>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</si>
  <si>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</si>
  <si>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</si>
  <si>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</si>
  <si>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</si>
  <si>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</si>
  <si>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</si>
  <si>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</si>
  <si>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</si>
  <si>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</si>
  <si>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</si>
  <si>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</si>
  <si>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</si>
  <si>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</si>
  <si>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</si>
  <si>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</si>
  <si>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</si>
  <si>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</si>
  <si>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</si>
  <si>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</si>
  <si>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</si>
  <si>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</si>
  <si>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</si>
  <si>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</si>
  <si>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</si>
  <si>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</si>
  <si>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</si>
  <si>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</si>
  <si>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</si>
  <si>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</si>
  <si>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</si>
  <si>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</si>
  <si>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</si>
  <si>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</si>
  <si>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</si>
  <si>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</si>
  <si>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</si>
  <si>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</si>
  <si>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</si>
  <si>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</si>
  <si>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</si>
  <si>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</si>
  <si>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</si>
  <si>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</si>
  <si>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</si>
  <si>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</si>
  <si>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</si>
  <si>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</si>
  <si>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</si>
  <si>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</si>
  <si>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</si>
  <si>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</si>
  <si>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</si>
  <si>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</si>
  <si>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</si>
  <si>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</si>
  <si>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</si>
  <si>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</si>
  <si>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</si>
  <si>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</si>
  <si>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</si>
  <si>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</si>
  <si>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</si>
  <si>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</si>
  <si>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</si>
  <si>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</si>
  <si>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</si>
  <si>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</si>
  <si>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</si>
  <si>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</si>
  <si>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</si>
  <si>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</si>
  <si>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</si>
  <si>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</si>
  <si>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</si>
  <si>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</si>
  <si>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</si>
  <si>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</si>
  <si>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</si>
  <si>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</si>
  <si>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</si>
  <si>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</si>
  <si>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</si>
  <si>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</si>
  <si>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</si>
  <si>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</si>
  <si>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</si>
  <si>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</si>
  <si>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</si>
  <si>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</si>
  <si>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</si>
  <si>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</si>
  <si>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</si>
  <si>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</si>
  <si>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</si>
  <si>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</si>
  <si>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</si>
  <si>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</si>
  <si>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</si>
  <si>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</si>
  <si>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</si>
  <si>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</si>
  <si>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</si>
  <si>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</si>
  <si>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</si>
  <si>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</si>
  <si>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</si>
  <si>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</si>
  <si>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</si>
  <si>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</si>
  <si>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</si>
  <si>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</si>
  <si>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</si>
  <si>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</si>
  <si>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</si>
  <si>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</si>
  <si>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</si>
  <si>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</si>
  <si>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</si>
  <si>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</si>
  <si>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</si>
  <si>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</si>
  <si>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</si>
  <si>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</si>
  <si>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</si>
  <si>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</si>
  <si>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</si>
  <si>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</si>
  <si>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</si>
  <si>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</si>
  <si>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</si>
  <si>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</si>
  <si>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</si>
  <si>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</si>
  <si>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</si>
  <si>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</si>
  <si>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</si>
  <si>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</si>
  <si>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</si>
  <si>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</si>
  <si>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</si>
  <si>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</si>
  <si>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</si>
  <si>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</si>
  <si>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</si>
  <si>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</si>
  <si>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</si>
  <si>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</si>
  <si>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</si>
  <si>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</si>
  <si>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</si>
  <si>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</si>
  <si>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</si>
  <si>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</si>
  <si>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</si>
  <si>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</si>
  <si>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</si>
  <si>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</si>
  <si>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</si>
  <si>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</si>
  <si>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</si>
  <si>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</si>
  <si>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</si>
  <si>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</si>
  <si>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</si>
  <si>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</si>
  <si>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</si>
  <si>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</si>
  <si>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</si>
  <si>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</si>
  <si>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</si>
  <si>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</si>
  <si>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</si>
  <si>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</si>
  <si>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</si>
  <si>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</si>
  <si>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</si>
  <si>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</si>
  <si>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</si>
  <si>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</si>
  <si>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</si>
  <si>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</si>
  <si>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</si>
  <si>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</si>
  <si>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</si>
  <si>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</si>
  <si>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</si>
  <si>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</si>
  <si>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</si>
  <si>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</si>
  <si>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</si>
  <si>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</si>
  <si>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</si>
  <si>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</si>
  <si>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</si>
  <si>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</si>
  <si>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</si>
  <si>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</si>
  <si>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</si>
  <si>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</si>
  <si>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</si>
  <si>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</si>
  <si>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</si>
  <si>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</si>
  <si>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</si>
  <si>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</si>
  <si>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</si>
  <si>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</si>
  <si>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</si>
  <si>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</si>
  <si>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</si>
  <si>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</si>
  <si>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</si>
  <si>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</si>
  <si>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</si>
  <si>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</si>
  <si>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</si>
  <si>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</si>
  <si>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</si>
  <si>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</si>
  <si>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</si>
  <si>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</si>
  <si>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</si>
  <si>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</si>
  <si>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</si>
  <si>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</si>
  <si>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</si>
  <si>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</si>
  <si>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</si>
  <si>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</si>
  <si>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</si>
  <si>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</si>
  <si>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</si>
  <si>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</si>
  <si>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</si>
  <si>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</si>
  <si>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</si>
  <si>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</si>
  <si>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</si>
  <si>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</si>
  <si>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</si>
  <si>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</si>
  <si>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</si>
  <si>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</si>
  <si>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</si>
  <si>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</si>
  <si>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</si>
  <si>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</si>
  <si>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</si>
  <si>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</si>
  <si>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</si>
  <si>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</si>
  <si>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</si>
  <si>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</si>
  <si>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</si>
  <si>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</si>
  <si>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</si>
  <si>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</si>
  <si>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</si>
  <si>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</si>
  <si>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</si>
  <si>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</si>
  <si>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</si>
  <si>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</si>
  <si>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</si>
  <si>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</si>
  <si>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</si>
  <si>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</si>
  <si>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</si>
  <si>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</si>
  <si>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</si>
  <si>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</si>
  <si>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</si>
  <si>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</si>
  <si>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</si>
  <si>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</si>
  <si>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</si>
  <si>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</si>
  <si>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</si>
  <si>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</si>
  <si>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</si>
  <si>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</si>
  <si>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</si>
  <si>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</si>
  <si>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</si>
  <si>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</si>
  <si>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</si>
  <si>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</si>
  <si>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</si>
  <si>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</si>
  <si>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</si>
  <si>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</si>
  <si>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</si>
  <si>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</si>
  <si>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</si>
  <si>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</si>
  <si>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</si>
  <si>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</si>
  <si>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</si>
  <si>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</si>
  <si>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</si>
  <si>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</si>
  <si>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</si>
  <si>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</si>
  <si>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</si>
  <si>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</si>
  <si>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</si>
  <si>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</si>
  <si>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</si>
  <si>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</si>
  <si>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</si>
  <si>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</si>
  <si>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</si>
  <si>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</si>
  <si>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</si>
  <si>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</si>
  <si>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</si>
  <si>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</si>
  <si>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</si>
  <si>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</si>
  <si>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</si>
  <si>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</si>
  <si>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</si>
  <si>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</si>
  <si>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</si>
  <si>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</si>
  <si>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</si>
  <si>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</si>
  <si>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</si>
  <si>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</si>
  <si>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</si>
  <si>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</si>
  <si>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</si>
  <si>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</si>
  <si>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</si>
  <si>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</si>
  <si>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</si>
  <si>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</si>
  <si>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</si>
  <si>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</si>
  <si>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</si>
  <si>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</si>
  <si>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</si>
  <si>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</si>
  <si>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</si>
  <si>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</si>
  <si>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</si>
  <si>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</si>
  <si>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</si>
  <si>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</si>
  <si>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</si>
  <si>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</si>
  <si>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</si>
  <si>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</si>
  <si>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</si>
  <si>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</si>
  <si>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</si>
  <si>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Villa Park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</si>
</sst>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5" fillId="7" borderId="61" xfId="3" applyBorder="1" applyAlignment="1">
      <alignment horizontal="center"/>
    </xf>
    <xf numFmtId="0" fontId="5" fillId="7" borderId="62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3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Dane wejściowe" xfId="4" builtinId="20"/>
    <cellStyle name="Dobry" xfId="1" builtinId="26"/>
    <cellStyle name="Komórka zaznaczona" xfId="5" builtinId="23"/>
    <cellStyle name="Neutralny" xfId="3" builtinId="28"/>
    <cellStyle name="Normalny" xfId="0" builtinId="0"/>
    <cellStyle name="Uwaga" xfId="6" builtinId="10"/>
    <cellStyle name="Zły" xfId="2" builtinId="27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2"/>
                <c:pt idx="0">
                  <c:v>App</c:v>
                </c:pt>
                <c:pt idx="1">
                  <c:v>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CC769B0-4046-7248-97C6-2622392E7FF5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CFA9517-E27F-454A-A28F-131B73454C65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E8AEFCB-99EA-E042-BBE2-9DE7CC42885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ACA7107-0A93-9340-AA34-D48ECE554CB5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47353AE-80A4-524F-8B6B-7AAD6AB78CD5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99F5321-CD99-9B4B-BDAC-5F3A71410097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874EF2A-F445-CA44-8CDD-48881229489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32F85D1-9D89-BA49-B093-E2DE88896E3A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467C4CE-DEE0-6440-934A-FF876CD5D4A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2F05007-14AA-5E46-9A2C-9179B1131751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45C9DAF-2F7C-F844-94EF-9B9119C379D4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F7EC591-49B1-4947-AF89-99A9A639251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CB587B3-138B-4E48-86C7-ACA709BC24AE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[ZAKRES KOMÓREK]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E5CD9A7-4B82-324F-9423-8B46E9DB0B6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1468ABA-0140-2F43-8CF7-36824701D4E1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9AAF827-486E-6F4A-82AF-3F15C0C64416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C600898-9C33-F848-BFF9-A49D678ABCB2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269EE3D-EC66-7148-9B1C-D41937AE5715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31EFB76-B5FD-BF42-9137-AA10BFB92668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FBC25A9-DE50-1345-9CF0-C8AEBE99896C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Goals'!$T$7:$T$27</c:f>
              <c:numCache>
                <c:formatCode>General</c:formatCode>
                <c:ptCount val="21"/>
                <c:pt idx="0">
                  <c:v>192</c:v>
                </c:pt>
                <c:pt idx="1">
                  <c:v>41</c:v>
                </c:pt>
                <c:pt idx="2">
                  <c:v>263</c:v>
                </c:pt>
                <c:pt idx="3">
                  <c:v>314</c:v>
                </c:pt>
                <c:pt idx="4">
                  <c:v>236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2</c:v>
                </c:pt>
                <c:pt idx="12">
                  <c:v>44</c:v>
                </c:pt>
                <c:pt idx="13">
                  <c:v>49</c:v>
                </c:pt>
                <c:pt idx="14">
                  <c:v>51</c:v>
                </c:pt>
                <c:pt idx="15">
                  <c:v>79</c:v>
                </c:pt>
                <c:pt idx="16">
                  <c:v>90</c:v>
                </c:pt>
                <c:pt idx="17">
                  <c:v>113</c:v>
                </c:pt>
                <c:pt idx="18">
                  <c:v>0</c:v>
                </c:pt>
                <c:pt idx="19">
                  <c:v>67</c:v>
                </c:pt>
                <c:pt idx="20">
                  <c:v>2</c:v>
                </c:pt>
              </c:numCache>
            </c:numRef>
          </c:xVal>
          <c:yVal>
            <c:numRef>
              <c:f>'Apps &amp; Goals'!$U$7:$U$27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82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38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82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38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75" defaultRowHeight="15" x14ac:dyDescent="0.2"/>
  <cols>
    <col min="1" max="1" width="2.95703125" bestFit="1" customWidth="1"/>
    <col min="2" max="2" width="26.23046875" bestFit="1" customWidth="1"/>
    <col min="3" max="3" width="5.37890625" bestFit="1" customWidth="1"/>
    <col min="4" max="4" width="6.05078125" bestFit="1" customWidth="1"/>
    <col min="5" max="5" width="5.37890625" bestFit="1" customWidth="1"/>
    <col min="6" max="6" width="6.05078125" bestFit="1" customWidth="1"/>
    <col min="7" max="7" width="5.91796875" bestFit="1" customWidth="1"/>
    <col min="8" max="8" width="6.05078125" bestFit="1" customWidth="1"/>
    <col min="9" max="9" width="5.37890625" bestFit="1" customWidth="1"/>
    <col min="10" max="10" width="6.05078125" bestFit="1" customWidth="1"/>
    <col min="11" max="11" width="5.37890625" bestFit="1" customWidth="1"/>
    <col min="12" max="12" width="6.05078125" bestFit="1" customWidth="1"/>
    <col min="13" max="13" width="5.37890625" bestFit="1" customWidth="1"/>
    <col min="14" max="14" width="6.05078125" bestFit="1" customWidth="1"/>
  </cols>
  <sheetData>
    <row r="1" spans="1:14" x14ac:dyDescent="0.2">
      <c r="A1" s="3"/>
      <c r="B1" s="5"/>
      <c r="C1" s="200" t="s">
        <v>4</v>
      </c>
      <c r="D1" s="200"/>
      <c r="E1" s="201" t="s">
        <v>120</v>
      </c>
      <c r="F1" s="201"/>
      <c r="G1" s="200" t="s">
        <v>108</v>
      </c>
      <c r="H1" s="200"/>
      <c r="I1" s="201" t="s">
        <v>110</v>
      </c>
      <c r="J1" s="201"/>
      <c r="K1" s="200" t="s">
        <v>39</v>
      </c>
      <c r="L1" s="200"/>
      <c r="M1" s="198" t="s">
        <v>7</v>
      </c>
      <c r="N1" s="199"/>
    </row>
    <row r="2" spans="1:14" x14ac:dyDescent="0.2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2"/>
  <sheetViews>
    <sheetView zoomScale="70" zoomScaleNormal="70" zoomScalePageLayoutView="140" workbookViewId="0">
      <selection activeCell="N42" sqref="N42"/>
    </sheetView>
  </sheetViews>
  <sheetFormatPr defaultColWidth="8.875" defaultRowHeight="15" x14ac:dyDescent="0.2"/>
  <cols>
    <col min="1" max="1" width="5.6484375" bestFit="1" customWidth="1"/>
    <col min="2" max="2" width="25.01953125" bestFit="1" customWidth="1"/>
    <col min="3" max="5" width="5.6484375" customWidth="1"/>
    <col min="7" max="12" width="5.6484375" customWidth="1"/>
    <col min="14" max="14" width="25.01953125" bestFit="1" customWidth="1"/>
    <col min="15" max="17" width="5.6484375" customWidth="1"/>
    <col min="19" max="24" width="5.6484375" customWidth="1"/>
    <col min="26" max="26" width="25.01953125" bestFit="1" customWidth="1"/>
    <col min="27" max="29" width="5.6484375" customWidth="1"/>
    <col min="31" max="36" width="5.6484375" customWidth="1"/>
    <col min="38" max="38" width="26.90234375" bestFit="1" customWidth="1"/>
    <col min="39" max="41" width="5.6484375" customWidth="1"/>
    <col min="43" max="48" width="5.6484375" customWidth="1"/>
    <col min="50" max="50" width="25.01953125" bestFit="1" customWidth="1"/>
    <col min="51" max="53" width="5.6484375" customWidth="1"/>
    <col min="55" max="60" width="5.6484375" customWidth="1"/>
  </cols>
  <sheetData>
    <row r="3" spans="1:60" x14ac:dyDescent="0.2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5" t="s">
        <v>119</v>
      </c>
      <c r="AM3" s="195"/>
      <c r="AN3" s="195"/>
      <c r="AO3" s="195"/>
      <c r="AP3" s="195"/>
      <c r="AQ3" s="195"/>
      <c r="AR3" s="195"/>
      <c r="AS3" s="195"/>
      <c r="AT3" s="195"/>
      <c r="AU3" s="195"/>
      <c r="AV3" s="195"/>
    </row>
    <row r="4" spans="1:60" x14ac:dyDescent="0.2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1</v>
      </c>
      <c r="H6" s="21">
        <f>'Apps &amp; Goals 26-27'!D4</f>
        <v>0</v>
      </c>
      <c r="I6" s="21">
        <f>'Apps &amp; Goals 26-27'!E4</f>
        <v>0</v>
      </c>
      <c r="J6" s="25">
        <f>G6+C6</f>
        <v>108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2" si="0">G7+C7</f>
        <v>131</v>
      </c>
      <c r="K7" s="25">
        <f t="shared" ref="K7:K42" si="1">H7+D7</f>
        <v>7</v>
      </c>
      <c r="L7" s="25">
        <f t="shared" ref="L7:L42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1" si="3">S7+O7</f>
        <v>37</v>
      </c>
      <c r="W7" s="26">
        <f t="shared" ref="W7:W41" si="4">T7+P7</f>
        <v>1</v>
      </c>
      <c r="X7" s="26">
        <f t="shared" ref="X7:X41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2" si="6">AE7+AA7</f>
        <v>5</v>
      </c>
      <c r="AI7" s="24">
        <f t="shared" ref="AI7:AI42" si="7">AF7+AB7</f>
        <v>0</v>
      </c>
      <c r="AJ7" s="24">
        <f t="shared" ref="AJ7:AJ42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2" si="9">AQ7+AM7</f>
        <v>10</v>
      </c>
      <c r="AU7" s="18">
        <f t="shared" ref="AU7:AU42" si="10">AR7+AN7</f>
        <v>0</v>
      </c>
      <c r="AV7" s="18">
        <f t="shared" ref="AV7:AV42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2" si="12">BC7+AY7</f>
        <v>1</v>
      </c>
      <c r="BG7" s="33">
        <f t="shared" ref="BG7:BG42" si="13">BD7+AZ7</f>
        <v>0</v>
      </c>
      <c r="BH7" s="33">
        <f t="shared" ref="BH7:BH42" si="14">BE7+BA7</f>
        <v>0</v>
      </c>
    </row>
    <row r="8" spans="1:60" x14ac:dyDescent="0.2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1</v>
      </c>
      <c r="H8" s="21">
        <f>'Apps &amp; Goals 26-27'!D6</f>
        <v>0</v>
      </c>
      <c r="I8" s="21">
        <f>'Apps &amp; Goals 26-27'!E6</f>
        <v>0</v>
      </c>
      <c r="J8" s="25">
        <f t="shared" si="0"/>
        <v>21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1</v>
      </c>
      <c r="H9" s="21">
        <f>'Apps &amp; Goals 26-27'!D7</f>
        <v>0</v>
      </c>
      <c r="I9" s="21">
        <f>'Apps &amp; Goals 26-27'!E7</f>
        <v>1</v>
      </c>
      <c r="J9" s="25">
        <f t="shared" si="0"/>
        <v>137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1</v>
      </c>
      <c r="H11" s="21">
        <f>'Apps &amp; Goals 26-27'!D9</f>
        <v>0</v>
      </c>
      <c r="I11" s="21">
        <f>'Apps &amp; Goals 26-27'!E9</f>
        <v>0</v>
      </c>
      <c r="J11" s="25">
        <f t="shared" si="0"/>
        <v>193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1</v>
      </c>
      <c r="H12" s="21">
        <f>'Apps &amp; Goals 26-27'!D10</f>
        <v>1</v>
      </c>
      <c r="I12" s="21">
        <f>'Apps &amp; Goals 26-27'!E10</f>
        <v>0</v>
      </c>
      <c r="J12" s="25">
        <f t="shared" si="0"/>
        <v>227</v>
      </c>
      <c r="K12" s="25">
        <f t="shared" si="1"/>
        <v>61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1</v>
      </c>
      <c r="H13" s="21">
        <f>'Apps &amp; Goals 26-27'!D11</f>
        <v>1</v>
      </c>
      <c r="I13" s="21">
        <f>'Apps &amp; Goals 26-27'!E11</f>
        <v>0</v>
      </c>
      <c r="J13" s="25">
        <f t="shared" si="0"/>
        <v>177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">
      <c r="A20" s="4">
        <v>17</v>
      </c>
      <c r="B20" s="21" t="s">
        <v>344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si="0"/>
        <v>1</v>
      </c>
      <c r="K20" s="25">
        <f t="shared" si="1"/>
        <v>0</v>
      </c>
      <c r="L20" s="25">
        <f t="shared" si="2"/>
        <v>0</v>
      </c>
      <c r="N20" s="45" t="s">
        <v>344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3"/>
        <v>0</v>
      </c>
      <c r="W20" s="26">
        <f t="shared" si="4"/>
        <v>0</v>
      </c>
      <c r="X20" s="26">
        <f t="shared" si="5"/>
        <v>0</v>
      </c>
      <c r="Z20" s="23" t="s">
        <v>344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0</v>
      </c>
      <c r="AI20" s="24">
        <f t="shared" si="7"/>
        <v>0</v>
      </c>
      <c r="AJ20" s="24">
        <f t="shared" si="8"/>
        <v>0</v>
      </c>
      <c r="AL20" s="63" t="s">
        <v>344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9"/>
        <v>0</v>
      </c>
      <c r="AU20" s="18">
        <f t="shared" si="10"/>
        <v>0</v>
      </c>
      <c r="AV20" s="18">
        <f t="shared" si="11"/>
        <v>0</v>
      </c>
      <c r="AX20" s="32" t="s">
        <v>344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12"/>
        <v>1</v>
      </c>
      <c r="BG20" s="33">
        <f t="shared" si="13"/>
        <v>0</v>
      </c>
      <c r="BH20" s="33">
        <f t="shared" si="14"/>
        <v>2</v>
      </c>
    </row>
    <row r="21" spans="1:60" x14ac:dyDescent="0.2">
      <c r="A21" s="4">
        <v>20</v>
      </c>
      <c r="B21" s="21" t="s">
        <v>316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0"/>
        <v>27</v>
      </c>
      <c r="K21" s="25">
        <f t="shared" si="1"/>
        <v>3</v>
      </c>
      <c r="L21" s="25">
        <f t="shared" si="2"/>
        <v>1</v>
      </c>
      <c r="N21" s="20" t="s">
        <v>316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9</v>
      </c>
      <c r="W21" s="26">
        <f t="shared" si="4"/>
        <v>3</v>
      </c>
      <c r="X21" s="26">
        <f t="shared" si="5"/>
        <v>0</v>
      </c>
      <c r="Z21" s="23" t="s">
        <v>316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4</v>
      </c>
      <c r="AI21" s="24">
        <f t="shared" si="7"/>
        <v>2</v>
      </c>
      <c r="AJ21" s="24">
        <f t="shared" si="8"/>
        <v>2</v>
      </c>
      <c r="AL21" s="19" t="s">
        <v>316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3</v>
      </c>
      <c r="AU21" s="18">
        <f t="shared" si="10"/>
        <v>0</v>
      </c>
      <c r="AV21" s="18">
        <f t="shared" si="11"/>
        <v>0</v>
      </c>
      <c r="AX21" s="64" t="s">
        <v>316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1</v>
      </c>
      <c r="BG21" s="33">
        <f t="shared" si="13"/>
        <v>0</v>
      </c>
      <c r="BH21" s="33">
        <f t="shared" si="14"/>
        <v>0</v>
      </c>
    </row>
    <row r="22" spans="1:60" x14ac:dyDescent="0.2">
      <c r="A22" s="4">
        <v>21</v>
      </c>
      <c r="B22" s="21" t="s">
        <v>259</v>
      </c>
      <c r="C22" s="25">
        <v>33</v>
      </c>
      <c r="D22" s="25">
        <v>2</v>
      </c>
      <c r="E22" s="25">
        <v>4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0"/>
        <v>33</v>
      </c>
      <c r="K22" s="25">
        <f t="shared" si="1"/>
        <v>2</v>
      </c>
      <c r="L22" s="25">
        <f t="shared" si="2"/>
        <v>4</v>
      </c>
      <c r="N22" s="20" t="s">
        <v>259</v>
      </c>
      <c r="O22" s="26">
        <v>11</v>
      </c>
      <c r="P22" s="26">
        <v>1</v>
      </c>
      <c r="Q22" s="26">
        <v>2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3"/>
        <v>11</v>
      </c>
      <c r="W22" s="26">
        <f t="shared" si="4"/>
        <v>1</v>
      </c>
      <c r="X22" s="26">
        <f t="shared" si="5"/>
        <v>2</v>
      </c>
      <c r="Z22" s="23" t="s">
        <v>259</v>
      </c>
      <c r="AA22" s="24">
        <v>2</v>
      </c>
      <c r="AB22" s="24">
        <v>0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2</v>
      </c>
      <c r="AL22" s="19" t="s">
        <v>259</v>
      </c>
      <c r="AM22" s="18">
        <v>2</v>
      </c>
      <c r="AN22" s="18">
        <v>0</v>
      </c>
      <c r="AO22" s="18">
        <v>1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9"/>
        <v>2</v>
      </c>
      <c r="AU22" s="18">
        <f t="shared" si="10"/>
        <v>0</v>
      </c>
      <c r="AV22" s="18">
        <f t="shared" si="11"/>
        <v>1</v>
      </c>
      <c r="AX22" s="64" t="s">
        <v>259</v>
      </c>
      <c r="AY22" s="33">
        <v>1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1</v>
      </c>
      <c r="BG22" s="33">
        <f t="shared" si="13"/>
        <v>0</v>
      </c>
      <c r="BH22" s="33">
        <f t="shared" si="14"/>
        <v>0</v>
      </c>
    </row>
    <row r="23" spans="1:60" x14ac:dyDescent="0.2">
      <c r="A23" s="56">
        <v>22</v>
      </c>
      <c r="B23" s="22" t="s">
        <v>264</v>
      </c>
      <c r="C23" s="25">
        <v>34</v>
      </c>
      <c r="D23" s="25">
        <v>4</v>
      </c>
      <c r="E23" s="25">
        <v>2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0"/>
        <v>34</v>
      </c>
      <c r="K23" s="25">
        <f t="shared" si="1"/>
        <v>4</v>
      </c>
      <c r="L23" s="25">
        <f t="shared" si="2"/>
        <v>2</v>
      </c>
      <c r="N23" s="45" t="s">
        <v>264</v>
      </c>
      <c r="O23" s="26">
        <v>10</v>
      </c>
      <c r="P23" s="26">
        <v>2</v>
      </c>
      <c r="Q23" s="26">
        <v>0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3"/>
        <v>10</v>
      </c>
      <c r="W23" s="26">
        <f t="shared" si="4"/>
        <v>2</v>
      </c>
      <c r="X23" s="26">
        <f t="shared" si="5"/>
        <v>0</v>
      </c>
      <c r="Z23" s="23" t="s">
        <v>264</v>
      </c>
      <c r="AA23" s="24">
        <v>1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1</v>
      </c>
      <c r="AI23" s="24">
        <f t="shared" si="7"/>
        <v>0</v>
      </c>
      <c r="AJ23" s="24">
        <f t="shared" si="8"/>
        <v>0</v>
      </c>
      <c r="AL23" s="19" t="s">
        <v>264</v>
      </c>
      <c r="AM23" s="18">
        <v>6</v>
      </c>
      <c r="AN23" s="18">
        <v>4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6</v>
      </c>
      <c r="AU23" s="18">
        <f t="shared" si="10"/>
        <v>4</v>
      </c>
      <c r="AV23" s="18">
        <f t="shared" si="11"/>
        <v>0</v>
      </c>
      <c r="AX23" s="32" t="s">
        <v>264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12"/>
        <v>0</v>
      </c>
      <c r="BG23" s="33">
        <f t="shared" si="13"/>
        <v>0</v>
      </c>
      <c r="BH23" s="33">
        <f t="shared" si="14"/>
        <v>0</v>
      </c>
    </row>
    <row r="24" spans="1:60" x14ac:dyDescent="0.2">
      <c r="A24" s="4">
        <v>23</v>
      </c>
      <c r="B24" s="21" t="s">
        <v>294</v>
      </c>
      <c r="C24" s="25">
        <v>50</v>
      </c>
      <c r="D24" s="25">
        <v>11</v>
      </c>
      <c r="E24" s="25">
        <v>5</v>
      </c>
      <c r="F24" s="25"/>
      <c r="G24" s="21">
        <f>'Apps &amp; Goals 26-27'!C22</f>
        <v>1</v>
      </c>
      <c r="H24" s="21">
        <f>'Apps &amp; Goals 26-27'!D22</f>
        <v>0</v>
      </c>
      <c r="I24" s="21">
        <f>'Apps &amp; Goals 26-27'!E22</f>
        <v>0</v>
      </c>
      <c r="J24" s="25">
        <f t="shared" si="0"/>
        <v>51</v>
      </c>
      <c r="K24" s="25">
        <f t="shared" si="1"/>
        <v>11</v>
      </c>
      <c r="L24" s="25">
        <f t="shared" si="2"/>
        <v>5</v>
      </c>
      <c r="N24" s="20" t="s">
        <v>294</v>
      </c>
      <c r="O24" s="26">
        <v>19</v>
      </c>
      <c r="P24" s="26">
        <v>4</v>
      </c>
      <c r="Q24" s="26">
        <v>3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19</v>
      </c>
      <c r="W24" s="26">
        <f t="shared" si="4"/>
        <v>4</v>
      </c>
      <c r="X24" s="26">
        <f t="shared" si="5"/>
        <v>3</v>
      </c>
      <c r="Z24" s="23" t="s">
        <v>294</v>
      </c>
      <c r="AA24" s="24">
        <v>2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2</v>
      </c>
      <c r="AI24" s="24">
        <f t="shared" si="7"/>
        <v>0</v>
      </c>
      <c r="AJ24" s="24">
        <f t="shared" si="8"/>
        <v>0</v>
      </c>
      <c r="AL24" s="19" t="s">
        <v>294</v>
      </c>
      <c r="AM24" s="18">
        <v>7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7</v>
      </c>
      <c r="AU24" s="18">
        <f t="shared" si="10"/>
        <v>0</v>
      </c>
      <c r="AV24" s="18">
        <f t="shared" si="11"/>
        <v>0</v>
      </c>
      <c r="AX24" s="64" t="s">
        <v>294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x14ac:dyDescent="0.2">
      <c r="A25" s="56">
        <v>24</v>
      </c>
      <c r="B25" s="22" t="s">
        <v>115</v>
      </c>
      <c r="C25" s="25">
        <v>50</v>
      </c>
      <c r="D25" s="25">
        <v>4</v>
      </c>
      <c r="E25" s="25">
        <v>2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0"/>
        <v>50</v>
      </c>
      <c r="K25" s="25">
        <f t="shared" si="1"/>
        <v>4</v>
      </c>
      <c r="L25" s="25">
        <f t="shared" si="2"/>
        <v>2</v>
      </c>
      <c r="N25" s="45" t="s">
        <v>115</v>
      </c>
      <c r="O25" s="26">
        <v>25</v>
      </c>
      <c r="P25" s="26">
        <v>1</v>
      </c>
      <c r="Q25" s="26">
        <v>4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25</v>
      </c>
      <c r="W25" s="26">
        <f t="shared" si="4"/>
        <v>1</v>
      </c>
      <c r="X25" s="26">
        <f t="shared" si="5"/>
        <v>4</v>
      </c>
      <c r="Z25" s="23" t="s">
        <v>115</v>
      </c>
      <c r="AA25" s="24">
        <v>5</v>
      </c>
      <c r="AB25" s="24">
        <v>1</v>
      </c>
      <c r="AC25" s="24">
        <v>1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5</v>
      </c>
      <c r="AI25" s="24">
        <f t="shared" si="7"/>
        <v>1</v>
      </c>
      <c r="AJ25" s="24">
        <f t="shared" si="8"/>
        <v>1</v>
      </c>
      <c r="AL25" s="19" t="s">
        <v>115</v>
      </c>
      <c r="AM25" s="18">
        <v>8</v>
      </c>
      <c r="AN25" s="18">
        <v>2</v>
      </c>
      <c r="AO25" s="18">
        <v>1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8</v>
      </c>
      <c r="AU25" s="18">
        <f t="shared" si="10"/>
        <v>2</v>
      </c>
      <c r="AV25" s="18">
        <f t="shared" si="11"/>
        <v>1</v>
      </c>
      <c r="AX25" s="32" t="s">
        <v>115</v>
      </c>
      <c r="AY25" s="33">
        <v>2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12"/>
        <v>2</v>
      </c>
      <c r="BG25" s="33">
        <f t="shared" si="13"/>
        <v>0</v>
      </c>
      <c r="BH25" s="33">
        <f t="shared" si="14"/>
        <v>0</v>
      </c>
    </row>
    <row r="26" spans="1:60" x14ac:dyDescent="0.2">
      <c r="A26" s="56">
        <v>29</v>
      </c>
      <c r="B26" s="22" t="s">
        <v>276</v>
      </c>
      <c r="C26" s="25">
        <v>72</v>
      </c>
      <c r="D26" s="25">
        <v>24</v>
      </c>
      <c r="E26" s="25">
        <v>13</v>
      </c>
      <c r="F26" s="25"/>
      <c r="G26" s="21">
        <f>'Apps &amp; Goals 26-27'!C24</f>
        <v>1</v>
      </c>
      <c r="H26" s="21">
        <f>'Apps &amp; Goals 26-27'!D24</f>
        <v>1</v>
      </c>
      <c r="I26" s="21">
        <f>'Apps &amp; Goals 26-27'!E24</f>
        <v>0</v>
      </c>
      <c r="J26" s="25">
        <f t="shared" si="0"/>
        <v>73</v>
      </c>
      <c r="K26" s="25">
        <f t="shared" si="1"/>
        <v>25</v>
      </c>
      <c r="L26" s="25">
        <f t="shared" si="2"/>
        <v>13</v>
      </c>
      <c r="N26" s="20" t="s">
        <v>276</v>
      </c>
      <c r="O26" s="26">
        <v>24</v>
      </c>
      <c r="P26" s="26">
        <v>9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24</v>
      </c>
      <c r="W26" s="26">
        <f t="shared" si="4"/>
        <v>9</v>
      </c>
      <c r="X26" s="26">
        <f t="shared" si="5"/>
        <v>2</v>
      </c>
      <c r="Z26" s="57" t="s">
        <v>276</v>
      </c>
      <c r="AA26" s="24">
        <v>5</v>
      </c>
      <c r="AB26" s="24">
        <v>0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5</v>
      </c>
      <c r="AI26" s="24">
        <f t="shared" si="7"/>
        <v>0</v>
      </c>
      <c r="AJ26" s="24">
        <f t="shared" si="8"/>
        <v>1</v>
      </c>
      <c r="AL26" s="63" t="s">
        <v>276</v>
      </c>
      <c r="AM26" s="18">
        <v>9</v>
      </c>
      <c r="AN26" s="18">
        <v>3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9</v>
      </c>
      <c r="AU26" s="18">
        <f t="shared" si="10"/>
        <v>3</v>
      </c>
      <c r="AV26" s="18">
        <f t="shared" si="11"/>
        <v>0</v>
      </c>
      <c r="AX26" s="64" t="s">
        <v>276</v>
      </c>
      <c r="AY26" s="33">
        <v>1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12"/>
        <v>2</v>
      </c>
      <c r="BG26" s="33">
        <f t="shared" si="13"/>
        <v>1</v>
      </c>
      <c r="BH26" s="33">
        <f t="shared" si="14"/>
        <v>0</v>
      </c>
    </row>
    <row r="27" spans="1:60" x14ac:dyDescent="0.2">
      <c r="A27" s="56">
        <v>30</v>
      </c>
      <c r="B27" s="22" t="s">
        <v>345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0"/>
        <v>0</v>
      </c>
      <c r="K27" s="25">
        <f t="shared" si="1"/>
        <v>0</v>
      </c>
      <c r="L27" s="25">
        <f t="shared" si="2"/>
        <v>0</v>
      </c>
      <c r="N27" s="20" t="s">
        <v>345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3"/>
        <v>0</v>
      </c>
      <c r="W27" s="26">
        <f t="shared" si="4"/>
        <v>0</v>
      </c>
      <c r="X27" s="26">
        <f t="shared" si="5"/>
        <v>0</v>
      </c>
      <c r="Z27" s="57" t="s">
        <v>345</v>
      </c>
      <c r="AA27" s="24">
        <v>0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0</v>
      </c>
      <c r="AI27" s="24">
        <f t="shared" si="7"/>
        <v>0</v>
      </c>
      <c r="AJ27" s="24">
        <f t="shared" si="8"/>
        <v>0</v>
      </c>
      <c r="AL27" s="63" t="s">
        <v>345</v>
      </c>
      <c r="AM27" s="18">
        <v>0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9"/>
        <v>0</v>
      </c>
      <c r="AU27" s="18">
        <f t="shared" si="10"/>
        <v>0</v>
      </c>
      <c r="AV27" s="18">
        <f t="shared" si="11"/>
        <v>0</v>
      </c>
      <c r="AX27" s="64" t="s">
        <v>345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0</v>
      </c>
      <c r="BG27" s="33">
        <f t="shared" si="13"/>
        <v>0</v>
      </c>
      <c r="BH27" s="33">
        <f t="shared" si="14"/>
        <v>0</v>
      </c>
    </row>
    <row r="28" spans="1:60" ht="15.6" customHeight="1" x14ac:dyDescent="0.2">
      <c r="A28" s="56">
        <v>33</v>
      </c>
      <c r="B28" s="22" t="s">
        <v>292</v>
      </c>
      <c r="C28" s="25">
        <v>45</v>
      </c>
      <c r="D28" s="25">
        <v>3</v>
      </c>
      <c r="E28" s="25">
        <v>3</v>
      </c>
      <c r="F28" s="25"/>
      <c r="G28" s="21">
        <f>'Apps &amp; Goals 26-27'!C26</f>
        <v>1</v>
      </c>
      <c r="H28" s="21">
        <f>'Apps &amp; Goals 26-27'!D26</f>
        <v>0</v>
      </c>
      <c r="I28" s="21">
        <f>'Apps &amp; Goals 26-27'!E26</f>
        <v>1</v>
      </c>
      <c r="J28" s="25">
        <f t="shared" si="0"/>
        <v>46</v>
      </c>
      <c r="K28" s="25">
        <f t="shared" si="1"/>
        <v>3</v>
      </c>
      <c r="L28" s="25">
        <f t="shared" si="2"/>
        <v>4</v>
      </c>
      <c r="N28" s="20" t="s">
        <v>292</v>
      </c>
      <c r="O28" s="26">
        <v>14</v>
      </c>
      <c r="P28" s="26">
        <v>1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3"/>
        <v>14</v>
      </c>
      <c r="W28" s="26">
        <f t="shared" si="4"/>
        <v>1</v>
      </c>
      <c r="X28" s="26">
        <f t="shared" si="5"/>
        <v>2</v>
      </c>
      <c r="Z28" s="57" t="s">
        <v>292</v>
      </c>
      <c r="AA28" s="24">
        <v>2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2</v>
      </c>
      <c r="AI28" s="24">
        <f t="shared" si="7"/>
        <v>0</v>
      </c>
      <c r="AJ28" s="24">
        <f t="shared" si="8"/>
        <v>0</v>
      </c>
      <c r="AL28" s="63" t="s">
        <v>292</v>
      </c>
      <c r="AM28" s="18">
        <v>4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4</v>
      </c>
      <c r="AU28" s="18">
        <f t="shared" si="10"/>
        <v>0</v>
      </c>
      <c r="AV28" s="18">
        <f t="shared" si="11"/>
        <v>0</v>
      </c>
      <c r="AX28" s="64" t="s">
        <v>292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1</v>
      </c>
      <c r="BE28" s="64">
        <f>'Apps &amp; Goals 26-27'!Q26</f>
        <v>0</v>
      </c>
      <c r="BF28" s="33">
        <f t="shared" si="12"/>
        <v>1</v>
      </c>
      <c r="BG28" s="33">
        <f t="shared" si="13"/>
        <v>1</v>
      </c>
      <c r="BH28" s="33">
        <f t="shared" si="14"/>
        <v>0</v>
      </c>
    </row>
    <row r="29" spans="1:60" ht="15.6" customHeight="1" x14ac:dyDescent="0.2">
      <c r="A29" s="56">
        <v>35</v>
      </c>
      <c r="B29" s="22" t="s">
        <v>304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N29" s="20" t="s">
        <v>304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304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304</v>
      </c>
      <c r="AM29" s="18">
        <v>1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1</v>
      </c>
      <c r="AU29" s="18">
        <f t="shared" si="10"/>
        <v>0</v>
      </c>
      <c r="AV29" s="18">
        <f t="shared" si="11"/>
        <v>0</v>
      </c>
      <c r="AX29" s="64" t="s">
        <v>304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ht="15.6" customHeight="1" x14ac:dyDescent="0.2">
      <c r="A30" s="56">
        <v>36</v>
      </c>
      <c r="B30" s="22" t="s">
        <v>314</v>
      </c>
      <c r="C30" s="25">
        <v>38</v>
      </c>
      <c r="D30" s="25">
        <v>5</v>
      </c>
      <c r="E30" s="25">
        <v>1</v>
      </c>
      <c r="F30" s="25"/>
      <c r="G30" s="21">
        <f>'Apps &amp; Goals 26-27'!C28</f>
        <v>1</v>
      </c>
      <c r="H30" s="21">
        <f>'Apps &amp; Goals 26-27'!D28</f>
        <v>0</v>
      </c>
      <c r="I30" s="21">
        <f>'Apps &amp; Goals 26-27'!E28</f>
        <v>0</v>
      </c>
      <c r="J30" s="25">
        <f t="shared" si="0"/>
        <v>39</v>
      </c>
      <c r="K30" s="25">
        <f t="shared" si="1"/>
        <v>5</v>
      </c>
      <c r="L30" s="25">
        <f t="shared" si="2"/>
        <v>1</v>
      </c>
      <c r="N30" s="20" t="s">
        <v>314</v>
      </c>
      <c r="O30" s="26">
        <v>13</v>
      </c>
      <c r="P30" s="26">
        <v>0</v>
      </c>
      <c r="Q30" s="26">
        <v>2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3"/>
        <v>13</v>
      </c>
      <c r="W30" s="26">
        <f t="shared" si="4"/>
        <v>0</v>
      </c>
      <c r="X30" s="26">
        <f t="shared" si="5"/>
        <v>2</v>
      </c>
      <c r="Z30" s="57" t="s">
        <v>314</v>
      </c>
      <c r="AA30" s="24">
        <v>3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3</v>
      </c>
      <c r="AI30" s="24">
        <f t="shared" si="7"/>
        <v>0</v>
      </c>
      <c r="AJ30" s="24">
        <f t="shared" si="8"/>
        <v>0</v>
      </c>
      <c r="AL30" s="63" t="s">
        <v>314</v>
      </c>
      <c r="AM30" s="18">
        <v>3</v>
      </c>
      <c r="AN30" s="18">
        <v>1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3</v>
      </c>
      <c r="AU30" s="18">
        <f t="shared" si="10"/>
        <v>1</v>
      </c>
      <c r="AV30" s="18">
        <f t="shared" si="11"/>
        <v>0</v>
      </c>
      <c r="AX30" s="64" t="s">
        <v>314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1</v>
      </c>
      <c r="BG30" s="33">
        <f t="shared" si="13"/>
        <v>0</v>
      </c>
      <c r="BH30" s="33">
        <f t="shared" si="14"/>
        <v>0</v>
      </c>
    </row>
    <row r="31" spans="1:60" ht="15.6" customHeight="1" x14ac:dyDescent="0.2">
      <c r="A31" s="56">
        <v>39</v>
      </c>
      <c r="B31" s="22" t="s">
        <v>346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N31" s="20" t="s">
        <v>346</v>
      </c>
      <c r="O31" s="26">
        <v>0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0</v>
      </c>
      <c r="W31" s="26">
        <f t="shared" si="4"/>
        <v>0</v>
      </c>
      <c r="X31" s="26">
        <f t="shared" si="5"/>
        <v>0</v>
      </c>
      <c r="Z31" s="57" t="s">
        <v>346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63" t="s">
        <v>346</v>
      </c>
      <c r="AM31" s="18">
        <v>0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0</v>
      </c>
      <c r="AU31" s="18">
        <f t="shared" si="10"/>
        <v>0</v>
      </c>
      <c r="AV31" s="18">
        <f t="shared" si="11"/>
        <v>0</v>
      </c>
      <c r="AX31" s="64" t="s">
        <v>346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1</v>
      </c>
      <c r="BG31" s="33">
        <f t="shared" si="13"/>
        <v>0</v>
      </c>
      <c r="BH31" s="33">
        <f t="shared" si="14"/>
        <v>0</v>
      </c>
    </row>
    <row r="32" spans="1:60" x14ac:dyDescent="0.2">
      <c r="A32" s="4">
        <v>41</v>
      </c>
      <c r="B32" s="22" t="s">
        <v>278</v>
      </c>
      <c r="C32" s="25">
        <v>109</v>
      </c>
      <c r="D32" s="25">
        <v>15</v>
      </c>
      <c r="E32" s="25">
        <v>20</v>
      </c>
      <c r="F32" s="25"/>
      <c r="G32" s="21">
        <f>'Apps &amp; Goals 26-27'!C30</f>
        <v>1</v>
      </c>
      <c r="H32" s="21">
        <f>'Apps &amp; Goals 26-27'!D30</f>
        <v>0</v>
      </c>
      <c r="I32" s="21">
        <f>'Apps &amp; Goals 26-27'!E30</f>
        <v>0</v>
      </c>
      <c r="J32" s="25">
        <f t="shared" si="0"/>
        <v>110</v>
      </c>
      <c r="K32" s="25">
        <f t="shared" si="1"/>
        <v>15</v>
      </c>
      <c r="L32" s="25">
        <f t="shared" si="2"/>
        <v>20</v>
      </c>
      <c r="N32" s="45" t="s">
        <v>278</v>
      </c>
      <c r="O32" s="26">
        <v>36</v>
      </c>
      <c r="P32" s="26">
        <v>5</v>
      </c>
      <c r="Q32" s="26">
        <v>5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36</v>
      </c>
      <c r="W32" s="26">
        <f t="shared" si="4"/>
        <v>5</v>
      </c>
      <c r="X32" s="26">
        <f t="shared" si="5"/>
        <v>5</v>
      </c>
      <c r="Z32" s="57" t="s">
        <v>278</v>
      </c>
      <c r="AA32" s="24">
        <v>2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2</v>
      </c>
      <c r="AI32" s="24">
        <f t="shared" si="7"/>
        <v>0</v>
      </c>
      <c r="AJ32" s="24">
        <f t="shared" si="8"/>
        <v>0</v>
      </c>
      <c r="AL32" s="63" t="s">
        <v>278</v>
      </c>
      <c r="AM32" s="18">
        <v>10</v>
      </c>
      <c r="AN32" s="18">
        <v>1</v>
      </c>
      <c r="AO32" s="18">
        <v>3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10</v>
      </c>
      <c r="AU32" s="18">
        <f t="shared" si="10"/>
        <v>1</v>
      </c>
      <c r="AV32" s="18">
        <f t="shared" si="11"/>
        <v>3</v>
      </c>
      <c r="AX32" s="32" t="s">
        <v>278</v>
      </c>
      <c r="AY32" s="33">
        <v>1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2</v>
      </c>
      <c r="BG32" s="33">
        <f t="shared" si="13"/>
        <v>0</v>
      </c>
      <c r="BH32" s="33">
        <f t="shared" si="14"/>
        <v>0</v>
      </c>
    </row>
    <row r="33" spans="1:60" x14ac:dyDescent="0.2">
      <c r="A33" s="4">
        <v>46</v>
      </c>
      <c r="B33" s="22" t="s">
        <v>299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N33" s="45" t="s">
        <v>299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57" t="s">
        <v>299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63" t="s">
        <v>299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299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">
      <c r="A34" s="4">
        <v>49</v>
      </c>
      <c r="B34" s="22" t="s">
        <v>298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1</v>
      </c>
      <c r="H34" s="21">
        <f>'Apps &amp; Goals 26-27'!D32</f>
        <v>0</v>
      </c>
      <c r="I34" s="21">
        <f>'Apps &amp; Goals 26-27'!E32</f>
        <v>0</v>
      </c>
      <c r="J34" s="25">
        <f t="shared" si="0"/>
        <v>44</v>
      </c>
      <c r="K34" s="25">
        <f t="shared" si="1"/>
        <v>1</v>
      </c>
      <c r="L34" s="25">
        <f t="shared" si="2"/>
        <v>0</v>
      </c>
      <c r="N34" s="45" t="s">
        <v>298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20</v>
      </c>
      <c r="W34" s="26">
        <f t="shared" si="4"/>
        <v>0</v>
      </c>
      <c r="X34" s="26">
        <f t="shared" si="5"/>
        <v>3</v>
      </c>
      <c r="Z34" s="57" t="s">
        <v>298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4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8</v>
      </c>
      <c r="AU34" s="18">
        <f t="shared" si="10"/>
        <v>0</v>
      </c>
      <c r="AV34" s="18">
        <f t="shared" si="11"/>
        <v>2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12"/>
        <v>1</v>
      </c>
      <c r="BG34" s="33">
        <f t="shared" si="13"/>
        <v>0</v>
      </c>
      <c r="BH34" s="33">
        <f t="shared" si="14"/>
        <v>1</v>
      </c>
    </row>
    <row r="35" spans="1:60" x14ac:dyDescent="0.2">
      <c r="A35" s="4">
        <v>52</v>
      </c>
      <c r="B35" s="22" t="s">
        <v>342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0"/>
        <v>0</v>
      </c>
      <c r="K35" s="25">
        <f t="shared" si="1"/>
        <v>0</v>
      </c>
      <c r="L35" s="25">
        <f t="shared" si="2"/>
        <v>0</v>
      </c>
      <c r="N35" s="45" t="s">
        <v>342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0</v>
      </c>
      <c r="W35" s="26">
        <f t="shared" si="4"/>
        <v>0</v>
      </c>
      <c r="X35" s="26">
        <f t="shared" si="5"/>
        <v>0</v>
      </c>
      <c r="Z35" s="57" t="s">
        <v>342</v>
      </c>
      <c r="AA35" s="24">
        <v>1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1</v>
      </c>
      <c r="AI35" s="24">
        <f t="shared" si="7"/>
        <v>0</v>
      </c>
      <c r="AJ35" s="24">
        <f t="shared" si="8"/>
        <v>0</v>
      </c>
      <c r="AL35" s="63" t="s">
        <v>342</v>
      </c>
      <c r="AM35" s="18">
        <v>0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0</v>
      </c>
      <c r="AU35" s="18">
        <f t="shared" si="10"/>
        <v>0</v>
      </c>
      <c r="AV35" s="18">
        <f t="shared" si="11"/>
        <v>0</v>
      </c>
      <c r="AX35" s="32" t="s">
        <v>342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12"/>
        <v>0</v>
      </c>
      <c r="BG35" s="33">
        <f t="shared" si="13"/>
        <v>0</v>
      </c>
      <c r="BH35" s="33">
        <f t="shared" si="14"/>
        <v>0</v>
      </c>
    </row>
    <row r="36" spans="1:60" x14ac:dyDescent="0.2">
      <c r="A36" s="56">
        <v>53</v>
      </c>
      <c r="B36" s="22" t="s">
        <v>293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N36" s="45" t="s">
        <v>293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293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">
      <c r="A37" s="4">
        <v>56</v>
      </c>
      <c r="B37" s="22" t="s">
        <v>323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6</v>
      </c>
      <c r="K37" s="25">
        <f t="shared" si="1"/>
        <v>1</v>
      </c>
      <c r="L37" s="25">
        <f t="shared" si="2"/>
        <v>0</v>
      </c>
      <c r="N37" s="45" t="s">
        <v>323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3</v>
      </c>
      <c r="W37" s="26">
        <f t="shared" si="4"/>
        <v>0</v>
      </c>
      <c r="X37" s="26">
        <f t="shared" si="5"/>
        <v>0</v>
      </c>
      <c r="Z37" s="57" t="s">
        <v>323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2</v>
      </c>
      <c r="AI37" s="24">
        <f t="shared" si="7"/>
        <v>0</v>
      </c>
      <c r="AJ37" s="24">
        <f t="shared" si="8"/>
        <v>0</v>
      </c>
      <c r="AL37" s="63" t="s">
        <v>323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2</v>
      </c>
      <c r="AU37" s="18">
        <f t="shared" si="10"/>
        <v>0</v>
      </c>
      <c r="AV37" s="18">
        <f t="shared" si="11"/>
        <v>0</v>
      </c>
      <c r="AX37" s="32" t="s">
        <v>323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">
      <c r="A38" s="56">
        <v>71</v>
      </c>
      <c r="B38" s="22" t="s">
        <v>328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0"/>
        <v>0</v>
      </c>
      <c r="K38" s="25">
        <f t="shared" si="1"/>
        <v>0</v>
      </c>
      <c r="L38" s="25">
        <f t="shared" si="2"/>
        <v>0</v>
      </c>
      <c r="N38" s="45" t="s">
        <v>328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1</v>
      </c>
      <c r="W38" s="26">
        <f t="shared" si="4"/>
        <v>0</v>
      </c>
      <c r="X38" s="26">
        <f t="shared" si="5"/>
        <v>0</v>
      </c>
      <c r="Z38" s="23" t="s">
        <v>328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0</v>
      </c>
      <c r="AI38" s="24">
        <f t="shared" si="7"/>
        <v>0</v>
      </c>
      <c r="AJ38" s="24">
        <f t="shared" si="8"/>
        <v>0</v>
      </c>
      <c r="AL38" s="19" t="s">
        <v>328</v>
      </c>
      <c r="AM38" s="18">
        <v>1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9"/>
        <v>1</v>
      </c>
      <c r="AU38" s="18">
        <f t="shared" si="10"/>
        <v>0</v>
      </c>
      <c r="AV38" s="18">
        <f t="shared" si="11"/>
        <v>0</v>
      </c>
      <c r="AX38" s="32" t="s">
        <v>328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">
      <c r="A39" s="56">
        <v>72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">
      <c r="A40" s="56">
        <v>81</v>
      </c>
      <c r="B40" s="22" t="s">
        <v>340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N40" s="45" t="s">
        <v>340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340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0</v>
      </c>
      <c r="AI40" s="24">
        <f t="shared" si="7"/>
        <v>0</v>
      </c>
      <c r="AJ40" s="24">
        <f t="shared" si="8"/>
        <v>0</v>
      </c>
      <c r="AL40" s="19" t="s">
        <v>340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0</v>
      </c>
      <c r="AU40" s="18">
        <f t="shared" si="10"/>
        <v>0</v>
      </c>
      <c r="AV40" s="18">
        <f t="shared" si="11"/>
        <v>0</v>
      </c>
      <c r="AX40" s="32" t="s">
        <v>340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  <row r="41" spans="1:60" x14ac:dyDescent="0.2">
      <c r="A41" s="56">
        <v>89</v>
      </c>
      <c r="B41" s="22" t="s">
        <v>334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0"/>
        <v>0</v>
      </c>
      <c r="K41" s="25">
        <f t="shared" si="1"/>
        <v>0</v>
      </c>
      <c r="L41" s="25">
        <f t="shared" si="2"/>
        <v>0</v>
      </c>
      <c r="N41" s="45" t="s">
        <v>334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3"/>
        <v>1</v>
      </c>
      <c r="W41" s="26">
        <f t="shared" si="4"/>
        <v>0</v>
      </c>
      <c r="X41" s="26">
        <f t="shared" si="5"/>
        <v>0</v>
      </c>
      <c r="Z41" s="23" t="s">
        <v>334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6"/>
        <v>3</v>
      </c>
      <c r="AI41" s="24">
        <f t="shared" si="7"/>
        <v>0</v>
      </c>
      <c r="AJ41" s="24">
        <f t="shared" si="8"/>
        <v>0</v>
      </c>
      <c r="AL41" s="19" t="s">
        <v>334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9"/>
        <v>0</v>
      </c>
      <c r="AU41" s="18">
        <f t="shared" si="10"/>
        <v>0</v>
      </c>
      <c r="AV41" s="18">
        <f t="shared" si="11"/>
        <v>0</v>
      </c>
      <c r="AX41" s="32" t="s">
        <v>334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12"/>
        <v>0</v>
      </c>
      <c r="BG41" s="33">
        <f t="shared" si="13"/>
        <v>0</v>
      </c>
      <c r="BH41" s="33">
        <f t="shared" si="14"/>
        <v>0</v>
      </c>
    </row>
    <row r="42" spans="1:60" x14ac:dyDescent="0.2">
      <c r="A42" s="56">
        <v>92</v>
      </c>
      <c r="B42" s="22" t="s">
        <v>302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0"/>
        <v>0</v>
      </c>
      <c r="K42" s="25">
        <f t="shared" si="1"/>
        <v>0</v>
      </c>
      <c r="L42" s="25">
        <f t="shared" si="2"/>
        <v>0</v>
      </c>
      <c r="N42" s="45" t="s">
        <v>302</v>
      </c>
      <c r="O42" s="26">
        <v>0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ref="V42" si="15">S42+O42</f>
        <v>0</v>
      </c>
      <c r="W42" s="26">
        <f t="shared" ref="W42" si="16">T42+P42</f>
        <v>0</v>
      </c>
      <c r="X42" s="26">
        <f t="shared" ref="X42" si="17">U42+Q42</f>
        <v>0</v>
      </c>
      <c r="Z42" s="23" t="s">
        <v>302</v>
      </c>
      <c r="AA42" s="24">
        <v>0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6"/>
        <v>0</v>
      </c>
      <c r="AI42" s="24">
        <f t="shared" si="7"/>
        <v>0</v>
      </c>
      <c r="AJ42" s="24">
        <f t="shared" si="8"/>
        <v>0</v>
      </c>
      <c r="AL42" s="19" t="s">
        <v>302</v>
      </c>
      <c r="AM42" s="18">
        <v>1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9"/>
        <v>1</v>
      </c>
      <c r="AU42" s="18">
        <f t="shared" si="10"/>
        <v>0</v>
      </c>
      <c r="AV42" s="18">
        <f t="shared" si="11"/>
        <v>0</v>
      </c>
      <c r="AX42" s="32" t="s">
        <v>302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12"/>
        <v>0</v>
      </c>
      <c r="BG42" s="33">
        <f t="shared" si="13"/>
        <v>0</v>
      </c>
      <c r="BH42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2"/>
  <sheetViews>
    <sheetView zoomScale="90" zoomScaleNormal="90" zoomScalePageLayoutView="110" workbookViewId="0">
      <selection activeCell="AA27" sqref="AA27"/>
    </sheetView>
  </sheetViews>
  <sheetFormatPr defaultColWidth="8.875" defaultRowHeight="15" x14ac:dyDescent="0.2"/>
  <cols>
    <col min="1" max="1" width="3.359375" customWidth="1"/>
    <col min="2" max="2" width="4.9765625" bestFit="1" customWidth="1"/>
    <col min="3" max="3" width="3.359375" bestFit="1" customWidth="1"/>
    <col min="4" max="4" width="25.69140625" customWidth="1"/>
    <col min="6" max="7" width="8.7421875" customWidth="1"/>
    <col min="26" max="26" width="11.296875" bestFit="1" customWidth="1"/>
  </cols>
  <sheetData>
    <row r="1" spans="1:26" x14ac:dyDescent="0.2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46255</v>
      </c>
    </row>
    <row r="3" spans="1:26" x14ac:dyDescent="0.2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108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149</v>
      </c>
      <c r="U4" s="2">
        <f t="shared" ref="U4" si="1">SUM(F4,I4,L4,O4,R4)</f>
        <v>0</v>
      </c>
      <c r="V4" s="2">
        <f t="shared" si="0"/>
        <v>0</v>
      </c>
    </row>
    <row r="5" spans="1:26" x14ac:dyDescent="0.2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40" si="2">SUM(E5,H5,K5,N5,Q5)</f>
        <v>184</v>
      </c>
      <c r="U5" s="2">
        <f t="shared" ref="U5:U40" si="3">SUM(F5,I5,L5,O5,R5)</f>
        <v>8</v>
      </c>
      <c r="V5" s="2">
        <f t="shared" ref="V5:V40" si="4">SUM(G5,J5,M5,P5,S5)</f>
        <v>3</v>
      </c>
    </row>
    <row r="6" spans="1:26" x14ac:dyDescent="0.2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21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37</v>
      </c>
      <c r="U6" s="2">
        <f t="shared" si="3"/>
        <v>0</v>
      </c>
      <c r="V6" s="2">
        <f t="shared" si="4"/>
        <v>0</v>
      </c>
    </row>
    <row r="7" spans="1:26" x14ac:dyDescent="0.2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137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192</v>
      </c>
      <c r="U7" s="2">
        <f t="shared" si="3"/>
        <v>7</v>
      </c>
      <c r="V7" s="2">
        <f t="shared" si="4"/>
        <v>15</v>
      </c>
    </row>
    <row r="8" spans="1:26" x14ac:dyDescent="0.2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193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263</v>
      </c>
      <c r="U9" s="2">
        <f t="shared" si="3"/>
        <v>24</v>
      </c>
      <c r="V9" s="2">
        <f t="shared" si="4"/>
        <v>6</v>
      </c>
    </row>
    <row r="10" spans="1:26" x14ac:dyDescent="0.2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227</v>
      </c>
      <c r="F10" s="6">
        <f>'#'!K12</f>
        <v>61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314</v>
      </c>
      <c r="U10" s="2">
        <f t="shared" si="3"/>
        <v>82</v>
      </c>
      <c r="V10" s="2">
        <f t="shared" si="4"/>
        <v>70</v>
      </c>
    </row>
    <row r="11" spans="1:26" x14ac:dyDescent="0.2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177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236</v>
      </c>
      <c r="U11" s="2">
        <f t="shared" si="3"/>
        <v>44</v>
      </c>
      <c r="V11" s="2">
        <f t="shared" si="4"/>
        <v>43</v>
      </c>
    </row>
    <row r="12" spans="1:26" x14ac:dyDescent="0.2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">
      <c r="A18" s="4">
        <v>17</v>
      </c>
      <c r="B18" s="27" t="s">
        <v>362</v>
      </c>
      <c r="C18" s="4" t="s">
        <v>355</v>
      </c>
      <c r="D18" s="148" t="s">
        <v>344</v>
      </c>
      <c r="E18" s="6">
        <f>'#'!J20</f>
        <v>1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2"/>
        <v>2</v>
      </c>
      <c r="U18" s="2">
        <f t="shared" si="3"/>
        <v>0</v>
      </c>
      <c r="V18" s="2">
        <f t="shared" si="4"/>
        <v>2</v>
      </c>
    </row>
    <row r="19" spans="1:22" x14ac:dyDescent="0.2">
      <c r="A19" s="4">
        <v>20</v>
      </c>
      <c r="B19" s="56" t="s">
        <v>356</v>
      </c>
      <c r="C19" s="4" t="s">
        <v>355</v>
      </c>
      <c r="D19" s="148" t="s">
        <v>316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2"/>
        <v>44</v>
      </c>
      <c r="U19" s="2">
        <f t="shared" si="3"/>
        <v>8</v>
      </c>
      <c r="V19" s="2">
        <f t="shared" si="4"/>
        <v>3</v>
      </c>
    </row>
    <row r="20" spans="1:22" x14ac:dyDescent="0.2">
      <c r="A20" s="56">
        <v>21</v>
      </c>
      <c r="B20" s="56" t="s">
        <v>363</v>
      </c>
      <c r="C20" s="4" t="s">
        <v>354</v>
      </c>
      <c r="D20" s="37" t="s">
        <v>259</v>
      </c>
      <c r="E20" s="6">
        <f>'#'!J22</f>
        <v>33</v>
      </c>
      <c r="F20" s="6">
        <f>'#'!K22</f>
        <v>2</v>
      </c>
      <c r="G20" s="6">
        <f>'#'!L22</f>
        <v>4</v>
      </c>
      <c r="H20" s="4">
        <f>'#'!V22</f>
        <v>11</v>
      </c>
      <c r="I20" s="4">
        <f>'#'!W22</f>
        <v>1</v>
      </c>
      <c r="J20" s="4">
        <f>'#'!X22</f>
        <v>2</v>
      </c>
      <c r="K20" s="6">
        <f>'#'!AH22</f>
        <v>2</v>
      </c>
      <c r="L20" s="6">
        <f>'#'!AI22</f>
        <v>0</v>
      </c>
      <c r="M20" s="6">
        <f>'#'!AJ22</f>
        <v>2</v>
      </c>
      <c r="N20" s="4">
        <f>'#'!AT22</f>
        <v>2</v>
      </c>
      <c r="O20" s="4">
        <f>'#'!AU22</f>
        <v>0</v>
      </c>
      <c r="P20" s="4">
        <f>'#'!AV22</f>
        <v>1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2"/>
        <v>49</v>
      </c>
      <c r="U20" s="2">
        <f t="shared" si="3"/>
        <v>3</v>
      </c>
      <c r="V20" s="2">
        <f t="shared" si="4"/>
        <v>9</v>
      </c>
    </row>
    <row r="21" spans="1:22" x14ac:dyDescent="0.2">
      <c r="A21" s="56">
        <v>22</v>
      </c>
      <c r="B21" s="56" t="s">
        <v>356</v>
      </c>
      <c r="C21" s="4" t="s">
        <v>354</v>
      </c>
      <c r="D21" s="40" t="s">
        <v>264</v>
      </c>
      <c r="E21" s="6">
        <f>'#'!J23</f>
        <v>34</v>
      </c>
      <c r="F21" s="6">
        <f>'#'!K23</f>
        <v>4</v>
      </c>
      <c r="G21" s="6">
        <f>'#'!L23</f>
        <v>2</v>
      </c>
      <c r="H21" s="4">
        <f>'#'!V23</f>
        <v>10</v>
      </c>
      <c r="I21" s="4">
        <f>'#'!W23</f>
        <v>2</v>
      </c>
      <c r="J21" s="4">
        <f>'#'!X23</f>
        <v>0</v>
      </c>
      <c r="K21" s="6">
        <f>'#'!AH23</f>
        <v>1</v>
      </c>
      <c r="L21" s="6">
        <f>'#'!AI23</f>
        <v>0</v>
      </c>
      <c r="M21" s="6">
        <f>'#'!AJ23</f>
        <v>0</v>
      </c>
      <c r="N21" s="4">
        <f>'#'!AT23</f>
        <v>6</v>
      </c>
      <c r="O21" s="4">
        <f>'#'!AU23</f>
        <v>4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2"/>
        <v>51</v>
      </c>
      <c r="U21" s="2">
        <f t="shared" si="3"/>
        <v>10</v>
      </c>
      <c r="V21" s="2">
        <f t="shared" si="4"/>
        <v>2</v>
      </c>
    </row>
    <row r="22" spans="1:22" x14ac:dyDescent="0.2">
      <c r="A22" s="4">
        <v>23</v>
      </c>
      <c r="B22" s="27" t="s">
        <v>350</v>
      </c>
      <c r="C22" s="4" t="s">
        <v>354</v>
      </c>
      <c r="D22" s="37" t="s">
        <v>294</v>
      </c>
      <c r="E22" s="6">
        <f>'#'!J24</f>
        <v>51</v>
      </c>
      <c r="F22" s="6">
        <f>'#'!K24</f>
        <v>11</v>
      </c>
      <c r="G22" s="6">
        <f>'#'!L24</f>
        <v>5</v>
      </c>
      <c r="H22" s="4">
        <f>'#'!V24</f>
        <v>19</v>
      </c>
      <c r="I22" s="4">
        <f>'#'!W24</f>
        <v>4</v>
      </c>
      <c r="J22" s="4">
        <f>'#'!X24</f>
        <v>3</v>
      </c>
      <c r="K22" s="6">
        <f>'#'!AH24</f>
        <v>2</v>
      </c>
      <c r="L22" s="6">
        <f>'#'!AI24</f>
        <v>0</v>
      </c>
      <c r="M22" s="6">
        <f>'#'!AJ24</f>
        <v>0</v>
      </c>
      <c r="N22" s="4">
        <f>'#'!AT24</f>
        <v>7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2"/>
        <v>79</v>
      </c>
      <c r="U22" s="2">
        <f t="shared" si="3"/>
        <v>15</v>
      </c>
      <c r="V22" s="2">
        <f t="shared" si="4"/>
        <v>8</v>
      </c>
    </row>
    <row r="23" spans="1:22" x14ac:dyDescent="0.2">
      <c r="A23" s="4">
        <v>24</v>
      </c>
      <c r="B23" s="56" t="s">
        <v>356</v>
      </c>
      <c r="C23" s="4" t="s">
        <v>355</v>
      </c>
      <c r="D23" s="148" t="s">
        <v>115</v>
      </c>
      <c r="E23" s="6">
        <f>'#'!J25</f>
        <v>50</v>
      </c>
      <c r="F23" s="6">
        <f>'#'!K25</f>
        <v>4</v>
      </c>
      <c r="G23" s="6">
        <f>'#'!L25</f>
        <v>2</v>
      </c>
      <c r="H23" s="4">
        <f>'#'!V25</f>
        <v>25</v>
      </c>
      <c r="I23" s="4">
        <f>'#'!W25</f>
        <v>1</v>
      </c>
      <c r="J23" s="4">
        <f>'#'!X25</f>
        <v>4</v>
      </c>
      <c r="K23" s="6">
        <f>'#'!AH25</f>
        <v>5</v>
      </c>
      <c r="L23" s="6">
        <f>'#'!AI25</f>
        <v>1</v>
      </c>
      <c r="M23" s="6">
        <f>'#'!AJ25</f>
        <v>1</v>
      </c>
      <c r="N23" s="4">
        <f>'#'!AT25</f>
        <v>8</v>
      </c>
      <c r="O23" s="4">
        <f>'#'!AU25</f>
        <v>2</v>
      </c>
      <c r="P23" s="4">
        <f>'#'!AV25</f>
        <v>1</v>
      </c>
      <c r="Q23" s="6">
        <f>'#'!BF25</f>
        <v>2</v>
      </c>
      <c r="R23" s="6">
        <f>'#'!BG25</f>
        <v>0</v>
      </c>
      <c r="S23" s="6">
        <f>'#'!BH25</f>
        <v>0</v>
      </c>
      <c r="T23" s="2">
        <f t="shared" si="2"/>
        <v>90</v>
      </c>
      <c r="U23" s="2">
        <f t="shared" si="3"/>
        <v>8</v>
      </c>
      <c r="V23" s="2">
        <f t="shared" si="4"/>
        <v>8</v>
      </c>
    </row>
    <row r="24" spans="1:22" x14ac:dyDescent="0.2">
      <c r="A24" s="4">
        <v>29</v>
      </c>
      <c r="B24" s="27" t="s">
        <v>364</v>
      </c>
      <c r="C24" s="4" t="s">
        <v>355</v>
      </c>
      <c r="D24" s="148" t="s">
        <v>276</v>
      </c>
      <c r="E24" s="6">
        <f>'#'!J26</f>
        <v>73</v>
      </c>
      <c r="F24" s="6">
        <f>'#'!K26</f>
        <v>25</v>
      </c>
      <c r="G24" s="6">
        <f>'#'!L26</f>
        <v>13</v>
      </c>
      <c r="H24" s="4">
        <f>'#'!V26</f>
        <v>24</v>
      </c>
      <c r="I24" s="4">
        <f>'#'!W26</f>
        <v>9</v>
      </c>
      <c r="J24" s="4">
        <f>'#'!X26</f>
        <v>2</v>
      </c>
      <c r="K24" s="6">
        <f>'#'!AH26</f>
        <v>5</v>
      </c>
      <c r="L24" s="6">
        <f>'#'!AI26</f>
        <v>0</v>
      </c>
      <c r="M24" s="6">
        <f>'#'!AJ26</f>
        <v>1</v>
      </c>
      <c r="N24" s="4">
        <f>'#'!AT26</f>
        <v>9</v>
      </c>
      <c r="O24" s="4">
        <f>'#'!AU26</f>
        <v>3</v>
      </c>
      <c r="P24" s="4">
        <f>'#'!AV26</f>
        <v>0</v>
      </c>
      <c r="Q24" s="6">
        <f>'#'!BF26</f>
        <v>2</v>
      </c>
      <c r="R24" s="6">
        <f>'#'!BG26</f>
        <v>1</v>
      </c>
      <c r="S24" s="6">
        <f>'#'!BH26</f>
        <v>0</v>
      </c>
      <c r="T24" s="2">
        <f t="shared" si="2"/>
        <v>113</v>
      </c>
      <c r="U24" s="2">
        <f t="shared" si="3"/>
        <v>38</v>
      </c>
      <c r="V24" s="2">
        <f t="shared" si="4"/>
        <v>16</v>
      </c>
    </row>
    <row r="25" spans="1:22" x14ac:dyDescent="0.2">
      <c r="A25" s="4">
        <v>30</v>
      </c>
      <c r="B25" s="27" t="s">
        <v>352</v>
      </c>
      <c r="C25" s="4" t="s">
        <v>351</v>
      </c>
      <c r="D25" s="148" t="s">
        <v>345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0</v>
      </c>
      <c r="L25" s="6">
        <f>'#'!AI27</f>
        <v>0</v>
      </c>
      <c r="M25" s="6">
        <f>'#'!AJ27</f>
        <v>0</v>
      </c>
      <c r="N25" s="4">
        <f>'#'!AT27</f>
        <v>0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2"/>
        <v>0</v>
      </c>
      <c r="U25" s="2">
        <f t="shared" si="3"/>
        <v>0</v>
      </c>
      <c r="V25" s="2">
        <f t="shared" si="4"/>
        <v>0</v>
      </c>
    </row>
    <row r="26" spans="1:22" x14ac:dyDescent="0.2">
      <c r="A26" s="4">
        <v>33</v>
      </c>
      <c r="B26" s="27" t="s">
        <v>365</v>
      </c>
      <c r="C26" s="4" t="s">
        <v>353</v>
      </c>
      <c r="D26" s="148" t="s">
        <v>292</v>
      </c>
      <c r="E26" s="6">
        <f>'#'!J28</f>
        <v>46</v>
      </c>
      <c r="F26" s="6">
        <f>'#'!K28</f>
        <v>3</v>
      </c>
      <c r="G26" s="6">
        <f>'#'!L28</f>
        <v>4</v>
      </c>
      <c r="H26" s="4">
        <f>'#'!V28</f>
        <v>14</v>
      </c>
      <c r="I26" s="4">
        <f>'#'!W28</f>
        <v>1</v>
      </c>
      <c r="J26" s="4">
        <f>'#'!X28</f>
        <v>2</v>
      </c>
      <c r="K26" s="6">
        <f>'#'!AH28</f>
        <v>2</v>
      </c>
      <c r="L26" s="6">
        <f>'#'!AI28</f>
        <v>0</v>
      </c>
      <c r="M26" s="6">
        <f>'#'!AJ28</f>
        <v>0</v>
      </c>
      <c r="N26" s="4">
        <f>'#'!AT28</f>
        <v>4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1</v>
      </c>
      <c r="S26" s="6">
        <f>'#'!BH28</f>
        <v>0</v>
      </c>
      <c r="T26" s="2">
        <f t="shared" si="2"/>
        <v>67</v>
      </c>
      <c r="U26" s="2">
        <f t="shared" si="3"/>
        <v>5</v>
      </c>
      <c r="V26" s="2">
        <f t="shared" si="4"/>
        <v>6</v>
      </c>
    </row>
    <row r="27" spans="1:22" x14ac:dyDescent="0.2">
      <c r="A27" s="4">
        <v>35</v>
      </c>
      <c r="B27" s="56" t="s">
        <v>356</v>
      </c>
      <c r="C27" s="4" t="s">
        <v>351</v>
      </c>
      <c r="D27" s="148" t="s">
        <v>304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1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 t="shared" si="2"/>
        <v>2</v>
      </c>
      <c r="U27" s="2">
        <f t="shared" si="3"/>
        <v>0</v>
      </c>
      <c r="V27" s="2">
        <f t="shared" si="4"/>
        <v>0</v>
      </c>
    </row>
    <row r="28" spans="1:22" x14ac:dyDescent="0.2">
      <c r="A28" s="4">
        <v>36</v>
      </c>
      <c r="B28" s="27" t="s">
        <v>350</v>
      </c>
      <c r="C28" s="4" t="s">
        <v>354</v>
      </c>
      <c r="D28" s="148" t="s">
        <v>314</v>
      </c>
      <c r="E28" s="6">
        <f>'#'!J30</f>
        <v>39</v>
      </c>
      <c r="F28" s="6">
        <f>'#'!K30</f>
        <v>5</v>
      </c>
      <c r="G28" s="6">
        <f>'#'!L30</f>
        <v>1</v>
      </c>
      <c r="H28" s="4">
        <f>'#'!V30</f>
        <v>13</v>
      </c>
      <c r="I28" s="4">
        <f>'#'!W30</f>
        <v>0</v>
      </c>
      <c r="J28" s="4">
        <f>'#'!X30</f>
        <v>2</v>
      </c>
      <c r="K28" s="6">
        <f>'#'!AH30</f>
        <v>3</v>
      </c>
      <c r="L28" s="6">
        <f>'#'!AI30</f>
        <v>0</v>
      </c>
      <c r="M28" s="6">
        <f>'#'!AJ30</f>
        <v>0</v>
      </c>
      <c r="N28" s="4">
        <f>'#'!AT30</f>
        <v>3</v>
      </c>
      <c r="O28" s="4">
        <f>'#'!AU30</f>
        <v>1</v>
      </c>
      <c r="P28" s="4">
        <f>'#'!AV30</f>
        <v>0</v>
      </c>
      <c r="Q28" s="6">
        <f>'#'!BF30</f>
        <v>1</v>
      </c>
      <c r="R28" s="6">
        <f>'#'!BG30</f>
        <v>0</v>
      </c>
      <c r="S28" s="6">
        <f>'#'!BH30</f>
        <v>0</v>
      </c>
      <c r="T28" s="2">
        <f t="shared" si="2"/>
        <v>59</v>
      </c>
      <c r="U28" s="2">
        <f t="shared" si="3"/>
        <v>6</v>
      </c>
      <c r="V28" s="2">
        <f t="shared" si="4"/>
        <v>3</v>
      </c>
    </row>
    <row r="29" spans="1:22" x14ac:dyDescent="0.2">
      <c r="A29" s="4">
        <v>39</v>
      </c>
      <c r="B29" s="4" t="s">
        <v>358</v>
      </c>
      <c r="C29" s="4" t="s">
        <v>354</v>
      </c>
      <c r="D29" s="148" t="s">
        <v>346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0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0</v>
      </c>
      <c r="O29" s="4">
        <f>'#'!AU31</f>
        <v>0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2"/>
        <v>1</v>
      </c>
      <c r="U29" s="2">
        <f t="shared" si="3"/>
        <v>0</v>
      </c>
      <c r="V29" s="2">
        <f t="shared" si="4"/>
        <v>0</v>
      </c>
    </row>
    <row r="30" spans="1:22" x14ac:dyDescent="0.2">
      <c r="A30" s="4">
        <v>41</v>
      </c>
      <c r="B30" s="56" t="s">
        <v>356</v>
      </c>
      <c r="C30" s="4" t="s">
        <v>354</v>
      </c>
      <c r="D30" s="35" t="s">
        <v>278</v>
      </c>
      <c r="E30" s="6">
        <f>'#'!J32</f>
        <v>110</v>
      </c>
      <c r="F30" s="6">
        <f>'#'!K32</f>
        <v>15</v>
      </c>
      <c r="G30" s="6">
        <f>'#'!L32</f>
        <v>20</v>
      </c>
      <c r="H30" s="4">
        <f>'#'!V32</f>
        <v>36</v>
      </c>
      <c r="I30" s="4">
        <f>'#'!W32</f>
        <v>5</v>
      </c>
      <c r="J30" s="4">
        <f>'#'!X32</f>
        <v>5</v>
      </c>
      <c r="K30" s="6">
        <f>'#'!AH32</f>
        <v>2</v>
      </c>
      <c r="L30" s="6">
        <f>'#'!AI32</f>
        <v>0</v>
      </c>
      <c r="M30" s="6">
        <f>'#'!AJ32</f>
        <v>0</v>
      </c>
      <c r="N30" s="4">
        <f>'#'!AT32</f>
        <v>10</v>
      </c>
      <c r="O30" s="4">
        <f>'#'!AU32</f>
        <v>1</v>
      </c>
      <c r="P30" s="4">
        <f>'#'!AV32</f>
        <v>3</v>
      </c>
      <c r="Q30" s="6">
        <f>'#'!BF32</f>
        <v>2</v>
      </c>
      <c r="R30" s="6">
        <f>'#'!BG32</f>
        <v>0</v>
      </c>
      <c r="S30" s="6">
        <f>'#'!BH32</f>
        <v>0</v>
      </c>
      <c r="T30" s="2">
        <f t="shared" si="2"/>
        <v>160</v>
      </c>
      <c r="U30" s="2">
        <f t="shared" si="3"/>
        <v>21</v>
      </c>
      <c r="V30" s="2">
        <f t="shared" si="4"/>
        <v>28</v>
      </c>
    </row>
    <row r="31" spans="1:22" x14ac:dyDescent="0.2">
      <c r="A31" s="4">
        <v>46</v>
      </c>
      <c r="B31" s="4" t="s">
        <v>357</v>
      </c>
      <c r="C31" s="4" t="s">
        <v>355</v>
      </c>
      <c r="D31" s="34" t="s">
        <v>299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2"/>
        <v>1</v>
      </c>
      <c r="U31" s="2">
        <f t="shared" si="3"/>
        <v>0</v>
      </c>
      <c r="V31" s="2">
        <f t="shared" si="4"/>
        <v>0</v>
      </c>
    </row>
    <row r="32" spans="1:22" x14ac:dyDescent="0.2">
      <c r="A32" s="56">
        <v>49</v>
      </c>
      <c r="B32" s="56" t="s">
        <v>356</v>
      </c>
      <c r="C32" s="4" t="s">
        <v>353</v>
      </c>
      <c r="D32" s="35" t="s">
        <v>298</v>
      </c>
      <c r="E32" s="6">
        <f>'#'!J34</f>
        <v>44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2"/>
        <v>77</v>
      </c>
      <c r="U32" s="2">
        <f t="shared" si="3"/>
        <v>1</v>
      </c>
      <c r="V32" s="2">
        <f t="shared" si="4"/>
        <v>6</v>
      </c>
    </row>
    <row r="33" spans="1:22" x14ac:dyDescent="0.2">
      <c r="A33" s="56">
        <v>52</v>
      </c>
      <c r="B33" s="56" t="s">
        <v>356</v>
      </c>
      <c r="C33" s="28" t="s">
        <v>353</v>
      </c>
      <c r="D33" s="149" t="s">
        <v>342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1</v>
      </c>
      <c r="L33" s="6">
        <f>'#'!AI35</f>
        <v>0</v>
      </c>
      <c r="M33" s="6">
        <f>'#'!AJ35</f>
        <v>0</v>
      </c>
      <c r="N33" s="4">
        <f>'#'!AT35</f>
        <v>0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2"/>
        <v>1</v>
      </c>
      <c r="U33" s="2">
        <f t="shared" si="3"/>
        <v>0</v>
      </c>
      <c r="V33" s="2">
        <f t="shared" si="4"/>
        <v>0</v>
      </c>
    </row>
    <row r="34" spans="1:22" x14ac:dyDescent="0.2">
      <c r="A34" s="56">
        <v>53</v>
      </c>
      <c r="B34" s="56" t="s">
        <v>356</v>
      </c>
      <c r="C34" s="28" t="s">
        <v>355</v>
      </c>
      <c r="D34" s="148" t="s">
        <v>293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2"/>
        <v>1</v>
      </c>
      <c r="U34" s="2">
        <f t="shared" si="3"/>
        <v>0</v>
      </c>
      <c r="V34" s="2">
        <f t="shared" si="4"/>
        <v>0</v>
      </c>
    </row>
    <row r="35" spans="1:22" x14ac:dyDescent="0.2">
      <c r="A35" s="56">
        <v>56</v>
      </c>
      <c r="B35" s="56" t="s">
        <v>356</v>
      </c>
      <c r="C35" s="28" t="s">
        <v>355</v>
      </c>
      <c r="D35" s="149" t="s">
        <v>323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2"/>
        <v>13</v>
      </c>
      <c r="U35" s="2">
        <f t="shared" si="3"/>
        <v>1</v>
      </c>
      <c r="V35" s="2">
        <f t="shared" si="4"/>
        <v>0</v>
      </c>
    </row>
    <row r="36" spans="1:22" x14ac:dyDescent="0.2">
      <c r="A36" s="56">
        <v>71</v>
      </c>
      <c r="B36" s="56" t="s">
        <v>356</v>
      </c>
      <c r="C36" s="28" t="s">
        <v>355</v>
      </c>
      <c r="D36" s="148" t="s">
        <v>328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1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2"/>
        <v>2</v>
      </c>
      <c r="U36" s="2">
        <f t="shared" si="3"/>
        <v>0</v>
      </c>
      <c r="V36" s="2">
        <f t="shared" si="4"/>
        <v>0</v>
      </c>
    </row>
    <row r="37" spans="1:22" x14ac:dyDescent="0.2">
      <c r="A37" s="28">
        <v>72</v>
      </c>
      <c r="B37" s="56" t="s">
        <v>356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2"/>
        <v>1</v>
      </c>
      <c r="U37" s="2">
        <f t="shared" si="3"/>
        <v>0</v>
      </c>
      <c r="V37" s="2">
        <f t="shared" si="4"/>
        <v>0</v>
      </c>
    </row>
    <row r="38" spans="1:22" x14ac:dyDescent="0.2">
      <c r="A38" s="28">
        <v>81</v>
      </c>
      <c r="B38" s="56" t="s">
        <v>356</v>
      </c>
      <c r="C38" s="28" t="s">
        <v>355</v>
      </c>
      <c r="D38" s="148" t="s">
        <v>340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2"/>
        <v>1</v>
      </c>
      <c r="U38" s="2">
        <f t="shared" si="3"/>
        <v>0</v>
      </c>
      <c r="V38" s="2">
        <f t="shared" si="4"/>
        <v>0</v>
      </c>
    </row>
    <row r="39" spans="1:22" x14ac:dyDescent="0.2">
      <c r="A39" s="28">
        <v>89</v>
      </c>
      <c r="B39" s="56" t="s">
        <v>356</v>
      </c>
      <c r="C39" s="28" t="s">
        <v>353</v>
      </c>
      <c r="D39" s="148" t="s">
        <v>334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2"/>
        <v>4</v>
      </c>
      <c r="U39" s="2">
        <f t="shared" si="3"/>
        <v>0</v>
      </c>
      <c r="V39" s="2">
        <f t="shared" si="4"/>
        <v>0</v>
      </c>
    </row>
    <row r="40" spans="1:22" x14ac:dyDescent="0.2">
      <c r="A40" s="56">
        <v>92</v>
      </c>
      <c r="B40" s="56" t="s">
        <v>356</v>
      </c>
      <c r="C40" s="56" t="s">
        <v>351</v>
      </c>
      <c r="D40" s="37" t="s">
        <v>302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0</v>
      </c>
      <c r="I40" s="4">
        <f>'#'!W42</f>
        <v>0</v>
      </c>
      <c r="J40" s="4">
        <f>'#'!X42</f>
        <v>0</v>
      </c>
      <c r="K40" s="6">
        <f>'#'!AH42</f>
        <v>0</v>
      </c>
      <c r="L40" s="6">
        <f>'#'!AI42</f>
        <v>0</v>
      </c>
      <c r="M40" s="6">
        <f>'#'!AJ42</f>
        <v>0</v>
      </c>
      <c r="N40" s="4">
        <f>'#'!AT42</f>
        <v>1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2"/>
        <v>1</v>
      </c>
      <c r="U40" s="2">
        <f t="shared" si="3"/>
        <v>0</v>
      </c>
      <c r="V40" s="2">
        <f t="shared" si="4"/>
        <v>0</v>
      </c>
    </row>
    <row r="42" spans="1:22" x14ac:dyDescent="0.2">
      <c r="F42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0 V4:V40">
    <cfRule type="cellIs" dxfId="37" priority="20" operator="greaterThan">
      <formula>396</formula>
    </cfRule>
  </conditionalFormatting>
  <conditionalFormatting sqref="U4:U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T4:T40 V4:V40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3" max="3" width="3.359375" customWidth="1"/>
    <col min="5" max="5" width="8.7421875" customWidth="1"/>
    <col min="12" max="13" width="0" hidden="1" customWidth="1"/>
  </cols>
  <sheetData>
    <row r="1" spans="1:20" x14ac:dyDescent="0.2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">
      <c r="A2" s="3"/>
      <c r="B2" s="5"/>
      <c r="C2" s="3"/>
      <c r="D2" s="200" t="s">
        <v>4</v>
      </c>
      <c r="E2" s="200"/>
      <c r="F2" s="201" t="s">
        <v>6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3" max="3" width="3.359375" customWidth="1"/>
    <col min="5" max="5" width="8.7421875" customWidth="1"/>
    <col min="12" max="13" width="8.875" customWidth="1"/>
  </cols>
  <sheetData>
    <row r="1" spans="1:20" x14ac:dyDescent="0.2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3" max="3" width="3.359375" customWidth="1"/>
    <col min="5" max="5" width="8.7421875" customWidth="1"/>
    <col min="12" max="13" width="8.875" customWidth="1"/>
  </cols>
  <sheetData>
    <row r="1" spans="1:20" x14ac:dyDescent="0.2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3" max="3" width="3.359375" customWidth="1"/>
    <col min="5" max="5" width="8.7421875" customWidth="1"/>
    <col min="12" max="13" width="8.875" customWidth="1"/>
  </cols>
  <sheetData>
    <row r="1" spans="1:17" x14ac:dyDescent="0.2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17" x14ac:dyDescent="0.2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75" defaultRowHeight="15" x14ac:dyDescent="0.2"/>
  <cols>
    <col min="1" max="1" width="3.765625" customWidth="1"/>
    <col min="2" max="2" width="26.36328125" bestFit="1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75" defaultRowHeight="15" x14ac:dyDescent="0.2"/>
  <cols>
    <col min="1" max="1" width="3.359375" customWidth="1"/>
    <col min="2" max="2" width="25.69140625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75" defaultRowHeight="15" x14ac:dyDescent="0.2"/>
  <cols>
    <col min="1" max="1" width="3.359375" customWidth="1"/>
    <col min="2" max="2" width="25.69140625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75" defaultRowHeight="15" x14ac:dyDescent="0.2"/>
  <cols>
    <col min="1" max="1" width="3.359375" customWidth="1"/>
    <col min="2" max="2" width="25.69140625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75" defaultRowHeight="15" x14ac:dyDescent="0.2"/>
  <cols>
    <col min="1" max="1" width="3.359375" customWidth="1"/>
    <col min="2" max="2" width="25.69140625" customWidth="1"/>
    <col min="4" max="4" width="8.7421875" customWidth="1"/>
    <col min="11" max="12" width="8.875" customWidth="1"/>
  </cols>
  <sheetData>
    <row r="1" spans="1:16" x14ac:dyDescent="0.2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0"/>
  <sheetViews>
    <sheetView zoomScale="75" zoomScaleNormal="75" zoomScalePageLayoutView="110" workbookViewId="0">
      <selection activeCell="I41" sqref="I41"/>
    </sheetView>
  </sheetViews>
  <sheetFormatPr defaultColWidth="8.875" defaultRowHeight="15" x14ac:dyDescent="0.2"/>
  <cols>
    <col min="1" max="1" width="3.359375" customWidth="1"/>
    <col min="2" max="2" width="25.69140625" customWidth="1"/>
    <col min="4" max="5" width="8.7421875" customWidth="1"/>
    <col min="15" max="17" width="8.875" customWidth="1"/>
  </cols>
  <sheetData>
    <row r="1" spans="1:22" x14ac:dyDescent="0.2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">
      <c r="A4" s="27">
        <v>1</v>
      </c>
      <c r="B4" s="37" t="s">
        <v>279</v>
      </c>
      <c r="C4" s="6">
        <f>'Premier League'!C4</f>
        <v>1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2</v>
      </c>
      <c r="S4" s="2">
        <f t="shared" ref="S4:T4" si="0">SUM(D4,G4,J4,M4,P4)</f>
        <v>0</v>
      </c>
      <c r="T4" s="2">
        <f t="shared" si="0"/>
        <v>0</v>
      </c>
    </row>
    <row r="5" spans="1:22" x14ac:dyDescent="0.2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40" si="1">SUM(C5,F5,I5,L5,O5)</f>
        <v>0</v>
      </c>
      <c r="S5" s="2">
        <f t="shared" ref="S5:S40" si="2">SUM(D5,G5,J5,M5,P5)</f>
        <v>0</v>
      </c>
      <c r="T5" s="2">
        <f t="shared" ref="T5:T40" si="3">SUM(E5,H5,K5,N5,Q5)</f>
        <v>0</v>
      </c>
      <c r="V5" s="55"/>
    </row>
    <row r="6" spans="1:22" x14ac:dyDescent="0.2">
      <c r="A6" s="27">
        <v>3</v>
      </c>
      <c r="B6" s="35" t="s">
        <v>317</v>
      </c>
      <c r="C6" s="6">
        <f>'Premier League'!C6</f>
        <v>1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V6" s="55"/>
    </row>
    <row r="7" spans="1:22" x14ac:dyDescent="0.2">
      <c r="A7" s="27">
        <v>4</v>
      </c>
      <c r="B7" s="37" t="s">
        <v>221</v>
      </c>
      <c r="C7" s="6">
        <f>'Premier League'!C7</f>
        <v>1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2</v>
      </c>
      <c r="S7" s="2">
        <f t="shared" si="2"/>
        <v>0</v>
      </c>
      <c r="T7" s="2">
        <f t="shared" si="3"/>
        <v>1</v>
      </c>
      <c r="V7" s="55"/>
    </row>
    <row r="8" spans="1:22" x14ac:dyDescent="0.2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">
      <c r="A9" s="27">
        <v>6</v>
      </c>
      <c r="B9" s="37" t="s">
        <v>198</v>
      </c>
      <c r="C9" s="6">
        <f>'Premier League'!C9</f>
        <v>1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2</v>
      </c>
      <c r="S9" s="2">
        <f t="shared" si="2"/>
        <v>0</v>
      </c>
      <c r="T9" s="2">
        <f t="shared" si="3"/>
        <v>0</v>
      </c>
      <c r="V9" s="55"/>
    </row>
    <row r="10" spans="1:22" x14ac:dyDescent="0.2">
      <c r="A10" s="27">
        <v>7</v>
      </c>
      <c r="B10" s="37" t="s">
        <v>180</v>
      </c>
      <c r="C10" s="6">
        <f>'Premier League'!C10</f>
        <v>1</v>
      </c>
      <c r="D10" s="6">
        <f>'Premier League'!D10</f>
        <v>1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2</v>
      </c>
      <c r="S10" s="2">
        <f t="shared" si="2"/>
        <v>1</v>
      </c>
      <c r="T10" s="2">
        <f t="shared" si="3"/>
        <v>0</v>
      </c>
      <c r="V10" s="55"/>
    </row>
    <row r="11" spans="1:22" x14ac:dyDescent="0.2">
      <c r="A11" s="27">
        <v>8</v>
      </c>
      <c r="B11" s="37" t="s">
        <v>219</v>
      </c>
      <c r="C11" s="6">
        <f>'Premier League'!C11</f>
        <v>1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2</v>
      </c>
      <c r="S11" s="2">
        <f t="shared" si="2"/>
        <v>2</v>
      </c>
      <c r="T11" s="2">
        <f t="shared" si="3"/>
        <v>0</v>
      </c>
      <c r="V11" s="55"/>
    </row>
    <row r="12" spans="1:22" x14ac:dyDescent="0.2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 t="shared" si="1"/>
        <v>1</v>
      </c>
      <c r="S17" s="2">
        <f t="shared" si="2"/>
        <v>0</v>
      </c>
      <c r="T17" s="2">
        <f t="shared" si="3"/>
        <v>0</v>
      </c>
      <c r="V17" s="55"/>
    </row>
    <row r="18" spans="1:22" x14ac:dyDescent="0.2">
      <c r="A18" s="27">
        <v>17</v>
      </c>
      <c r="B18" s="148" t="s">
        <v>344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1"/>
        <v>2</v>
      </c>
      <c r="S18" s="2">
        <f t="shared" si="2"/>
        <v>0</v>
      </c>
      <c r="T18" s="2">
        <f t="shared" si="3"/>
        <v>2</v>
      </c>
      <c r="V18" s="55"/>
    </row>
    <row r="19" spans="1:22" x14ac:dyDescent="0.2">
      <c r="A19" s="27">
        <v>20</v>
      </c>
      <c r="B19" s="148" t="s">
        <v>316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1"/>
        <v>2</v>
      </c>
      <c r="S19" s="2">
        <f t="shared" si="2"/>
        <v>0</v>
      </c>
      <c r="T19" s="2">
        <f t="shared" si="3"/>
        <v>0</v>
      </c>
    </row>
    <row r="20" spans="1:22" x14ac:dyDescent="0.2">
      <c r="A20" s="28">
        <v>21</v>
      </c>
      <c r="B20" s="37" t="s">
        <v>259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1"/>
        <v>0</v>
      </c>
      <c r="S20" s="2">
        <f t="shared" si="2"/>
        <v>0</v>
      </c>
      <c r="T20" s="2">
        <f t="shared" si="3"/>
        <v>0</v>
      </c>
      <c r="V20" s="55"/>
    </row>
    <row r="21" spans="1:22" x14ac:dyDescent="0.2">
      <c r="A21" s="28">
        <v>22</v>
      </c>
      <c r="B21" s="40" t="s">
        <v>264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1"/>
        <v>0</v>
      </c>
      <c r="S21" s="2">
        <f t="shared" si="2"/>
        <v>0</v>
      </c>
      <c r="T21" s="2">
        <f t="shared" si="3"/>
        <v>0</v>
      </c>
    </row>
    <row r="22" spans="1:22" x14ac:dyDescent="0.2">
      <c r="A22" s="28">
        <v>23</v>
      </c>
      <c r="B22" s="37" t="s">
        <v>294</v>
      </c>
      <c r="C22" s="6">
        <f>'Premier League'!C22</f>
        <v>1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1"/>
        <v>1</v>
      </c>
      <c r="S22" s="2">
        <f t="shared" si="2"/>
        <v>0</v>
      </c>
      <c r="T22" s="2">
        <f t="shared" si="3"/>
        <v>0</v>
      </c>
    </row>
    <row r="23" spans="1:22" x14ac:dyDescent="0.2">
      <c r="A23" s="28">
        <v>24</v>
      </c>
      <c r="B23" s="148" t="s">
        <v>115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1"/>
        <v>0</v>
      </c>
      <c r="S23" s="2">
        <f t="shared" si="2"/>
        <v>0</v>
      </c>
      <c r="T23" s="2">
        <f t="shared" si="3"/>
        <v>0</v>
      </c>
      <c r="V23" s="55"/>
    </row>
    <row r="24" spans="1:22" x14ac:dyDescent="0.2">
      <c r="A24" s="28">
        <v>29</v>
      </c>
      <c r="B24" s="148" t="s">
        <v>276</v>
      </c>
      <c r="C24" s="6">
        <f>'Premier League'!C24</f>
        <v>1</v>
      </c>
      <c r="D24" s="6">
        <f>'Premier League'!D24</f>
        <v>1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1"/>
        <v>2</v>
      </c>
      <c r="S24" s="2">
        <f t="shared" si="2"/>
        <v>2</v>
      </c>
      <c r="T24" s="2">
        <f t="shared" si="3"/>
        <v>0</v>
      </c>
      <c r="V24" s="55"/>
    </row>
    <row r="25" spans="1:22" x14ac:dyDescent="0.2">
      <c r="A25" s="28">
        <v>30</v>
      </c>
      <c r="B25" s="148" t="s">
        <v>345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1"/>
        <v>0</v>
      </c>
      <c r="S25" s="2">
        <f t="shared" si="2"/>
        <v>0</v>
      </c>
      <c r="T25" s="2">
        <f t="shared" si="3"/>
        <v>0</v>
      </c>
      <c r="V25" s="55"/>
    </row>
    <row r="26" spans="1:22" x14ac:dyDescent="0.2">
      <c r="A26" s="28">
        <v>33</v>
      </c>
      <c r="B26" s="148" t="s">
        <v>292</v>
      </c>
      <c r="C26" s="6">
        <f>'Premier League'!C26</f>
        <v>1</v>
      </c>
      <c r="D26" s="6">
        <f>'Premier League'!D26</f>
        <v>0</v>
      </c>
      <c r="E26" s="6">
        <f>'Premier League'!E26</f>
        <v>1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1</v>
      </c>
      <c r="Q26" s="6">
        <f>'Other (CS)'!E25</f>
        <v>0</v>
      </c>
      <c r="R26" s="2">
        <f t="shared" si="1"/>
        <v>2</v>
      </c>
      <c r="S26" s="2">
        <f t="shared" si="2"/>
        <v>1</v>
      </c>
      <c r="T26" s="2">
        <f t="shared" si="3"/>
        <v>1</v>
      </c>
      <c r="V26" s="55"/>
    </row>
    <row r="27" spans="1:22" x14ac:dyDescent="0.2">
      <c r="A27" s="27">
        <v>35</v>
      </c>
      <c r="B27" s="148" t="s">
        <v>304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 t="shared" si="1"/>
        <v>0</v>
      </c>
      <c r="S27" s="2">
        <f t="shared" si="2"/>
        <v>0</v>
      </c>
      <c r="T27" s="2">
        <f t="shared" si="3"/>
        <v>0</v>
      </c>
      <c r="V27" s="55"/>
    </row>
    <row r="28" spans="1:22" x14ac:dyDescent="0.2">
      <c r="A28" s="27">
        <v>36</v>
      </c>
      <c r="B28" s="148" t="s">
        <v>314</v>
      </c>
      <c r="C28" s="6">
        <f>'Premier League'!C28</f>
        <v>1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1"/>
        <v>2</v>
      </c>
      <c r="S28" s="2">
        <f t="shared" si="2"/>
        <v>0</v>
      </c>
      <c r="T28" s="2">
        <f t="shared" si="3"/>
        <v>0</v>
      </c>
      <c r="V28" s="55"/>
    </row>
    <row r="29" spans="1:22" x14ac:dyDescent="0.2">
      <c r="A29" s="27">
        <v>39</v>
      </c>
      <c r="B29" s="148" t="s">
        <v>346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1"/>
        <v>1</v>
      </c>
      <c r="S29" s="2">
        <f t="shared" si="2"/>
        <v>0</v>
      </c>
      <c r="T29" s="2">
        <f t="shared" si="3"/>
        <v>0</v>
      </c>
      <c r="V29" s="55"/>
    </row>
    <row r="30" spans="1:22" x14ac:dyDescent="0.2">
      <c r="A30" s="27">
        <v>41</v>
      </c>
      <c r="B30" s="35" t="s">
        <v>278</v>
      </c>
      <c r="C30" s="6">
        <f>'Premier League'!C30</f>
        <v>1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1"/>
        <v>2</v>
      </c>
      <c r="S30" s="2">
        <f t="shared" si="2"/>
        <v>0</v>
      </c>
      <c r="T30" s="2">
        <f t="shared" si="3"/>
        <v>0</v>
      </c>
      <c r="V30" s="55"/>
    </row>
    <row r="31" spans="1:22" x14ac:dyDescent="0.2">
      <c r="A31" s="27">
        <v>46</v>
      </c>
      <c r="B31" s="34" t="s">
        <v>299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1"/>
        <v>0</v>
      </c>
      <c r="S31" s="2">
        <f t="shared" si="2"/>
        <v>0</v>
      </c>
      <c r="T31" s="2">
        <f t="shared" si="3"/>
        <v>0</v>
      </c>
      <c r="V31" s="55"/>
    </row>
    <row r="32" spans="1:22" x14ac:dyDescent="0.2">
      <c r="A32" s="28">
        <v>49</v>
      </c>
      <c r="B32" s="35" t="s">
        <v>298</v>
      </c>
      <c r="C32" s="6">
        <f>'Premier League'!C32</f>
        <v>1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1"/>
        <v>2</v>
      </c>
      <c r="S32" s="2">
        <f t="shared" si="2"/>
        <v>0</v>
      </c>
      <c r="T32" s="2">
        <f t="shared" si="3"/>
        <v>1</v>
      </c>
    </row>
    <row r="33" spans="1:20" x14ac:dyDescent="0.2">
      <c r="A33" s="27">
        <v>52</v>
      </c>
      <c r="B33" s="149" t="s">
        <v>342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1"/>
        <v>0</v>
      </c>
      <c r="S33" s="2">
        <f t="shared" si="2"/>
        <v>0</v>
      </c>
      <c r="T33" s="2">
        <f t="shared" si="3"/>
        <v>0</v>
      </c>
    </row>
    <row r="34" spans="1:20" x14ac:dyDescent="0.2">
      <c r="A34" s="28">
        <v>53</v>
      </c>
      <c r="B34" s="148" t="s">
        <v>293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1"/>
        <v>0</v>
      </c>
      <c r="S34" s="2">
        <f t="shared" si="2"/>
        <v>0</v>
      </c>
      <c r="T34" s="2">
        <f t="shared" si="3"/>
        <v>0</v>
      </c>
    </row>
    <row r="35" spans="1:20" x14ac:dyDescent="0.2">
      <c r="A35" s="28">
        <v>56</v>
      </c>
      <c r="B35" s="149" t="s">
        <v>323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"/>
        <v>0</v>
      </c>
      <c r="S35" s="2">
        <f t="shared" si="2"/>
        <v>0</v>
      </c>
      <c r="T35" s="2">
        <f t="shared" si="3"/>
        <v>0</v>
      </c>
    </row>
    <row r="36" spans="1:20" x14ac:dyDescent="0.2">
      <c r="A36" s="28">
        <v>71</v>
      </c>
      <c r="B36" s="148" t="s">
        <v>328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"/>
        <v>0</v>
      </c>
      <c r="S36" s="2">
        <f t="shared" si="2"/>
        <v>0</v>
      </c>
      <c r="T36" s="2">
        <f t="shared" si="3"/>
        <v>0</v>
      </c>
    </row>
    <row r="37" spans="1:20" x14ac:dyDescent="0.2">
      <c r="A37" s="28">
        <v>72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1"/>
        <v>0</v>
      </c>
      <c r="S37" s="2">
        <f t="shared" si="2"/>
        <v>0</v>
      </c>
      <c r="T37" s="2">
        <f t="shared" si="3"/>
        <v>0</v>
      </c>
    </row>
    <row r="38" spans="1:20" x14ac:dyDescent="0.2">
      <c r="A38" s="28">
        <v>81</v>
      </c>
      <c r="B38" s="148" t="s">
        <v>340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"/>
        <v>0</v>
      </c>
      <c r="S38" s="2">
        <f t="shared" si="2"/>
        <v>0</v>
      </c>
      <c r="T38" s="2">
        <f t="shared" si="3"/>
        <v>0</v>
      </c>
    </row>
    <row r="39" spans="1:20" x14ac:dyDescent="0.2">
      <c r="A39" s="28">
        <v>89</v>
      </c>
      <c r="B39" s="148" t="s">
        <v>334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"/>
        <v>0</v>
      </c>
      <c r="S39" s="2">
        <f t="shared" si="2"/>
        <v>0</v>
      </c>
      <c r="T39" s="2">
        <f t="shared" si="3"/>
        <v>0</v>
      </c>
    </row>
    <row r="40" spans="1:20" x14ac:dyDescent="0.2">
      <c r="A40" s="28">
        <v>92</v>
      </c>
      <c r="B40" s="37" t="s">
        <v>302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1"/>
        <v>0</v>
      </c>
      <c r="S40" s="2">
        <f t="shared" si="2"/>
        <v>0</v>
      </c>
      <c r="T40" s="2">
        <f t="shared" si="3"/>
        <v>0</v>
      </c>
    </row>
  </sheetData>
  <autoFilter ref="A3:S20" xr:uid="{00000000-0009-0000-0000-000002000000}">
    <sortState xmlns:xlrd2="http://schemas.microsoft.com/office/spreadsheetml/2017/richdata2" ref="A4:S22">
      <sortCondition ref="A3:A20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75" defaultRowHeight="15" x14ac:dyDescent="0.2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75" defaultRowHeight="15" x14ac:dyDescent="0.2"/>
  <cols>
    <col min="1" max="1" width="7.93359375" bestFit="1" customWidth="1"/>
    <col min="2" max="2" width="5.109375" bestFit="1" customWidth="1"/>
    <col min="3" max="3" width="4.4375" customWidth="1"/>
    <col min="4" max="4" width="28.11328125" customWidth="1"/>
    <col min="5" max="22" width="8.875" customWidth="1"/>
  </cols>
  <sheetData>
    <row r="1" spans="1:23" x14ac:dyDescent="0.2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1"/>
  <sheetViews>
    <sheetView tabSelected="1" zoomScale="90" zoomScaleNormal="90" workbookViewId="0">
      <pane xSplit="5" ySplit="3" topLeftCell="F31" activePane="bottomRight" state="frozen"/>
      <selection pane="bottomLeft" activeCell="A4" sqref="A4"/>
      <selection pane="topRight" activeCell="F1" sqref="F1"/>
      <selection pane="bottomRight" activeCell="H16" sqref="H16"/>
    </sheetView>
  </sheetViews>
  <sheetFormatPr defaultColWidth="5.24609375" defaultRowHeight="15" x14ac:dyDescent="0.2"/>
  <cols>
    <col min="1" max="1" width="3.359375" customWidth="1"/>
    <col min="2" max="2" width="25.55859375" bestFit="1" customWidth="1"/>
    <col min="3" max="4" width="5.6484375" bestFit="1" customWidth="1"/>
    <col min="5" max="5" width="5.6484375" customWidth="1"/>
    <col min="6" max="8" width="5.24609375" style="48"/>
  </cols>
  <sheetData>
    <row r="1" spans="1:119" ht="15.75" thickBot="1" x14ac:dyDescent="0.25">
      <c r="F1" s="210">
        <v>1</v>
      </c>
      <c r="G1" s="211"/>
      <c r="H1" s="212"/>
      <c r="I1" s="210">
        <v>2</v>
      </c>
      <c r="J1" s="211"/>
      <c r="K1" s="212"/>
      <c r="L1" s="210">
        <v>3</v>
      </c>
      <c r="M1" s="211"/>
      <c r="N1" s="212"/>
      <c r="O1" s="210">
        <v>4</v>
      </c>
      <c r="P1" s="211"/>
      <c r="Q1" s="212"/>
      <c r="R1" s="210">
        <v>5</v>
      </c>
      <c r="S1" s="211"/>
      <c r="T1" s="212"/>
      <c r="U1" s="210">
        <v>6</v>
      </c>
      <c r="V1" s="211"/>
      <c r="W1" s="212"/>
      <c r="X1" s="210">
        <v>7</v>
      </c>
      <c r="Y1" s="211"/>
      <c r="Z1" s="212"/>
      <c r="AA1" s="210">
        <v>8</v>
      </c>
      <c r="AB1" s="211"/>
      <c r="AC1" s="212"/>
      <c r="AD1" s="210">
        <v>9</v>
      </c>
      <c r="AE1" s="211"/>
      <c r="AF1" s="212"/>
      <c r="AG1" s="210">
        <v>10</v>
      </c>
      <c r="AH1" s="211"/>
      <c r="AI1" s="212"/>
      <c r="AJ1" s="210">
        <v>11</v>
      </c>
      <c r="AK1" s="211"/>
      <c r="AL1" s="212"/>
      <c r="AM1" s="210">
        <v>12</v>
      </c>
      <c r="AN1" s="211"/>
      <c r="AO1" s="212"/>
      <c r="AP1" s="210">
        <v>13</v>
      </c>
      <c r="AQ1" s="211"/>
      <c r="AR1" s="212"/>
      <c r="AS1" s="210">
        <v>14</v>
      </c>
      <c r="AT1" s="211"/>
      <c r="AU1" s="212"/>
      <c r="AV1" s="210">
        <v>15</v>
      </c>
      <c r="AW1" s="211"/>
      <c r="AX1" s="212"/>
      <c r="AY1" s="210">
        <v>16</v>
      </c>
      <c r="AZ1" s="211"/>
      <c r="BA1" s="212"/>
      <c r="BB1" s="210">
        <v>17</v>
      </c>
      <c r="BC1" s="211"/>
      <c r="BD1" s="212"/>
      <c r="BE1" s="210">
        <v>18</v>
      </c>
      <c r="BF1" s="211"/>
      <c r="BG1" s="212"/>
      <c r="BH1" s="210">
        <v>19</v>
      </c>
      <c r="BI1" s="211"/>
      <c r="BJ1" s="212"/>
      <c r="BK1" s="210">
        <v>20</v>
      </c>
      <c r="BL1" s="211"/>
      <c r="BM1" s="212"/>
      <c r="BN1" s="210">
        <v>21</v>
      </c>
      <c r="BO1" s="211"/>
      <c r="BP1" s="212"/>
      <c r="BQ1" s="210">
        <v>22</v>
      </c>
      <c r="BR1" s="211"/>
      <c r="BS1" s="212"/>
      <c r="BT1" s="210">
        <v>23</v>
      </c>
      <c r="BU1" s="211"/>
      <c r="BV1" s="212"/>
      <c r="BW1" s="210">
        <v>24</v>
      </c>
      <c r="BX1" s="211"/>
      <c r="BY1" s="212"/>
      <c r="BZ1" s="210">
        <v>25</v>
      </c>
      <c r="CA1" s="211"/>
      <c r="CB1" s="212"/>
      <c r="CC1" s="210">
        <v>26</v>
      </c>
      <c r="CD1" s="211"/>
      <c r="CE1" s="212"/>
      <c r="CF1" s="210">
        <v>27</v>
      </c>
      <c r="CG1" s="211"/>
      <c r="CH1" s="212"/>
      <c r="CI1" s="210">
        <v>28</v>
      </c>
      <c r="CJ1" s="211"/>
      <c r="CK1" s="212"/>
      <c r="CL1" s="210">
        <v>29</v>
      </c>
      <c r="CM1" s="211"/>
      <c r="CN1" s="212"/>
      <c r="CO1" s="210">
        <v>30</v>
      </c>
      <c r="CP1" s="211"/>
      <c r="CQ1" s="212"/>
      <c r="CR1" s="210">
        <v>31</v>
      </c>
      <c r="CS1" s="211"/>
      <c r="CT1" s="212"/>
      <c r="CU1" s="210">
        <v>32</v>
      </c>
      <c r="CV1" s="211"/>
      <c r="CW1" s="212"/>
      <c r="CX1" s="210">
        <v>33</v>
      </c>
      <c r="CY1" s="211"/>
      <c r="CZ1" s="212"/>
      <c r="DA1" s="210">
        <v>34</v>
      </c>
      <c r="DB1" s="211"/>
      <c r="DC1" s="212"/>
      <c r="DD1" s="210">
        <v>35</v>
      </c>
      <c r="DE1" s="211"/>
      <c r="DF1" s="212"/>
      <c r="DG1" s="210">
        <v>36</v>
      </c>
      <c r="DH1" s="211"/>
      <c r="DI1" s="212"/>
      <c r="DJ1" s="210">
        <v>37</v>
      </c>
      <c r="DK1" s="211"/>
      <c r="DL1" s="212"/>
      <c r="DM1" s="210">
        <v>38</v>
      </c>
      <c r="DN1" s="211"/>
      <c r="DO1" s="212"/>
    </row>
    <row r="2" spans="1:119" ht="15.75" thickBot="1" x14ac:dyDescent="0.25">
      <c r="A2" s="3"/>
      <c r="B2" s="17"/>
      <c r="C2" s="216" t="s">
        <v>397</v>
      </c>
      <c r="D2" s="216" t="s">
        <v>398</v>
      </c>
      <c r="E2" s="216" t="s">
        <v>399</v>
      </c>
      <c r="F2" s="213" t="s">
        <v>347</v>
      </c>
      <c r="G2" s="214"/>
      <c r="H2" s="215"/>
      <c r="I2" s="218" t="s">
        <v>332</v>
      </c>
      <c r="J2" s="219"/>
      <c r="K2" s="220"/>
      <c r="L2" s="213" t="s">
        <v>331</v>
      </c>
      <c r="M2" s="214"/>
      <c r="N2" s="215"/>
      <c r="O2" s="213" t="s">
        <v>329</v>
      </c>
      <c r="P2" s="214"/>
      <c r="Q2" s="215"/>
      <c r="R2" s="213" t="s">
        <v>336</v>
      </c>
      <c r="S2" s="214"/>
      <c r="T2" s="215"/>
      <c r="U2" s="213" t="s">
        <v>321</v>
      </c>
      <c r="V2" s="214"/>
      <c r="W2" s="215"/>
      <c r="X2" s="213" t="s">
        <v>338</v>
      </c>
      <c r="Y2" s="214"/>
      <c r="Z2" s="215"/>
      <c r="AA2" s="213" t="s">
        <v>335</v>
      </c>
      <c r="AB2" s="214"/>
      <c r="AC2" s="215"/>
      <c r="AD2" s="213" t="s">
        <v>322</v>
      </c>
      <c r="AE2" s="214"/>
      <c r="AF2" s="215"/>
      <c r="AG2" s="213" t="s">
        <v>348</v>
      </c>
      <c r="AH2" s="214"/>
      <c r="AI2" s="215"/>
      <c r="AJ2" s="213" t="s">
        <v>325</v>
      </c>
      <c r="AK2" s="214"/>
      <c r="AL2" s="215"/>
      <c r="AM2" s="213" t="s">
        <v>324</v>
      </c>
      <c r="AN2" s="214"/>
      <c r="AO2" s="215"/>
      <c r="AP2" s="213" t="s">
        <v>333</v>
      </c>
      <c r="AQ2" s="214"/>
      <c r="AR2" s="215"/>
      <c r="AS2" s="213" t="s">
        <v>330</v>
      </c>
      <c r="AT2" s="214"/>
      <c r="AU2" s="215"/>
      <c r="AV2" s="213" t="s">
        <v>337</v>
      </c>
      <c r="AW2" s="214"/>
      <c r="AX2" s="215"/>
      <c r="AY2" s="213" t="s">
        <v>306</v>
      </c>
      <c r="AZ2" s="214"/>
      <c r="BA2" s="215"/>
      <c r="BB2" s="213" t="s">
        <v>327</v>
      </c>
      <c r="BC2" s="214"/>
      <c r="BD2" s="215"/>
      <c r="BE2" s="213" t="s">
        <v>326</v>
      </c>
      <c r="BF2" s="214"/>
      <c r="BG2" s="215"/>
      <c r="BH2" s="213" t="s">
        <v>349</v>
      </c>
      <c r="BI2" s="214"/>
      <c r="BJ2" s="215"/>
      <c r="BK2" s="213" t="s">
        <v>333</v>
      </c>
      <c r="BL2" s="214"/>
      <c r="BM2" s="215"/>
      <c r="BN2" s="213" t="s">
        <v>348</v>
      </c>
      <c r="BO2" s="214"/>
      <c r="BP2" s="215"/>
      <c r="BQ2" s="213" t="s">
        <v>325</v>
      </c>
      <c r="BR2" s="214"/>
      <c r="BS2" s="215"/>
      <c r="BT2" s="213" t="s">
        <v>324</v>
      </c>
      <c r="BU2" s="214"/>
      <c r="BV2" s="215"/>
      <c r="BW2" s="213" t="s">
        <v>322</v>
      </c>
      <c r="BX2" s="214"/>
      <c r="BY2" s="215"/>
      <c r="BZ2" s="213" t="s">
        <v>349</v>
      </c>
      <c r="CA2" s="214"/>
      <c r="CB2" s="215"/>
      <c r="CC2" s="213" t="s">
        <v>326</v>
      </c>
      <c r="CD2" s="214"/>
      <c r="CE2" s="215"/>
      <c r="CF2" s="213" t="s">
        <v>306</v>
      </c>
      <c r="CG2" s="214"/>
      <c r="CH2" s="215"/>
      <c r="CI2" s="213" t="s">
        <v>327</v>
      </c>
      <c r="CJ2" s="214"/>
      <c r="CK2" s="215"/>
      <c r="CL2" s="213" t="s">
        <v>331</v>
      </c>
      <c r="CM2" s="214"/>
      <c r="CN2" s="215"/>
      <c r="CO2" s="213" t="s">
        <v>329</v>
      </c>
      <c r="CP2" s="214"/>
      <c r="CQ2" s="215"/>
      <c r="CR2" s="213" t="s">
        <v>347</v>
      </c>
      <c r="CS2" s="214"/>
      <c r="CT2" s="215"/>
      <c r="CU2" s="213" t="s">
        <v>332</v>
      </c>
      <c r="CV2" s="214"/>
      <c r="CW2" s="215"/>
      <c r="CX2" s="213" t="s">
        <v>337</v>
      </c>
      <c r="CY2" s="214"/>
      <c r="CZ2" s="215"/>
      <c r="DA2" s="213" t="s">
        <v>330</v>
      </c>
      <c r="DB2" s="214"/>
      <c r="DC2" s="215"/>
      <c r="DD2" s="213" t="s">
        <v>321</v>
      </c>
      <c r="DE2" s="214"/>
      <c r="DF2" s="215"/>
      <c r="DG2" s="213" t="s">
        <v>338</v>
      </c>
      <c r="DH2" s="214"/>
      <c r="DI2" s="215"/>
      <c r="DJ2" s="213" t="s">
        <v>335</v>
      </c>
      <c r="DK2" s="214"/>
      <c r="DL2" s="215"/>
      <c r="DM2" s="213" t="s">
        <v>336</v>
      </c>
      <c r="DN2" s="214"/>
      <c r="DO2" s="215"/>
    </row>
    <row r="3" spans="1:119" x14ac:dyDescent="0.2">
      <c r="A3" s="3" t="s">
        <v>48</v>
      </c>
      <c r="B3" s="17" t="s">
        <v>1</v>
      </c>
      <c r="C3" s="221"/>
      <c r="D3" s="221"/>
      <c r="E3" s="217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1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">
      <c r="A5" s="27">
        <v>2</v>
      </c>
      <c r="B5" s="35" t="s">
        <v>196</v>
      </c>
      <c r="C5" s="58">
        <f t="shared" ref="C5:C40" si="1">SUM(F5,I5,L5,O5,R5,U5,X5,AA5,AD5,AG5,AJ5,AM5,AP5,AS5,AV5,AY5,BB5,BE5,BH5,BK5,BN5,BQ5,BT5,BW5,BZ5,CC5,CF5,CI5,CL5,CO5,CR5,CU5,CX5,DA5,DD5,DG5,DJ5,DM5)</f>
        <v>0</v>
      </c>
      <c r="D5" s="58">
        <f t="shared" ref="D5:D40" si="2">SUM(G5,J5,M5,P5,S5,V5,Y5,AB5,AE5,AH5,AK5,AN5,AQ5,AT5,AW5,AZ5,BC5,BF5,BI5,BL5,BO5,BR5,BU5,BX5,CA5,CD5,CG5,CJ5,CM5,CP5,CS5,CV5,CY5,DB5,DE5,DH5,DK5,DN5)</f>
        <v>0</v>
      </c>
      <c r="E5" s="58">
        <f t="shared" ref="E5:E40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">
      <c r="A6" s="27">
        <v>3</v>
      </c>
      <c r="B6" s="35" t="s">
        <v>317</v>
      </c>
      <c r="C6" s="58">
        <f t="shared" si="1"/>
        <v>1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">
      <c r="A7" s="27">
        <v>4</v>
      </c>
      <c r="B7" s="37" t="s">
        <v>221</v>
      </c>
      <c r="C7" s="58">
        <f t="shared" si="1"/>
        <v>1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">
      <c r="A10" s="27">
        <v>7</v>
      </c>
      <c r="B10" s="37" t="s">
        <v>180</v>
      </c>
      <c r="C10" s="58">
        <f t="shared" si="1"/>
        <v>1</v>
      </c>
      <c r="D10" s="58">
        <f t="shared" si="2"/>
        <v>1</v>
      </c>
      <c r="E10" s="58">
        <f t="shared" si="3"/>
        <v>0</v>
      </c>
      <c r="F10" s="52">
        <v>1</v>
      </c>
      <c r="G10" s="36">
        <v>1</v>
      </c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">
      <c r="A11" s="27">
        <v>8</v>
      </c>
      <c r="B11" s="37" t="s">
        <v>219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">
      <c r="A18" s="27">
        <v>17</v>
      </c>
      <c r="B18" s="148" t="s">
        <v>344</v>
      </c>
      <c r="C18" s="58">
        <f t="shared" si="1"/>
        <v>1</v>
      </c>
      <c r="D18" s="58">
        <f t="shared" si="2"/>
        <v>0</v>
      </c>
      <c r="E18" s="58">
        <f t="shared" si="3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">
      <c r="A19" s="27">
        <v>20</v>
      </c>
      <c r="B19" s="148" t="s">
        <v>316</v>
      </c>
      <c r="C19" s="58">
        <f t="shared" si="1"/>
        <v>1</v>
      </c>
      <c r="D19" s="58">
        <f t="shared" si="2"/>
        <v>0</v>
      </c>
      <c r="E19" s="58">
        <f t="shared" si="3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">
      <c r="A22" s="27">
        <v>23</v>
      </c>
      <c r="B22" s="37" t="s">
        <v>294</v>
      </c>
      <c r="C22" s="58">
        <f t="shared" si="1"/>
        <v>1</v>
      </c>
      <c r="D22" s="58">
        <f t="shared" si="2"/>
        <v>0</v>
      </c>
      <c r="E22" s="58">
        <f t="shared" si="3"/>
        <v>0</v>
      </c>
      <c r="F22" s="52">
        <v>1</v>
      </c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">
      <c r="A24" s="28">
        <v>29</v>
      </c>
      <c r="B24" s="148" t="s">
        <v>276</v>
      </c>
      <c r="C24" s="58">
        <f t="shared" si="1"/>
        <v>1</v>
      </c>
      <c r="D24" s="58">
        <f t="shared" si="2"/>
        <v>1</v>
      </c>
      <c r="E24" s="58">
        <f t="shared" si="3"/>
        <v>0</v>
      </c>
      <c r="F24" s="52">
        <v>1</v>
      </c>
      <c r="G24" s="36">
        <v>1</v>
      </c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">
      <c r="A26" s="28">
        <v>33</v>
      </c>
      <c r="B26" s="148" t="s">
        <v>292</v>
      </c>
      <c r="C26" s="58">
        <f t="shared" si="1"/>
        <v>1</v>
      </c>
      <c r="D26" s="58">
        <f t="shared" si="2"/>
        <v>0</v>
      </c>
      <c r="E26" s="58">
        <f t="shared" si="3"/>
        <v>1</v>
      </c>
      <c r="F26" s="52">
        <v>1</v>
      </c>
      <c r="G26" s="36"/>
      <c r="H26" s="53">
        <v>1</v>
      </c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">
      <c r="A28" s="28">
        <v>36</v>
      </c>
      <c r="B28" s="148" t="s">
        <v>314</v>
      </c>
      <c r="C28" s="58">
        <f t="shared" si="1"/>
        <v>1</v>
      </c>
      <c r="D28" s="58">
        <f t="shared" si="2"/>
        <v>0</v>
      </c>
      <c r="E28" s="58">
        <f t="shared" si="3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">
      <c r="A30" s="27">
        <v>41</v>
      </c>
      <c r="B30" s="35" t="s">
        <v>278</v>
      </c>
      <c r="C30" s="58">
        <f t="shared" si="1"/>
        <v>1</v>
      </c>
      <c r="D30" s="58">
        <f t="shared" si="2"/>
        <v>0</v>
      </c>
      <c r="E30" s="58">
        <f t="shared" si="3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">
      <c r="A32" s="27">
        <v>49</v>
      </c>
      <c r="B32" s="35" t="s">
        <v>298</v>
      </c>
      <c r="C32" s="58">
        <f t="shared" si="1"/>
        <v>1</v>
      </c>
      <c r="D32" s="58">
        <f t="shared" si="2"/>
        <v>0</v>
      </c>
      <c r="E32" s="58">
        <f t="shared" si="3"/>
        <v>0</v>
      </c>
      <c r="F32" s="52">
        <v>1</v>
      </c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ht="15.75" thickBot="1" x14ac:dyDescent="0.25">
      <c r="A40" s="28">
        <v>92</v>
      </c>
      <c r="B40" s="37" t="s">
        <v>302</v>
      </c>
      <c r="C40" s="164">
        <f t="shared" si="1"/>
        <v>0</v>
      </c>
      <c r="D40" s="164">
        <f t="shared" si="2"/>
        <v>0</v>
      </c>
      <c r="E40" s="58">
        <f t="shared" si="3"/>
        <v>0</v>
      </c>
      <c r="F40" s="146"/>
      <c r="G40" s="163"/>
      <c r="H40" s="147"/>
      <c r="I40" s="146"/>
      <c r="J40" s="163"/>
      <c r="K40" s="147"/>
      <c r="L40" s="146"/>
      <c r="M40" s="163"/>
      <c r="N40" s="147"/>
      <c r="O40" s="146"/>
      <c r="P40" s="163"/>
      <c r="Q40" s="147"/>
      <c r="R40" s="146"/>
      <c r="S40" s="163"/>
      <c r="T40" s="147"/>
      <c r="U40" s="146"/>
      <c r="V40" s="163"/>
      <c r="W40" s="147"/>
      <c r="X40" s="146"/>
      <c r="Y40" s="163"/>
      <c r="Z40" s="147"/>
      <c r="AA40" s="146"/>
      <c r="AB40" s="163"/>
      <c r="AC40" s="147"/>
      <c r="AD40" s="146"/>
      <c r="AE40" s="163"/>
      <c r="AF40" s="147"/>
      <c r="AG40" s="146"/>
      <c r="AH40" s="163"/>
      <c r="AI40" s="147"/>
      <c r="AJ40" s="146"/>
      <c r="AK40" s="163"/>
      <c r="AL40" s="147"/>
      <c r="AM40" s="146"/>
      <c r="AN40" s="163"/>
      <c r="AO40" s="147"/>
      <c r="AP40" s="146"/>
      <c r="AQ40" s="163"/>
      <c r="AR40" s="147"/>
      <c r="AS40" s="146"/>
      <c r="AT40" s="163"/>
      <c r="AU40" s="147"/>
      <c r="AV40" s="146"/>
      <c r="AW40" s="163"/>
      <c r="AX40" s="147"/>
      <c r="AY40" s="146"/>
      <c r="AZ40" s="163"/>
      <c r="BA40" s="147"/>
      <c r="BB40" s="146"/>
      <c r="BC40" s="163"/>
      <c r="BD40" s="147"/>
      <c r="BE40" s="146"/>
      <c r="BF40" s="163"/>
      <c r="BG40" s="147"/>
      <c r="BH40" s="146"/>
      <c r="BI40" s="163"/>
      <c r="BJ40" s="147"/>
      <c r="BK40" s="146"/>
      <c r="BL40" s="163"/>
      <c r="BM40" s="147"/>
      <c r="BN40" s="146"/>
      <c r="BO40" s="163"/>
      <c r="BP40" s="147"/>
      <c r="BQ40" s="146"/>
      <c r="BR40" s="163"/>
      <c r="BS40" s="147"/>
      <c r="BT40" s="146"/>
      <c r="BU40" s="163"/>
      <c r="BV40" s="147"/>
      <c r="BW40" s="146"/>
      <c r="BX40" s="163"/>
      <c r="BY40" s="147"/>
      <c r="BZ40" s="146"/>
      <c r="CA40" s="163"/>
      <c r="CB40" s="147"/>
      <c r="CC40" s="146"/>
      <c r="CD40" s="163"/>
      <c r="CE40" s="147"/>
      <c r="CF40" s="146"/>
      <c r="CG40" s="163"/>
      <c r="CH40" s="147"/>
      <c r="CI40" s="146"/>
      <c r="CJ40" s="163"/>
      <c r="CK40" s="147"/>
      <c r="CL40" s="146"/>
      <c r="CM40" s="163"/>
      <c r="CN40" s="147"/>
      <c r="CO40" s="146"/>
      <c r="CP40" s="163"/>
      <c r="CQ40" s="147"/>
      <c r="CR40" s="146"/>
      <c r="CS40" s="163"/>
      <c r="CT40" s="147"/>
      <c r="CU40" s="146"/>
      <c r="CV40" s="163"/>
      <c r="CW40" s="147"/>
      <c r="CX40" s="146"/>
      <c r="CY40" s="163"/>
      <c r="CZ40" s="147"/>
      <c r="DA40" s="146"/>
      <c r="DB40" s="163"/>
      <c r="DC40" s="147"/>
      <c r="DD40" s="146"/>
      <c r="DE40" s="163"/>
      <c r="DF40" s="147"/>
      <c r="DG40" s="146"/>
      <c r="DH40" s="163"/>
      <c r="DI40" s="147"/>
      <c r="DJ40" s="146"/>
      <c r="DK40" s="163"/>
      <c r="DL40" s="147"/>
      <c r="DM40" s="146"/>
      <c r="DN40" s="163"/>
      <c r="DO40" s="147"/>
    </row>
    <row r="41" spans="1:119" s="54" customFormat="1" x14ac:dyDescent="0.2">
      <c r="A41"/>
      <c r="B41"/>
      <c r="C41"/>
      <c r="D41"/>
      <c r="E41"/>
      <c r="F41" s="73">
        <f t="shared" ref="F41:H41" si="4">SUM(F4:F40)</f>
        <v>16</v>
      </c>
      <c r="G41" s="73">
        <f t="shared" si="4"/>
        <v>3</v>
      </c>
      <c r="H41" s="73">
        <f t="shared" si="4"/>
        <v>2</v>
      </c>
      <c r="I41" s="73">
        <f t="shared" ref="I41:BT41" si="5">SUM(I4:I40)</f>
        <v>0</v>
      </c>
      <c r="J41" s="73">
        <f t="shared" si="5"/>
        <v>0</v>
      </c>
      <c r="K41" s="73">
        <f t="shared" si="5"/>
        <v>0</v>
      </c>
      <c r="L41" s="73">
        <f t="shared" si="5"/>
        <v>0</v>
      </c>
      <c r="M41" s="73">
        <f t="shared" si="5"/>
        <v>0</v>
      </c>
      <c r="N41" s="73">
        <f t="shared" si="5"/>
        <v>0</v>
      </c>
      <c r="O41" s="73">
        <f t="shared" si="5"/>
        <v>0</v>
      </c>
      <c r="P41" s="73">
        <f t="shared" si="5"/>
        <v>0</v>
      </c>
      <c r="Q41" s="73">
        <f t="shared" si="5"/>
        <v>0</v>
      </c>
      <c r="R41" s="73">
        <f t="shared" si="5"/>
        <v>0</v>
      </c>
      <c r="S41" s="73">
        <f t="shared" si="5"/>
        <v>0</v>
      </c>
      <c r="T41" s="73">
        <f t="shared" si="5"/>
        <v>0</v>
      </c>
      <c r="U41" s="73">
        <f t="shared" si="5"/>
        <v>0</v>
      </c>
      <c r="V41" s="73">
        <f t="shared" si="5"/>
        <v>0</v>
      </c>
      <c r="W41" s="73">
        <f t="shared" si="5"/>
        <v>0</v>
      </c>
      <c r="X41" s="73">
        <f t="shared" si="5"/>
        <v>0</v>
      </c>
      <c r="Y41" s="73">
        <f t="shared" si="5"/>
        <v>0</v>
      </c>
      <c r="Z41" s="73">
        <f t="shared" si="5"/>
        <v>0</v>
      </c>
      <c r="AA41" s="73">
        <f t="shared" si="5"/>
        <v>0</v>
      </c>
      <c r="AB41" s="73">
        <f t="shared" si="5"/>
        <v>0</v>
      </c>
      <c r="AC41" s="73">
        <f t="shared" si="5"/>
        <v>0</v>
      </c>
      <c r="AD41" s="73">
        <f t="shared" si="5"/>
        <v>0</v>
      </c>
      <c r="AE41" s="73">
        <f t="shared" si="5"/>
        <v>0</v>
      </c>
      <c r="AF41" s="73">
        <f t="shared" si="5"/>
        <v>0</v>
      </c>
      <c r="AG41" s="73">
        <f t="shared" si="5"/>
        <v>0</v>
      </c>
      <c r="AH41" s="73">
        <f t="shared" si="5"/>
        <v>0</v>
      </c>
      <c r="AI41" s="73">
        <f t="shared" si="5"/>
        <v>0</v>
      </c>
      <c r="AJ41" s="73">
        <f t="shared" si="5"/>
        <v>0</v>
      </c>
      <c r="AK41" s="73">
        <f t="shared" si="5"/>
        <v>0</v>
      </c>
      <c r="AL41" s="73">
        <f t="shared" si="5"/>
        <v>0</v>
      </c>
      <c r="AM41" s="73">
        <f t="shared" si="5"/>
        <v>0</v>
      </c>
      <c r="AN41" s="73">
        <f t="shared" si="5"/>
        <v>0</v>
      </c>
      <c r="AO41" s="73">
        <f t="shared" si="5"/>
        <v>0</v>
      </c>
      <c r="AP41" s="73">
        <f t="shared" si="5"/>
        <v>0</v>
      </c>
      <c r="AQ41" s="73">
        <f t="shared" si="5"/>
        <v>0</v>
      </c>
      <c r="AR41" s="73">
        <f t="shared" si="5"/>
        <v>0</v>
      </c>
      <c r="AS41" s="73">
        <f t="shared" si="5"/>
        <v>0</v>
      </c>
      <c r="AT41" s="73">
        <f t="shared" si="5"/>
        <v>0</v>
      </c>
      <c r="AU41" s="73">
        <f t="shared" si="5"/>
        <v>0</v>
      </c>
      <c r="AV41" s="73">
        <f t="shared" si="5"/>
        <v>0</v>
      </c>
      <c r="AW41" s="73">
        <f t="shared" si="5"/>
        <v>0</v>
      </c>
      <c r="AX41" s="73">
        <f t="shared" si="5"/>
        <v>0</v>
      </c>
      <c r="AY41" s="73">
        <f t="shared" si="5"/>
        <v>0</v>
      </c>
      <c r="AZ41" s="73">
        <f t="shared" si="5"/>
        <v>0</v>
      </c>
      <c r="BA41" s="73">
        <f t="shared" si="5"/>
        <v>0</v>
      </c>
      <c r="BB41" s="73">
        <f t="shared" si="5"/>
        <v>0</v>
      </c>
      <c r="BC41" s="73">
        <f t="shared" si="5"/>
        <v>0</v>
      </c>
      <c r="BD41" s="73">
        <f t="shared" si="5"/>
        <v>0</v>
      </c>
      <c r="BE41" s="73">
        <f t="shared" si="5"/>
        <v>0</v>
      </c>
      <c r="BF41" s="73">
        <f t="shared" si="5"/>
        <v>0</v>
      </c>
      <c r="BG41" s="73">
        <f t="shared" si="5"/>
        <v>0</v>
      </c>
      <c r="BH41" s="73">
        <f t="shared" si="5"/>
        <v>0</v>
      </c>
      <c r="BI41" s="73">
        <f t="shared" si="5"/>
        <v>0</v>
      </c>
      <c r="BJ41" s="73">
        <f t="shared" si="5"/>
        <v>0</v>
      </c>
      <c r="BK41" s="73">
        <f t="shared" si="5"/>
        <v>0</v>
      </c>
      <c r="BL41" s="73">
        <f t="shared" si="5"/>
        <v>0</v>
      </c>
      <c r="BM41" s="73">
        <f t="shared" si="5"/>
        <v>0</v>
      </c>
      <c r="BN41" s="73">
        <f t="shared" si="5"/>
        <v>0</v>
      </c>
      <c r="BO41" s="73">
        <f t="shared" si="5"/>
        <v>0</v>
      </c>
      <c r="BP41" s="73">
        <f t="shared" si="5"/>
        <v>0</v>
      </c>
      <c r="BQ41" s="73">
        <f t="shared" si="5"/>
        <v>0</v>
      </c>
      <c r="BR41" s="73">
        <f t="shared" si="5"/>
        <v>0</v>
      </c>
      <c r="BS41" s="73">
        <f t="shared" si="5"/>
        <v>0</v>
      </c>
      <c r="BT41" s="73">
        <f t="shared" si="5"/>
        <v>0</v>
      </c>
      <c r="BU41" s="73">
        <f t="shared" ref="BU41:DO41" si="6">SUM(BU4:BU40)</f>
        <v>0</v>
      </c>
      <c r="BV41" s="73">
        <f t="shared" si="6"/>
        <v>0</v>
      </c>
      <c r="BW41" s="73">
        <f t="shared" si="6"/>
        <v>0</v>
      </c>
      <c r="BX41" s="73">
        <f t="shared" si="6"/>
        <v>0</v>
      </c>
      <c r="BY41" s="73">
        <f t="shared" si="6"/>
        <v>0</v>
      </c>
      <c r="BZ41" s="73">
        <f t="shared" si="6"/>
        <v>0</v>
      </c>
      <c r="CA41" s="73">
        <f t="shared" si="6"/>
        <v>0</v>
      </c>
      <c r="CB41" s="73">
        <f t="shared" si="6"/>
        <v>0</v>
      </c>
      <c r="CC41" s="73">
        <f t="shared" si="6"/>
        <v>0</v>
      </c>
      <c r="CD41" s="73">
        <f t="shared" si="6"/>
        <v>0</v>
      </c>
      <c r="CE41" s="73">
        <f t="shared" si="6"/>
        <v>0</v>
      </c>
      <c r="CF41" s="73">
        <f t="shared" si="6"/>
        <v>0</v>
      </c>
      <c r="CG41" s="73">
        <f t="shared" si="6"/>
        <v>0</v>
      </c>
      <c r="CH41" s="73">
        <f t="shared" si="6"/>
        <v>0</v>
      </c>
      <c r="CI41" s="73">
        <f t="shared" si="6"/>
        <v>0</v>
      </c>
      <c r="CJ41" s="73">
        <f t="shared" si="6"/>
        <v>0</v>
      </c>
      <c r="CK41" s="73">
        <f t="shared" si="6"/>
        <v>0</v>
      </c>
      <c r="CL41" s="73">
        <f t="shared" si="6"/>
        <v>0</v>
      </c>
      <c r="CM41" s="73">
        <f t="shared" si="6"/>
        <v>0</v>
      </c>
      <c r="CN41" s="73">
        <f t="shared" si="6"/>
        <v>0</v>
      </c>
      <c r="CO41" s="73">
        <f t="shared" si="6"/>
        <v>0</v>
      </c>
      <c r="CP41" s="73">
        <f t="shared" si="6"/>
        <v>0</v>
      </c>
      <c r="CQ41" s="73">
        <f t="shared" si="6"/>
        <v>0</v>
      </c>
      <c r="CR41" s="73">
        <f t="shared" si="6"/>
        <v>0</v>
      </c>
      <c r="CS41" s="73">
        <f t="shared" si="6"/>
        <v>0</v>
      </c>
      <c r="CT41" s="73">
        <f t="shared" si="6"/>
        <v>0</v>
      </c>
      <c r="CU41" s="73">
        <f t="shared" si="6"/>
        <v>0</v>
      </c>
      <c r="CV41" s="73">
        <f t="shared" si="6"/>
        <v>0</v>
      </c>
      <c r="CW41" s="73">
        <f t="shared" si="6"/>
        <v>0</v>
      </c>
      <c r="CX41" s="73">
        <f t="shared" si="6"/>
        <v>0</v>
      </c>
      <c r="CY41" s="73">
        <f t="shared" si="6"/>
        <v>0</v>
      </c>
      <c r="CZ41" s="73">
        <f t="shared" si="6"/>
        <v>0</v>
      </c>
      <c r="DA41" s="73">
        <f t="shared" si="6"/>
        <v>0</v>
      </c>
      <c r="DB41" s="73">
        <f t="shared" si="6"/>
        <v>0</v>
      </c>
      <c r="DC41" s="73">
        <f t="shared" si="6"/>
        <v>0</v>
      </c>
      <c r="DD41" s="73">
        <f t="shared" si="6"/>
        <v>0</v>
      </c>
      <c r="DE41" s="73">
        <f t="shared" si="6"/>
        <v>0</v>
      </c>
      <c r="DF41" s="73">
        <f t="shared" si="6"/>
        <v>0</v>
      </c>
      <c r="DG41" s="73">
        <f t="shared" si="6"/>
        <v>0</v>
      </c>
      <c r="DH41" s="73">
        <f t="shared" si="6"/>
        <v>0</v>
      </c>
      <c r="DI41" s="73">
        <f t="shared" si="6"/>
        <v>0</v>
      </c>
      <c r="DJ41" s="73">
        <f t="shared" si="6"/>
        <v>0</v>
      </c>
      <c r="DK41" s="73">
        <f t="shared" si="6"/>
        <v>0</v>
      </c>
      <c r="DL41" s="73">
        <f t="shared" si="6"/>
        <v>0</v>
      </c>
      <c r="DM41" s="73">
        <f t="shared" si="6"/>
        <v>0</v>
      </c>
      <c r="DN41" s="73">
        <f t="shared" si="6"/>
        <v>0</v>
      </c>
      <c r="DO41" s="73">
        <f t="shared" si="6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1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1"/>
  <sheetViews>
    <sheetView zoomScale="85" zoomScaleNormal="85" workbookViewId="0">
      <selection activeCell="F3" sqref="F3:H3"/>
    </sheetView>
  </sheetViews>
  <sheetFormatPr defaultColWidth="4.70703125" defaultRowHeight="15" x14ac:dyDescent="0.2"/>
  <cols>
    <col min="1" max="1" width="3.359375" customWidth="1"/>
    <col min="2" max="2" width="25.69140625" customWidth="1"/>
    <col min="3" max="3" width="6.1875" bestFit="1" customWidth="1"/>
    <col min="4" max="5" width="5.91796875" customWidth="1"/>
    <col min="6" max="8" width="5.24609375" customWidth="1"/>
    <col min="25" max="29" width="4.70703125" customWidth="1"/>
  </cols>
  <sheetData>
    <row r="1" spans="1:50" ht="15.75" thickBot="1" x14ac:dyDescent="0.25">
      <c r="C1" s="231" t="s">
        <v>397</v>
      </c>
      <c r="D1" s="231" t="s">
        <v>398</v>
      </c>
      <c r="E1" s="231" t="s">
        <v>399</v>
      </c>
      <c r="F1" s="222" t="s">
        <v>303</v>
      </c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4"/>
      <c r="AD1" s="237" t="s">
        <v>282</v>
      </c>
      <c r="AE1" s="238"/>
      <c r="AF1" s="238"/>
      <c r="AG1" s="238"/>
      <c r="AH1" s="238"/>
      <c r="AI1" s="239"/>
      <c r="AJ1" s="222" t="s">
        <v>283</v>
      </c>
      <c r="AK1" s="223"/>
      <c r="AL1" s="223"/>
      <c r="AM1" s="223"/>
      <c r="AN1" s="223"/>
      <c r="AO1" s="224"/>
      <c r="AP1" s="225" t="s">
        <v>284</v>
      </c>
      <c r="AQ1" s="226"/>
      <c r="AR1" s="226"/>
      <c r="AS1" s="226"/>
      <c r="AT1" s="226"/>
      <c r="AU1" s="227"/>
      <c r="AV1" s="228" t="s">
        <v>86</v>
      </c>
      <c r="AW1" s="229"/>
      <c r="AX1" s="230"/>
    </row>
    <row r="2" spans="1:50" x14ac:dyDescent="0.2">
      <c r="A2" s="3"/>
      <c r="B2" s="5"/>
      <c r="C2" s="232"/>
      <c r="D2" s="232"/>
      <c r="E2" s="232"/>
      <c r="F2" s="234"/>
      <c r="G2" s="235"/>
      <c r="H2" s="236"/>
      <c r="I2" s="234"/>
      <c r="J2" s="235"/>
      <c r="K2" s="236"/>
      <c r="L2" s="234"/>
      <c r="M2" s="235"/>
      <c r="N2" s="236"/>
      <c r="O2" s="234"/>
      <c r="P2" s="235"/>
      <c r="Q2" s="236"/>
      <c r="R2" s="234"/>
      <c r="S2" s="235"/>
      <c r="T2" s="236"/>
      <c r="U2" s="234"/>
      <c r="V2" s="235"/>
      <c r="W2" s="236"/>
      <c r="X2" s="234"/>
      <c r="Y2" s="235"/>
      <c r="Z2" s="236"/>
      <c r="AA2" s="234"/>
      <c r="AB2" s="235"/>
      <c r="AC2" s="235"/>
      <c r="AD2" s="234"/>
      <c r="AE2" s="235"/>
      <c r="AF2" s="236"/>
      <c r="AG2" s="234"/>
      <c r="AH2" s="235"/>
      <c r="AI2" s="236"/>
      <c r="AJ2" s="234"/>
      <c r="AK2" s="235"/>
      <c r="AL2" s="236"/>
      <c r="AM2" s="234"/>
      <c r="AN2" s="235"/>
      <c r="AO2" s="236"/>
      <c r="AP2" s="234"/>
      <c r="AQ2" s="235"/>
      <c r="AR2" s="236"/>
      <c r="AS2" s="234"/>
      <c r="AT2" s="235"/>
      <c r="AU2" s="236"/>
      <c r="AV2" s="234"/>
      <c r="AW2" s="235"/>
      <c r="AX2" s="236"/>
    </row>
    <row r="3" spans="1:50" x14ac:dyDescent="0.2">
      <c r="A3" s="3" t="s">
        <v>48</v>
      </c>
      <c r="B3" s="5" t="s">
        <v>1</v>
      </c>
      <c r="C3" s="233"/>
      <c r="D3" s="233"/>
      <c r="E3" s="233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">
      <c r="A5" s="27">
        <v>2</v>
      </c>
      <c r="B5" s="35" t="s">
        <v>196</v>
      </c>
      <c r="C5" s="58">
        <f t="shared" ref="C5:C40" si="1">SUM(F5,I5,L5,O5,R5,X5,AA5,AD5,U5,AG5,AJ5,AM5,AP5,AS5,AV5)</f>
        <v>0</v>
      </c>
      <c r="D5" s="58">
        <f t="shared" ref="D5:D40" si="2">SUM(G5,J5,M5,P5,S5,Y5,AB5,AE5,V5,AH5,AK5,AN5,AQ5,AT5,AW5)</f>
        <v>0</v>
      </c>
      <c r="E5" s="58">
        <f t="shared" ref="E5:E40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">
      <c r="A40" s="28">
        <v>92</v>
      </c>
      <c r="B40" s="37" t="s">
        <v>302</v>
      </c>
      <c r="C40" s="58">
        <f t="shared" si="1"/>
        <v>0</v>
      </c>
      <c r="D40" s="58">
        <f t="shared" si="2"/>
        <v>0</v>
      </c>
      <c r="E40" s="58">
        <f t="shared" si="3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ht="15.75" thickBot="1" x14ac:dyDescent="0.25">
      <c r="F41" s="172">
        <f>SUM(F4:F40)</f>
        <v>0</v>
      </c>
      <c r="G41" s="173">
        <f t="shared" ref="G41:AX41" si="4">SUM(G4:G40)</f>
        <v>0</v>
      </c>
      <c r="H41" s="174">
        <f t="shared" si="4"/>
        <v>0</v>
      </c>
      <c r="I41" s="172">
        <f t="shared" si="4"/>
        <v>0</v>
      </c>
      <c r="J41" s="173">
        <f t="shared" si="4"/>
        <v>0</v>
      </c>
      <c r="K41" s="174">
        <f t="shared" si="4"/>
        <v>0</v>
      </c>
      <c r="L41" s="172">
        <f t="shared" si="4"/>
        <v>0</v>
      </c>
      <c r="M41" s="173">
        <f t="shared" si="4"/>
        <v>0</v>
      </c>
      <c r="N41" s="174">
        <f t="shared" si="4"/>
        <v>0</v>
      </c>
      <c r="O41" s="172">
        <f t="shared" si="4"/>
        <v>0</v>
      </c>
      <c r="P41" s="173">
        <f t="shared" si="4"/>
        <v>0</v>
      </c>
      <c r="Q41" s="174">
        <f t="shared" si="4"/>
        <v>0</v>
      </c>
      <c r="R41" s="172">
        <f t="shared" si="4"/>
        <v>0</v>
      </c>
      <c r="S41" s="173">
        <f t="shared" si="4"/>
        <v>0</v>
      </c>
      <c r="T41" s="174">
        <f t="shared" si="4"/>
        <v>0</v>
      </c>
      <c r="U41" s="172">
        <f t="shared" si="4"/>
        <v>0</v>
      </c>
      <c r="V41" s="173">
        <f t="shared" si="4"/>
        <v>0</v>
      </c>
      <c r="W41" s="174">
        <f t="shared" si="4"/>
        <v>0</v>
      </c>
      <c r="X41" s="172">
        <f t="shared" si="4"/>
        <v>0</v>
      </c>
      <c r="Y41" s="173">
        <f t="shared" si="4"/>
        <v>0</v>
      </c>
      <c r="Z41" s="174">
        <f t="shared" si="4"/>
        <v>0</v>
      </c>
      <c r="AA41" s="172">
        <f t="shared" si="4"/>
        <v>0</v>
      </c>
      <c r="AB41" s="173">
        <f t="shared" si="4"/>
        <v>0</v>
      </c>
      <c r="AC41" s="175">
        <f t="shared" si="4"/>
        <v>0</v>
      </c>
      <c r="AD41" s="172">
        <f t="shared" si="4"/>
        <v>0</v>
      </c>
      <c r="AE41" s="173">
        <f t="shared" si="4"/>
        <v>0</v>
      </c>
      <c r="AF41" s="174">
        <f t="shared" si="4"/>
        <v>0</v>
      </c>
      <c r="AG41" s="172">
        <f t="shared" si="4"/>
        <v>0</v>
      </c>
      <c r="AH41" s="173">
        <f t="shared" si="4"/>
        <v>0</v>
      </c>
      <c r="AI41" s="174">
        <f t="shared" si="4"/>
        <v>0</v>
      </c>
      <c r="AJ41" s="172">
        <f t="shared" si="4"/>
        <v>0</v>
      </c>
      <c r="AK41" s="173">
        <f t="shared" si="4"/>
        <v>0</v>
      </c>
      <c r="AL41" s="174">
        <f t="shared" si="4"/>
        <v>0</v>
      </c>
      <c r="AM41" s="172">
        <f t="shared" si="4"/>
        <v>0</v>
      </c>
      <c r="AN41" s="173">
        <f t="shared" si="4"/>
        <v>0</v>
      </c>
      <c r="AO41" s="174">
        <f t="shared" si="4"/>
        <v>0</v>
      </c>
      <c r="AP41" s="172">
        <f t="shared" si="4"/>
        <v>0</v>
      </c>
      <c r="AQ41" s="173">
        <f t="shared" si="4"/>
        <v>0</v>
      </c>
      <c r="AR41" s="174">
        <f t="shared" si="4"/>
        <v>0</v>
      </c>
      <c r="AS41" s="172">
        <f t="shared" si="4"/>
        <v>0</v>
      </c>
      <c r="AT41" s="173">
        <f t="shared" si="4"/>
        <v>0</v>
      </c>
      <c r="AU41" s="174">
        <f t="shared" si="4"/>
        <v>0</v>
      </c>
      <c r="AV41" s="172">
        <f t="shared" si="4"/>
        <v>0</v>
      </c>
      <c r="AW41" s="173">
        <f t="shared" si="4"/>
        <v>0</v>
      </c>
      <c r="AX41" s="174">
        <f t="shared" si="4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1"/>
  <sheetViews>
    <sheetView zoomScale="85" zoomScaleNormal="85" zoomScalePageLayoutView="130" workbookViewId="0">
      <selection activeCell="C1" sqref="C1:W41"/>
    </sheetView>
  </sheetViews>
  <sheetFormatPr defaultColWidth="4.16796875" defaultRowHeight="15" x14ac:dyDescent="0.2"/>
  <cols>
    <col min="1" max="1" width="3.359375" customWidth="1"/>
    <col min="2" max="2" width="25.69140625" customWidth="1"/>
    <col min="3" max="5" width="5.6484375" customWidth="1"/>
    <col min="6" max="6" width="4.70703125" customWidth="1"/>
    <col min="7" max="8" width="4.4375" customWidth="1"/>
    <col min="9" max="9" width="4.70703125" bestFit="1" customWidth="1"/>
    <col min="12" max="12" width="4.70703125" bestFit="1" customWidth="1"/>
    <col min="26" max="26" width="7.93359375" bestFit="1" customWidth="1"/>
  </cols>
  <sheetData>
    <row r="1" spans="1:23" x14ac:dyDescent="0.2">
      <c r="C1" s="231" t="s">
        <v>397</v>
      </c>
      <c r="D1" s="231" t="s">
        <v>398</v>
      </c>
      <c r="E1" s="231" t="s">
        <v>399</v>
      </c>
      <c r="F1" s="271" t="s">
        <v>87</v>
      </c>
      <c r="G1" s="272"/>
      <c r="H1" s="273"/>
      <c r="I1" s="274" t="s">
        <v>88</v>
      </c>
      <c r="J1" s="275"/>
      <c r="K1" s="276"/>
      <c r="L1" s="241" t="s">
        <v>89</v>
      </c>
      <c r="M1" s="242"/>
      <c r="N1" s="243"/>
      <c r="O1" s="244" t="s">
        <v>199</v>
      </c>
      <c r="P1" s="245"/>
      <c r="Q1" s="246"/>
      <c r="R1" s="247" t="s">
        <v>200</v>
      </c>
      <c r="S1" s="248"/>
      <c r="T1" s="249"/>
      <c r="U1" s="250" t="s">
        <v>307</v>
      </c>
      <c r="V1" s="251"/>
      <c r="W1" s="252"/>
    </row>
    <row r="2" spans="1:23" x14ac:dyDescent="0.2">
      <c r="A2" s="3"/>
      <c r="B2" s="5"/>
      <c r="C2" s="232"/>
      <c r="D2" s="232"/>
      <c r="E2" s="232"/>
      <c r="F2" s="253"/>
      <c r="G2" s="254"/>
      <c r="H2" s="255"/>
      <c r="I2" s="268"/>
      <c r="J2" s="269"/>
      <c r="K2" s="270"/>
      <c r="L2" s="265"/>
      <c r="M2" s="266"/>
      <c r="N2" s="267"/>
      <c r="O2" s="262"/>
      <c r="P2" s="263"/>
      <c r="Q2" s="264"/>
      <c r="R2" s="259"/>
      <c r="S2" s="260"/>
      <c r="T2" s="261"/>
      <c r="U2" s="256"/>
      <c r="V2" s="257"/>
      <c r="W2" s="258"/>
    </row>
    <row r="3" spans="1:23" ht="15.75" thickBot="1" x14ac:dyDescent="0.25">
      <c r="A3" s="3" t="s">
        <v>48</v>
      </c>
      <c r="B3" s="17" t="s">
        <v>1</v>
      </c>
      <c r="C3" s="240"/>
      <c r="D3" s="240"/>
      <c r="E3" s="24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">
      <c r="A5" s="27">
        <v>2</v>
      </c>
      <c r="B5" s="35" t="s">
        <v>196</v>
      </c>
      <c r="C5" s="58">
        <f t="shared" ref="C5:C17" si="0">SUM(F5,I5,L5,O5,R5,U5)</f>
        <v>0</v>
      </c>
      <c r="D5" s="51">
        <f t="shared" ref="D5:D17" si="1">SUM(G5,J5,M5,P5,S5,V5)</f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">
      <c r="A6" s="27">
        <v>3</v>
      </c>
      <c r="B6" s="35" t="s">
        <v>317</v>
      </c>
      <c r="C6" s="58">
        <f t="shared" si="0"/>
        <v>0</v>
      </c>
      <c r="D6" s="51">
        <f t="shared" si="1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">
      <c r="A7" s="27">
        <v>4</v>
      </c>
      <c r="B7" s="37" t="s">
        <v>221</v>
      </c>
      <c r="C7" s="58">
        <f t="shared" si="0"/>
        <v>0</v>
      </c>
      <c r="D7" s="51">
        <f t="shared" si="1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">
      <c r="A8" s="27">
        <v>5</v>
      </c>
      <c r="B8" s="37" t="s">
        <v>319</v>
      </c>
      <c r="C8" s="58">
        <f t="shared" si="0"/>
        <v>0</v>
      </c>
      <c r="D8" s="51">
        <f t="shared" si="1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">
      <c r="A9" s="27">
        <v>6</v>
      </c>
      <c r="B9" s="37" t="s">
        <v>198</v>
      </c>
      <c r="C9" s="58">
        <f t="shared" si="0"/>
        <v>0</v>
      </c>
      <c r="D9" s="51">
        <f t="shared" si="1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">
      <c r="A10" s="27">
        <v>7</v>
      </c>
      <c r="B10" s="37" t="s">
        <v>180</v>
      </c>
      <c r="C10" s="58">
        <f t="shared" si="0"/>
        <v>0</v>
      </c>
      <c r="D10" s="51">
        <f t="shared" si="1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">
      <c r="A11" s="27">
        <v>8</v>
      </c>
      <c r="B11" s="37" t="s">
        <v>219</v>
      </c>
      <c r="C11" s="58">
        <f t="shared" si="0"/>
        <v>0</v>
      </c>
      <c r="D11" s="51">
        <f t="shared" si="1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">
      <c r="A12" s="27">
        <v>9</v>
      </c>
      <c r="B12" s="37" t="s">
        <v>260</v>
      </c>
      <c r="C12" s="58">
        <f t="shared" si="0"/>
        <v>0</v>
      </c>
      <c r="D12" s="51">
        <f t="shared" si="1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">
      <c r="A13" s="27">
        <v>10</v>
      </c>
      <c r="B13" s="37" t="s">
        <v>320</v>
      </c>
      <c r="C13" s="58">
        <f t="shared" si="0"/>
        <v>0</v>
      </c>
      <c r="D13" s="51">
        <f t="shared" si="1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">
      <c r="A14" s="27">
        <v>11</v>
      </c>
      <c r="B14" s="35" t="s">
        <v>188</v>
      </c>
      <c r="C14" s="58">
        <f t="shared" si="0"/>
        <v>0</v>
      </c>
      <c r="D14" s="51">
        <f t="shared" si="1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">
      <c r="A15" s="27">
        <v>12</v>
      </c>
      <c r="B15" s="35" t="s">
        <v>277</v>
      </c>
      <c r="C15" s="58">
        <f t="shared" si="0"/>
        <v>0</v>
      </c>
      <c r="D15" s="51">
        <f t="shared" si="1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">
      <c r="A16" s="27">
        <v>13</v>
      </c>
      <c r="B16" s="149" t="s">
        <v>313</v>
      </c>
      <c r="C16" s="58">
        <f t="shared" si="0"/>
        <v>0</v>
      </c>
      <c r="D16" s="51">
        <f t="shared" si="1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">
      <c r="A17" s="27">
        <v>14</v>
      </c>
      <c r="B17" s="149" t="s">
        <v>318</v>
      </c>
      <c r="C17" s="58">
        <f t="shared" si="0"/>
        <v>0</v>
      </c>
      <c r="D17" s="51">
        <f t="shared" si="1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">
      <c r="A18" s="27">
        <v>17</v>
      </c>
      <c r="B18" s="148" t="s">
        <v>344</v>
      </c>
      <c r="C18" s="58">
        <f t="shared" ref="C18:C24" si="2">SUM(F18,I18,L18,O18,R18,U18)</f>
        <v>0</v>
      </c>
      <c r="D18" s="51">
        <f t="shared" ref="D18:D24" si="3">SUM(G18,J18,M18,P18,S18,V18)</f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">
      <c r="A19" s="27">
        <v>20</v>
      </c>
      <c r="B19" s="148" t="s">
        <v>316</v>
      </c>
      <c r="C19" s="58">
        <f t="shared" si="2"/>
        <v>0</v>
      </c>
      <c r="D19" s="51">
        <f t="shared" si="3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">
      <c r="A20" s="27">
        <v>21</v>
      </c>
      <c r="B20" s="37" t="s">
        <v>259</v>
      </c>
      <c r="C20" s="58">
        <f t="shared" si="2"/>
        <v>0</v>
      </c>
      <c r="D20" s="51">
        <f t="shared" si="3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">
      <c r="A21" s="28">
        <v>22</v>
      </c>
      <c r="B21" s="40" t="s">
        <v>264</v>
      </c>
      <c r="C21" s="58">
        <f t="shared" si="2"/>
        <v>0</v>
      </c>
      <c r="D21" s="51">
        <f t="shared" si="3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">
      <c r="A22" s="27">
        <v>23</v>
      </c>
      <c r="B22" s="37" t="s">
        <v>294</v>
      </c>
      <c r="C22" s="58">
        <f t="shared" si="2"/>
        <v>0</v>
      </c>
      <c r="D22" s="51">
        <f t="shared" si="3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">
      <c r="A23" s="28">
        <v>24</v>
      </c>
      <c r="B23" s="148" t="s">
        <v>115</v>
      </c>
      <c r="C23" s="58">
        <f t="shared" si="2"/>
        <v>0</v>
      </c>
      <c r="D23" s="51">
        <f t="shared" si="3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">
      <c r="A24" s="28">
        <v>29</v>
      </c>
      <c r="B24" s="148" t="s">
        <v>276</v>
      </c>
      <c r="C24" s="58">
        <f t="shared" si="2"/>
        <v>0</v>
      </c>
      <c r="D24" s="51">
        <f t="shared" si="3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">
      <c r="A25" s="28">
        <v>30</v>
      </c>
      <c r="B25" s="148" t="s">
        <v>345</v>
      </c>
      <c r="C25" s="58">
        <f t="shared" ref="C25:C28" si="4">SUM(F25,I25,L25,O25,R25,U25)</f>
        <v>0</v>
      </c>
      <c r="D25" s="51">
        <f t="shared" ref="D25:D28" si="5">SUM(G25,J25,M25,P25,S25,V25)</f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">
      <c r="A26" s="28">
        <v>33</v>
      </c>
      <c r="B26" s="148" t="s">
        <v>292</v>
      </c>
      <c r="C26" s="58">
        <f t="shared" si="4"/>
        <v>0</v>
      </c>
      <c r="D26" s="51">
        <f t="shared" si="5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">
      <c r="A27" s="28">
        <v>35</v>
      </c>
      <c r="B27" s="148" t="s">
        <v>304</v>
      </c>
      <c r="C27" s="58">
        <f t="shared" si="4"/>
        <v>0</v>
      </c>
      <c r="D27" s="51">
        <f t="shared" si="5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">
      <c r="A28" s="28">
        <v>36</v>
      </c>
      <c r="B28" s="148" t="s">
        <v>314</v>
      </c>
      <c r="C28" s="58">
        <f t="shared" si="4"/>
        <v>0</v>
      </c>
      <c r="D28" s="51">
        <f t="shared" si="5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">
      <c r="A29" s="28">
        <v>39</v>
      </c>
      <c r="B29" s="148" t="s">
        <v>346</v>
      </c>
      <c r="C29" s="58">
        <f t="shared" ref="C29:C40" si="6">SUM(F29,I29,L29,O29,R29,U29)</f>
        <v>0</v>
      </c>
      <c r="D29" s="51">
        <f t="shared" ref="D29:D40" si="7">SUM(G29,J29,M29,P29,S29,V29)</f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">
      <c r="A30" s="27">
        <v>41</v>
      </c>
      <c r="B30" s="35" t="s">
        <v>278</v>
      </c>
      <c r="C30" s="58">
        <f t="shared" si="6"/>
        <v>0</v>
      </c>
      <c r="D30" s="51">
        <f t="shared" si="7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">
      <c r="A31" s="27">
        <v>46</v>
      </c>
      <c r="B31" s="34" t="s">
        <v>299</v>
      </c>
      <c r="C31" s="58">
        <f t="shared" si="6"/>
        <v>0</v>
      </c>
      <c r="D31" s="51">
        <f t="shared" si="7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">
      <c r="A32" s="27">
        <v>49</v>
      </c>
      <c r="B32" s="35" t="s">
        <v>298</v>
      </c>
      <c r="C32" s="58">
        <f t="shared" si="6"/>
        <v>0</v>
      </c>
      <c r="D32" s="51">
        <f t="shared" si="7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">
      <c r="A33" s="27">
        <v>52</v>
      </c>
      <c r="B33" s="149" t="s">
        <v>342</v>
      </c>
      <c r="C33" s="58">
        <f t="shared" si="6"/>
        <v>0</v>
      </c>
      <c r="D33" s="51">
        <f t="shared" si="7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">
      <c r="A34" s="28">
        <v>53</v>
      </c>
      <c r="B34" s="148" t="s">
        <v>293</v>
      </c>
      <c r="C34" s="58">
        <f t="shared" si="6"/>
        <v>0</v>
      </c>
      <c r="D34" s="51">
        <f t="shared" si="7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">
      <c r="A35" s="27">
        <v>56</v>
      </c>
      <c r="B35" s="149" t="s">
        <v>323</v>
      </c>
      <c r="C35" s="58">
        <f t="shared" si="6"/>
        <v>0</v>
      </c>
      <c r="D35" s="51">
        <f t="shared" si="7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">
      <c r="A36" s="28">
        <v>71</v>
      </c>
      <c r="B36" s="148" t="s">
        <v>328</v>
      </c>
      <c r="C36" s="58">
        <f t="shared" si="6"/>
        <v>0</v>
      </c>
      <c r="D36" s="51">
        <f t="shared" si="7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">
      <c r="A37" s="28">
        <v>72</v>
      </c>
      <c r="B37" s="148" t="s">
        <v>339</v>
      </c>
      <c r="C37" s="58">
        <f t="shared" si="6"/>
        <v>0</v>
      </c>
      <c r="D37" s="51">
        <f t="shared" si="7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">
      <c r="A38" s="28">
        <v>81</v>
      </c>
      <c r="B38" s="148" t="s">
        <v>340</v>
      </c>
      <c r="C38" s="58">
        <f t="shared" si="6"/>
        <v>0</v>
      </c>
      <c r="D38" s="51">
        <f t="shared" si="7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">
      <c r="A39" s="28">
        <v>89</v>
      </c>
      <c r="B39" s="148" t="s">
        <v>334</v>
      </c>
      <c r="C39" s="58">
        <f t="shared" si="6"/>
        <v>0</v>
      </c>
      <c r="D39" s="51">
        <f t="shared" si="7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25">
      <c r="A40" s="28">
        <v>92</v>
      </c>
      <c r="B40" s="37" t="s">
        <v>302</v>
      </c>
      <c r="C40" s="164">
        <f t="shared" si="6"/>
        <v>0</v>
      </c>
      <c r="D40" s="194">
        <f t="shared" si="7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25">
      <c r="F41" s="172">
        <f t="shared" ref="F41:U41" si="8">SUM(F4:F40)</f>
        <v>0</v>
      </c>
      <c r="G41" s="173">
        <f t="shared" si="8"/>
        <v>0</v>
      </c>
      <c r="H41" s="174">
        <f>SUM(H4:H40)</f>
        <v>0</v>
      </c>
      <c r="I41" s="172">
        <f t="shared" si="8"/>
        <v>0</v>
      </c>
      <c r="J41" s="173">
        <f t="shared" si="8"/>
        <v>0</v>
      </c>
      <c r="K41" s="174">
        <f>SUM(K4:K40)</f>
        <v>0</v>
      </c>
      <c r="L41" s="172">
        <f t="shared" si="8"/>
        <v>0</v>
      </c>
      <c r="M41" s="173">
        <f t="shared" si="8"/>
        <v>0</v>
      </c>
      <c r="N41" s="174">
        <f>SUM(N4:N40)</f>
        <v>0</v>
      </c>
      <c r="O41" s="172">
        <f t="shared" si="8"/>
        <v>0</v>
      </c>
      <c r="P41" s="173">
        <f t="shared" si="8"/>
        <v>0</v>
      </c>
      <c r="Q41" s="174">
        <f>SUM(Q4:Q40)</f>
        <v>0</v>
      </c>
      <c r="R41" s="172">
        <f t="shared" si="8"/>
        <v>0</v>
      </c>
      <c r="S41" s="173">
        <f t="shared" si="8"/>
        <v>0</v>
      </c>
      <c r="T41" s="174">
        <f>SUM(T4:T40)</f>
        <v>0</v>
      </c>
      <c r="U41" s="172">
        <f t="shared" si="8"/>
        <v>0</v>
      </c>
      <c r="V41" s="173">
        <f t="shared" ref="V41" si="9">SUM(V4:V40)</f>
        <v>0</v>
      </c>
      <c r="W41" s="174">
        <f>SUM(W4:W40)</f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1"/>
  <sheetViews>
    <sheetView zoomScale="83" zoomScaleNormal="85" workbookViewId="0">
      <selection activeCell="F41" sqref="F41"/>
    </sheetView>
  </sheetViews>
  <sheetFormatPr defaultColWidth="4.70703125" defaultRowHeight="15" x14ac:dyDescent="0.2"/>
  <cols>
    <col min="1" max="1" width="3.359375" customWidth="1"/>
    <col min="2" max="2" width="25.69140625" customWidth="1"/>
    <col min="3" max="4" width="5.6484375" customWidth="1"/>
    <col min="5" max="16" width="6.45703125" customWidth="1"/>
  </cols>
  <sheetData>
    <row r="1" spans="1:23" x14ac:dyDescent="0.2">
      <c r="C1" s="231" t="s">
        <v>397</v>
      </c>
      <c r="D1" s="231" t="s">
        <v>398</v>
      </c>
      <c r="E1" s="231" t="s">
        <v>399</v>
      </c>
      <c r="F1" s="271" t="s">
        <v>87</v>
      </c>
      <c r="G1" s="272"/>
      <c r="H1" s="273"/>
      <c r="I1" s="274" t="s">
        <v>88</v>
      </c>
      <c r="J1" s="275"/>
      <c r="K1" s="276"/>
      <c r="L1" s="241" t="s">
        <v>89</v>
      </c>
      <c r="M1" s="242"/>
      <c r="N1" s="243"/>
      <c r="O1" s="244" t="s">
        <v>199</v>
      </c>
      <c r="P1" s="245"/>
      <c r="Q1" s="246"/>
      <c r="R1" s="247" t="s">
        <v>200</v>
      </c>
      <c r="S1" s="248"/>
      <c r="T1" s="249"/>
      <c r="U1" s="250" t="s">
        <v>307</v>
      </c>
      <c r="V1" s="251"/>
      <c r="W1" s="252"/>
    </row>
    <row r="2" spans="1:23" x14ac:dyDescent="0.2">
      <c r="A2" s="3"/>
      <c r="B2" s="17"/>
      <c r="C2" s="232"/>
      <c r="D2" s="232"/>
      <c r="E2" s="232"/>
      <c r="F2" s="253"/>
      <c r="G2" s="254"/>
      <c r="H2" s="255"/>
      <c r="I2" s="268"/>
      <c r="J2" s="269"/>
      <c r="K2" s="270"/>
      <c r="L2" s="265"/>
      <c r="M2" s="266"/>
      <c r="N2" s="267"/>
      <c r="O2" s="262"/>
      <c r="P2" s="263"/>
      <c r="Q2" s="264"/>
      <c r="R2" s="259"/>
      <c r="S2" s="260"/>
      <c r="T2" s="261"/>
      <c r="U2" s="256"/>
      <c r="V2" s="257"/>
      <c r="W2" s="258"/>
    </row>
    <row r="3" spans="1:23" ht="15.75" thickBot="1" x14ac:dyDescent="0.25">
      <c r="A3" s="3" t="s">
        <v>48</v>
      </c>
      <c r="B3" s="17" t="s">
        <v>1</v>
      </c>
      <c r="C3" s="240"/>
      <c r="D3" s="240"/>
      <c r="E3" s="24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">
      <c r="A5" s="27">
        <v>2</v>
      </c>
      <c r="B5" s="35" t="s">
        <v>196</v>
      </c>
      <c r="C5" s="58">
        <f t="shared" ref="C5:D20" si="0">SUM(F5,I5,L5,O5,R5,U5)</f>
        <v>0</v>
      </c>
      <c r="D5" s="51">
        <f t="shared" si="0"/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">
      <c r="A6" s="27">
        <v>3</v>
      </c>
      <c r="B6" s="35" t="s">
        <v>317</v>
      </c>
      <c r="C6" s="58">
        <f t="shared" si="0"/>
        <v>0</v>
      </c>
      <c r="D6" s="51">
        <f t="shared" si="0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">
      <c r="A7" s="27">
        <v>4</v>
      </c>
      <c r="B7" s="37" t="s">
        <v>221</v>
      </c>
      <c r="C7" s="58">
        <f t="shared" si="0"/>
        <v>0</v>
      </c>
      <c r="D7" s="51">
        <f t="shared" si="0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">
      <c r="A8" s="27">
        <v>5</v>
      </c>
      <c r="B8" s="37" t="s">
        <v>319</v>
      </c>
      <c r="C8" s="58">
        <f t="shared" si="0"/>
        <v>0</v>
      </c>
      <c r="D8" s="51">
        <f t="shared" si="0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">
      <c r="A9" s="27">
        <v>6</v>
      </c>
      <c r="B9" s="37" t="s">
        <v>198</v>
      </c>
      <c r="C9" s="58">
        <f t="shared" si="0"/>
        <v>0</v>
      </c>
      <c r="D9" s="51">
        <f t="shared" si="0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">
      <c r="A10" s="27">
        <v>7</v>
      </c>
      <c r="B10" s="37" t="s">
        <v>180</v>
      </c>
      <c r="C10" s="58">
        <f t="shared" si="0"/>
        <v>0</v>
      </c>
      <c r="D10" s="51">
        <f t="shared" si="0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">
      <c r="A11" s="27">
        <v>8</v>
      </c>
      <c r="B11" s="37" t="s">
        <v>219</v>
      </c>
      <c r="C11" s="58">
        <f t="shared" si="0"/>
        <v>0</v>
      </c>
      <c r="D11" s="51">
        <f t="shared" si="0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">
      <c r="A12" s="27">
        <v>9</v>
      </c>
      <c r="B12" s="37" t="s">
        <v>260</v>
      </c>
      <c r="C12" s="58">
        <f t="shared" si="0"/>
        <v>0</v>
      </c>
      <c r="D12" s="51">
        <f t="shared" si="0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">
      <c r="A13" s="27">
        <v>10</v>
      </c>
      <c r="B13" s="37" t="s">
        <v>320</v>
      </c>
      <c r="C13" s="58">
        <f t="shared" si="0"/>
        <v>0</v>
      </c>
      <c r="D13" s="51">
        <f t="shared" si="0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">
      <c r="A14" s="27">
        <v>11</v>
      </c>
      <c r="B14" s="35" t="s">
        <v>188</v>
      </c>
      <c r="C14" s="58">
        <f t="shared" si="0"/>
        <v>0</v>
      </c>
      <c r="D14" s="51">
        <f t="shared" si="0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">
      <c r="A15" s="27">
        <v>12</v>
      </c>
      <c r="B15" s="35" t="s">
        <v>277</v>
      </c>
      <c r="C15" s="58">
        <f t="shared" si="0"/>
        <v>0</v>
      </c>
      <c r="D15" s="51">
        <f t="shared" si="0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">
      <c r="A16" s="27">
        <v>13</v>
      </c>
      <c r="B16" s="149" t="s">
        <v>313</v>
      </c>
      <c r="C16" s="58">
        <f t="shared" si="0"/>
        <v>0</v>
      </c>
      <c r="D16" s="51">
        <f t="shared" si="0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">
      <c r="A17" s="27">
        <v>14</v>
      </c>
      <c r="B17" s="149" t="s">
        <v>318</v>
      </c>
      <c r="C17" s="58">
        <f t="shared" si="0"/>
        <v>0</v>
      </c>
      <c r="D17" s="51">
        <f t="shared" si="0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">
      <c r="A18" s="27">
        <v>17</v>
      </c>
      <c r="B18" s="148" t="s">
        <v>344</v>
      </c>
      <c r="C18" s="58">
        <f t="shared" si="0"/>
        <v>0</v>
      </c>
      <c r="D18" s="51">
        <f t="shared" si="0"/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">
      <c r="A19" s="27">
        <v>20</v>
      </c>
      <c r="B19" s="148" t="s">
        <v>316</v>
      </c>
      <c r="C19" s="58">
        <f t="shared" si="0"/>
        <v>0</v>
      </c>
      <c r="D19" s="51">
        <f t="shared" si="0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">
      <c r="A20" s="27">
        <v>21</v>
      </c>
      <c r="B20" s="37" t="s">
        <v>259</v>
      </c>
      <c r="C20" s="58">
        <f t="shared" si="0"/>
        <v>0</v>
      </c>
      <c r="D20" s="51">
        <f t="shared" si="0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">
      <c r="A21" s="28">
        <v>22</v>
      </c>
      <c r="B21" s="40" t="s">
        <v>264</v>
      </c>
      <c r="C21" s="58">
        <f t="shared" ref="C21:D36" si="1">SUM(F21,I21,L21,O21,R21,U21)</f>
        <v>0</v>
      </c>
      <c r="D21" s="51">
        <f t="shared" si="1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">
      <c r="A22" s="27">
        <v>23</v>
      </c>
      <c r="B22" s="37" t="s">
        <v>294</v>
      </c>
      <c r="C22" s="58">
        <f t="shared" si="1"/>
        <v>0</v>
      </c>
      <c r="D22" s="51">
        <f t="shared" si="1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">
      <c r="A23" s="28">
        <v>24</v>
      </c>
      <c r="B23" s="148" t="s">
        <v>115</v>
      </c>
      <c r="C23" s="58">
        <f t="shared" si="1"/>
        <v>0</v>
      </c>
      <c r="D23" s="51">
        <f t="shared" si="1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">
      <c r="A24" s="28">
        <v>29</v>
      </c>
      <c r="B24" s="148" t="s">
        <v>276</v>
      </c>
      <c r="C24" s="58">
        <f t="shared" si="1"/>
        <v>0</v>
      </c>
      <c r="D24" s="51">
        <f t="shared" si="1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">
      <c r="A25" s="28">
        <v>30</v>
      </c>
      <c r="B25" s="148" t="s">
        <v>345</v>
      </c>
      <c r="C25" s="58">
        <f t="shared" si="1"/>
        <v>0</v>
      </c>
      <c r="D25" s="51">
        <f t="shared" si="1"/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">
      <c r="A26" s="28">
        <v>33</v>
      </c>
      <c r="B26" s="148" t="s">
        <v>292</v>
      </c>
      <c r="C26" s="58">
        <f t="shared" si="1"/>
        <v>0</v>
      </c>
      <c r="D26" s="51">
        <f t="shared" si="1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">
      <c r="A27" s="28">
        <v>35</v>
      </c>
      <c r="B27" s="148" t="s">
        <v>304</v>
      </c>
      <c r="C27" s="58">
        <f t="shared" si="1"/>
        <v>0</v>
      </c>
      <c r="D27" s="51">
        <f t="shared" si="1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">
      <c r="A28" s="28">
        <v>36</v>
      </c>
      <c r="B28" s="148" t="s">
        <v>314</v>
      </c>
      <c r="C28" s="58">
        <f t="shared" si="1"/>
        <v>0</v>
      </c>
      <c r="D28" s="51">
        <f t="shared" si="1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">
      <c r="A29" s="28">
        <v>39</v>
      </c>
      <c r="B29" s="148" t="s">
        <v>346</v>
      </c>
      <c r="C29" s="58">
        <f t="shared" si="1"/>
        <v>0</v>
      </c>
      <c r="D29" s="51">
        <f t="shared" si="1"/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">
      <c r="A30" s="27">
        <v>41</v>
      </c>
      <c r="B30" s="35" t="s">
        <v>278</v>
      </c>
      <c r="C30" s="58">
        <f t="shared" si="1"/>
        <v>0</v>
      </c>
      <c r="D30" s="51">
        <f t="shared" si="1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">
      <c r="A31" s="27">
        <v>46</v>
      </c>
      <c r="B31" s="34" t="s">
        <v>299</v>
      </c>
      <c r="C31" s="58">
        <f t="shared" si="1"/>
        <v>0</v>
      </c>
      <c r="D31" s="51">
        <f t="shared" si="1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">
      <c r="A32" s="27">
        <v>49</v>
      </c>
      <c r="B32" s="35" t="s">
        <v>298</v>
      </c>
      <c r="C32" s="58">
        <f t="shared" si="1"/>
        <v>0</v>
      </c>
      <c r="D32" s="51">
        <f t="shared" si="1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">
      <c r="A33" s="27">
        <v>52</v>
      </c>
      <c r="B33" s="149" t="s">
        <v>342</v>
      </c>
      <c r="C33" s="58">
        <f t="shared" si="1"/>
        <v>0</v>
      </c>
      <c r="D33" s="51">
        <f t="shared" si="1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">
      <c r="A34" s="28">
        <v>53</v>
      </c>
      <c r="B34" s="148" t="s">
        <v>293</v>
      </c>
      <c r="C34" s="58">
        <f t="shared" si="1"/>
        <v>0</v>
      </c>
      <c r="D34" s="51">
        <f t="shared" si="1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">
      <c r="A35" s="27">
        <v>56</v>
      </c>
      <c r="B35" s="149" t="s">
        <v>323</v>
      </c>
      <c r="C35" s="58">
        <f t="shared" si="1"/>
        <v>0</v>
      </c>
      <c r="D35" s="51">
        <f t="shared" si="1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">
      <c r="A36" s="28">
        <v>71</v>
      </c>
      <c r="B36" s="148" t="s">
        <v>328</v>
      </c>
      <c r="C36" s="58">
        <f t="shared" si="1"/>
        <v>0</v>
      </c>
      <c r="D36" s="51">
        <f t="shared" si="1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">
      <c r="A37" s="28">
        <v>72</v>
      </c>
      <c r="B37" s="148" t="s">
        <v>339</v>
      </c>
      <c r="C37" s="58">
        <f t="shared" ref="C37:D40" si="2">SUM(F37,I37,L37,O37,R37,U37)</f>
        <v>0</v>
      </c>
      <c r="D37" s="51">
        <f t="shared" si="2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">
      <c r="A38" s="28">
        <v>81</v>
      </c>
      <c r="B38" s="148" t="s">
        <v>340</v>
      </c>
      <c r="C38" s="58">
        <f t="shared" si="2"/>
        <v>0</v>
      </c>
      <c r="D38" s="51">
        <f t="shared" si="2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">
      <c r="A39" s="28">
        <v>89</v>
      </c>
      <c r="B39" s="148" t="s">
        <v>334</v>
      </c>
      <c r="C39" s="58">
        <f t="shared" si="2"/>
        <v>0</v>
      </c>
      <c r="D39" s="51">
        <f t="shared" si="2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25">
      <c r="A40" s="28">
        <v>92</v>
      </c>
      <c r="B40" s="37" t="s">
        <v>302</v>
      </c>
      <c r="C40" s="164">
        <f t="shared" si="2"/>
        <v>0</v>
      </c>
      <c r="D40" s="194">
        <f t="shared" si="2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25">
      <c r="F41" s="172">
        <f t="shared" ref="F41:V41" si="3">SUM(F4:F40)</f>
        <v>0</v>
      </c>
      <c r="G41" s="173">
        <f t="shared" si="3"/>
        <v>0</v>
      </c>
      <c r="H41" s="174">
        <f>SUM(H4:H40)</f>
        <v>0</v>
      </c>
      <c r="I41" s="172">
        <f t="shared" si="3"/>
        <v>0</v>
      </c>
      <c r="J41" s="173">
        <f t="shared" si="3"/>
        <v>0</v>
      </c>
      <c r="K41" s="174">
        <f>SUM(K4:K40)</f>
        <v>0</v>
      </c>
      <c r="L41" s="172">
        <f t="shared" si="3"/>
        <v>0</v>
      </c>
      <c r="M41" s="173">
        <f t="shared" si="3"/>
        <v>0</v>
      </c>
      <c r="N41" s="174">
        <f>SUM(N4:N40)</f>
        <v>0</v>
      </c>
      <c r="O41" s="172">
        <f t="shared" si="3"/>
        <v>0</v>
      </c>
      <c r="P41" s="173">
        <f t="shared" si="3"/>
        <v>0</v>
      </c>
      <c r="Q41" s="174">
        <f>SUM(Q4:Q40)</f>
        <v>0</v>
      </c>
      <c r="R41" s="172">
        <f t="shared" si="3"/>
        <v>0</v>
      </c>
      <c r="S41" s="173">
        <f t="shared" si="3"/>
        <v>0</v>
      </c>
      <c r="T41" s="174">
        <f>SUM(T4:T40)</f>
        <v>0</v>
      </c>
      <c r="U41" s="172">
        <f t="shared" si="3"/>
        <v>0</v>
      </c>
      <c r="V41" s="173">
        <f t="shared" si="3"/>
        <v>0</v>
      </c>
      <c r="W41" s="174">
        <f>SUM(W4:W40)</f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9"/>
  <sheetViews>
    <sheetView zoomScale="85" zoomScaleNormal="85" workbookViewId="0">
      <selection activeCell="C2" sqref="C2:D2"/>
    </sheetView>
  </sheetViews>
  <sheetFormatPr defaultColWidth="4.70703125" defaultRowHeight="15" x14ac:dyDescent="0.2"/>
  <cols>
    <col min="1" max="1" width="3.359375" customWidth="1"/>
    <col min="2" max="2" width="25.69140625" customWidth="1"/>
  </cols>
  <sheetData>
    <row r="1" spans="1:5" x14ac:dyDescent="0.2">
      <c r="C1" s="277" t="s">
        <v>341</v>
      </c>
      <c r="D1" s="278"/>
      <c r="E1" s="278"/>
    </row>
    <row r="2" spans="1:5" x14ac:dyDescent="0.2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">
      <c r="A3" s="27">
        <v>1</v>
      </c>
      <c r="B3" s="148" t="s">
        <v>279</v>
      </c>
      <c r="C3" s="20">
        <v>1</v>
      </c>
      <c r="D3" s="20"/>
      <c r="E3" s="20"/>
    </row>
    <row r="4" spans="1:5" x14ac:dyDescent="0.2">
      <c r="A4" s="27">
        <v>2</v>
      </c>
      <c r="B4" s="149" t="s">
        <v>196</v>
      </c>
      <c r="C4" s="20"/>
      <c r="D4" s="20"/>
      <c r="E4" s="20"/>
    </row>
    <row r="5" spans="1:5" x14ac:dyDescent="0.2">
      <c r="A5" s="27">
        <v>3</v>
      </c>
      <c r="B5" s="149" t="s">
        <v>317</v>
      </c>
      <c r="C5" s="20">
        <v>1</v>
      </c>
      <c r="D5" s="20"/>
      <c r="E5" s="20"/>
    </row>
    <row r="6" spans="1:5" x14ac:dyDescent="0.2">
      <c r="A6" s="27">
        <v>4</v>
      </c>
      <c r="B6" s="148" t="s">
        <v>221</v>
      </c>
      <c r="C6" s="20">
        <v>1</v>
      </c>
      <c r="D6" s="20"/>
      <c r="E6" s="20"/>
    </row>
    <row r="7" spans="1:5" x14ac:dyDescent="0.2">
      <c r="A7" s="27">
        <v>5</v>
      </c>
      <c r="B7" s="148" t="s">
        <v>319</v>
      </c>
      <c r="C7" s="20">
        <v>1</v>
      </c>
      <c r="D7" s="20"/>
      <c r="E7" s="20"/>
    </row>
    <row r="8" spans="1:5" x14ac:dyDescent="0.2">
      <c r="A8" s="27">
        <v>6</v>
      </c>
      <c r="B8" s="148" t="s">
        <v>198</v>
      </c>
      <c r="C8" s="20">
        <v>1</v>
      </c>
      <c r="D8" s="20"/>
      <c r="E8" s="20"/>
    </row>
    <row r="9" spans="1:5" x14ac:dyDescent="0.2">
      <c r="A9" s="27">
        <v>7</v>
      </c>
      <c r="B9" s="148" t="s">
        <v>180</v>
      </c>
      <c r="C9" s="20">
        <v>1</v>
      </c>
      <c r="D9" s="20"/>
      <c r="E9" s="20"/>
    </row>
    <row r="10" spans="1:5" x14ac:dyDescent="0.2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">
      <c r="A11" s="27">
        <v>9</v>
      </c>
      <c r="B11" s="148" t="s">
        <v>260</v>
      </c>
      <c r="C11" s="20"/>
      <c r="D11" s="20"/>
      <c r="E11" s="20"/>
    </row>
    <row r="12" spans="1:5" x14ac:dyDescent="0.2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">
      <c r="A13" s="27">
        <v>11</v>
      </c>
      <c r="B13" s="149" t="s">
        <v>188</v>
      </c>
      <c r="C13" s="20"/>
      <c r="D13" s="20"/>
      <c r="E13" s="20"/>
    </row>
    <row r="14" spans="1:5" x14ac:dyDescent="0.2">
      <c r="A14" s="27">
        <v>12</v>
      </c>
      <c r="B14" s="149" t="s">
        <v>277</v>
      </c>
      <c r="C14" s="20"/>
      <c r="D14" s="20"/>
      <c r="E14" s="20"/>
    </row>
    <row r="15" spans="1:5" x14ac:dyDescent="0.2">
      <c r="A15" s="27">
        <v>13</v>
      </c>
      <c r="B15" s="149" t="s">
        <v>313</v>
      </c>
      <c r="C15" s="20"/>
      <c r="D15" s="20"/>
      <c r="E15" s="20"/>
    </row>
    <row r="16" spans="1:5" x14ac:dyDescent="0.2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">
      <c r="A17" s="27">
        <v>17</v>
      </c>
      <c r="B17" s="148" t="s">
        <v>344</v>
      </c>
      <c r="C17" s="20">
        <v>1</v>
      </c>
      <c r="D17" s="20"/>
      <c r="E17" s="20">
        <v>2</v>
      </c>
    </row>
    <row r="18" spans="1:5" x14ac:dyDescent="0.2">
      <c r="A18" s="27">
        <v>20</v>
      </c>
      <c r="B18" s="148" t="s">
        <v>316</v>
      </c>
      <c r="C18" s="20">
        <v>1</v>
      </c>
      <c r="D18" s="20"/>
      <c r="E18" s="20"/>
    </row>
    <row r="19" spans="1:5" x14ac:dyDescent="0.2">
      <c r="A19" s="27">
        <v>21</v>
      </c>
      <c r="B19" s="148" t="s">
        <v>259</v>
      </c>
      <c r="C19" s="20"/>
      <c r="D19" s="20"/>
      <c r="E19" s="20"/>
    </row>
    <row r="20" spans="1:5" x14ac:dyDescent="0.2">
      <c r="A20" s="28">
        <v>22</v>
      </c>
      <c r="B20" s="158" t="s">
        <v>264</v>
      </c>
      <c r="C20" s="20"/>
      <c r="D20" s="20"/>
      <c r="E20" s="20"/>
    </row>
    <row r="21" spans="1:5" x14ac:dyDescent="0.2">
      <c r="A21" s="27">
        <v>23</v>
      </c>
      <c r="B21" s="148" t="s">
        <v>294</v>
      </c>
      <c r="C21" s="20"/>
      <c r="D21" s="20"/>
      <c r="E21" s="20"/>
    </row>
    <row r="22" spans="1:5" x14ac:dyDescent="0.2">
      <c r="A22" s="28">
        <v>24</v>
      </c>
      <c r="B22" s="148" t="s">
        <v>115</v>
      </c>
      <c r="C22" s="20"/>
      <c r="D22" s="20"/>
      <c r="E22" s="20"/>
    </row>
    <row r="23" spans="1:5" x14ac:dyDescent="0.2">
      <c r="A23" s="28">
        <v>29</v>
      </c>
      <c r="B23" s="148" t="s">
        <v>276</v>
      </c>
      <c r="C23" s="20">
        <v>1</v>
      </c>
      <c r="D23" s="20">
        <v>1</v>
      </c>
      <c r="E23" s="20"/>
    </row>
    <row r="24" spans="1:5" x14ac:dyDescent="0.2">
      <c r="A24" s="28">
        <v>30</v>
      </c>
      <c r="B24" s="148" t="s">
        <v>345</v>
      </c>
      <c r="C24" s="20"/>
      <c r="D24" s="20"/>
      <c r="E24" s="20"/>
    </row>
    <row r="25" spans="1:5" x14ac:dyDescent="0.2">
      <c r="A25" s="28">
        <v>33</v>
      </c>
      <c r="B25" s="148" t="s">
        <v>292</v>
      </c>
      <c r="C25" s="20">
        <v>1</v>
      </c>
      <c r="D25" s="20">
        <v>1</v>
      </c>
      <c r="E25" s="20"/>
    </row>
    <row r="26" spans="1:5" x14ac:dyDescent="0.2">
      <c r="A26" s="28">
        <v>35</v>
      </c>
      <c r="B26" s="148" t="s">
        <v>304</v>
      </c>
      <c r="C26" s="20"/>
      <c r="D26" s="20"/>
      <c r="E26" s="20"/>
    </row>
    <row r="27" spans="1:5" x14ac:dyDescent="0.2">
      <c r="A27" s="28">
        <v>36</v>
      </c>
      <c r="B27" s="148" t="s">
        <v>314</v>
      </c>
      <c r="C27" s="20">
        <v>1</v>
      </c>
      <c r="D27" s="20"/>
      <c r="E27" s="20"/>
    </row>
    <row r="28" spans="1:5" x14ac:dyDescent="0.2">
      <c r="A28" s="28">
        <v>39</v>
      </c>
      <c r="B28" s="148" t="s">
        <v>346</v>
      </c>
      <c r="C28" s="20">
        <v>1</v>
      </c>
      <c r="D28" s="20"/>
      <c r="E28" s="20"/>
    </row>
    <row r="29" spans="1:5" x14ac:dyDescent="0.2">
      <c r="A29" s="27">
        <v>41</v>
      </c>
      <c r="B29" s="149" t="s">
        <v>278</v>
      </c>
      <c r="C29" s="20">
        <v>1</v>
      </c>
      <c r="D29" s="20"/>
      <c r="E29" s="20"/>
    </row>
    <row r="30" spans="1:5" x14ac:dyDescent="0.2">
      <c r="A30" s="27">
        <v>46</v>
      </c>
      <c r="B30" s="159" t="s">
        <v>299</v>
      </c>
      <c r="C30" s="20"/>
      <c r="D30" s="20"/>
      <c r="E30" s="20"/>
    </row>
    <row r="31" spans="1:5" x14ac:dyDescent="0.2">
      <c r="A31" s="27">
        <v>49</v>
      </c>
      <c r="B31" s="149" t="s">
        <v>298</v>
      </c>
      <c r="C31" s="20">
        <v>1</v>
      </c>
      <c r="D31" s="20"/>
      <c r="E31" s="20">
        <v>1</v>
      </c>
    </row>
    <row r="32" spans="1:5" x14ac:dyDescent="0.2">
      <c r="A32" s="27">
        <v>52</v>
      </c>
      <c r="B32" s="149" t="s">
        <v>342</v>
      </c>
      <c r="C32" s="20"/>
      <c r="D32" s="20"/>
      <c r="E32" s="20"/>
    </row>
    <row r="33" spans="1:5" x14ac:dyDescent="0.2">
      <c r="A33" s="28">
        <v>53</v>
      </c>
      <c r="B33" s="148" t="s">
        <v>293</v>
      </c>
      <c r="C33" s="20"/>
      <c r="D33" s="20"/>
      <c r="E33" s="20"/>
    </row>
    <row r="34" spans="1:5" x14ac:dyDescent="0.2">
      <c r="A34" s="27">
        <v>56</v>
      </c>
      <c r="B34" s="149" t="s">
        <v>323</v>
      </c>
      <c r="C34" s="20"/>
      <c r="D34" s="20"/>
      <c r="E34" s="20"/>
    </row>
    <row r="35" spans="1:5" x14ac:dyDescent="0.2">
      <c r="A35" s="28">
        <v>71</v>
      </c>
      <c r="B35" s="148" t="s">
        <v>328</v>
      </c>
      <c r="C35" s="20"/>
      <c r="D35" s="20"/>
      <c r="E35" s="20"/>
    </row>
    <row r="36" spans="1:5" x14ac:dyDescent="0.2">
      <c r="A36" s="28">
        <v>72</v>
      </c>
      <c r="B36" s="148" t="s">
        <v>339</v>
      </c>
      <c r="C36" s="20"/>
      <c r="D36" s="20"/>
      <c r="E36" s="20"/>
    </row>
    <row r="37" spans="1:5" x14ac:dyDescent="0.2">
      <c r="A37" s="28">
        <v>81</v>
      </c>
      <c r="B37" s="148" t="s">
        <v>340</v>
      </c>
      <c r="C37" s="20"/>
      <c r="D37" s="20"/>
      <c r="E37" s="20"/>
    </row>
    <row r="38" spans="1:5" x14ac:dyDescent="0.2">
      <c r="A38" s="28">
        <v>89</v>
      </c>
      <c r="B38" s="148" t="s">
        <v>334</v>
      </c>
      <c r="C38" s="20"/>
      <c r="D38" s="20"/>
      <c r="E38" s="20"/>
    </row>
    <row r="39" spans="1:5" x14ac:dyDescent="0.2">
      <c r="A39" s="28">
        <v>92</v>
      </c>
      <c r="B39" s="148" t="s">
        <v>302</v>
      </c>
      <c r="C39" s="20"/>
      <c r="D39" s="20"/>
      <c r="E39" s="20"/>
    </row>
  </sheetData>
  <mergeCells count="1">
    <mergeCell ref="C1:E1"/>
  </mergeCells>
  <conditionalFormatting sqref="C3:E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75" defaultRowHeight="15" x14ac:dyDescent="0.2"/>
  <cols>
    <col min="1" max="1" width="11.703125" customWidth="1"/>
    <col min="2" max="3" width="10.76171875" customWidth="1"/>
    <col min="4" max="4" width="10.625" customWidth="1"/>
    <col min="10" max="10" width="10.625" bestFit="1" customWidth="1"/>
    <col min="11" max="37" width="9.953125" bestFit="1" customWidth="1"/>
  </cols>
  <sheetData>
    <row r="1" spans="1:37" ht="15.75" thickBot="1" x14ac:dyDescent="0.25">
      <c r="C1" s="285" t="s">
        <v>202</v>
      </c>
      <c r="D1" s="286"/>
      <c r="E1" s="286"/>
      <c r="F1" s="286"/>
      <c r="G1" s="286"/>
      <c r="H1" s="286"/>
      <c r="I1" s="287"/>
      <c r="J1" s="114" t="s">
        <v>195</v>
      </c>
      <c r="K1" s="115" t="s">
        <v>194</v>
      </c>
      <c r="L1" s="279" t="s">
        <v>288</v>
      </c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4"/>
      <c r="AH1" s="279" t="s">
        <v>175</v>
      </c>
      <c r="AI1" s="280"/>
      <c r="AJ1" s="280"/>
      <c r="AK1" s="281"/>
    </row>
    <row r="2" spans="1:37" x14ac:dyDescent="0.2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25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25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25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25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5.75" thickBot="1" x14ac:dyDescent="0.25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9" t="s">
        <v>175</v>
      </c>
      <c r="L80" s="310"/>
      <c r="M80" s="311"/>
      <c r="O80" s="133"/>
      <c r="P80" s="133"/>
      <c r="W80" s="282"/>
      <c r="X80" s="282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2"/>
      <c r="L81" s="313"/>
      <c r="M81" s="314"/>
      <c r="O81" s="133"/>
      <c r="P81" s="133"/>
      <c r="W81" s="282" t="s">
        <v>209</v>
      </c>
      <c r="X81" s="282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2"/>
      <c r="L82" s="313"/>
      <c r="M82" s="314"/>
      <c r="O82" s="133"/>
      <c r="P82" s="133"/>
      <c r="W82" s="282" t="s">
        <v>210</v>
      </c>
      <c r="X82" s="282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25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5"/>
      <c r="L83" s="316"/>
      <c r="M83" s="317"/>
      <c r="O83" s="133"/>
      <c r="P83" s="133"/>
      <c r="W83" s="282" t="s">
        <v>211</v>
      </c>
      <c r="X83" s="282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00" t="s">
        <v>285</v>
      </c>
      <c r="L84" s="301"/>
      <c r="M84" s="302"/>
      <c r="O84" s="141"/>
      <c r="P84" s="141"/>
      <c r="W84" s="282" t="s">
        <v>97</v>
      </c>
      <c r="X84" s="282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x14ac:dyDescent="0.2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3"/>
      <c r="L85" s="304"/>
      <c r="M85" s="305"/>
      <c r="O85" s="141"/>
      <c r="P85" s="141"/>
    </row>
    <row r="86" spans="1:31" x14ac:dyDescent="0.2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3"/>
      <c r="L86" s="304"/>
      <c r="M86" s="305"/>
      <c r="O86" s="141"/>
      <c r="P86" s="141"/>
    </row>
    <row r="87" spans="1:31" x14ac:dyDescent="0.2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3"/>
      <c r="L87" s="304"/>
      <c r="M87" s="305"/>
      <c r="O87" s="141"/>
      <c r="P87" s="141"/>
    </row>
    <row r="88" spans="1:31" x14ac:dyDescent="0.2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3"/>
      <c r="L88" s="304"/>
      <c r="M88" s="305"/>
      <c r="O88" s="141"/>
      <c r="P88" s="141"/>
    </row>
    <row r="89" spans="1:31" x14ac:dyDescent="0.2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3"/>
      <c r="L89" s="304"/>
      <c r="M89" s="305"/>
      <c r="O89" s="141"/>
      <c r="P89" s="141"/>
    </row>
    <row r="90" spans="1:31" x14ac:dyDescent="0.2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3"/>
      <c r="L90" s="304"/>
      <c r="M90" s="305"/>
      <c r="O90" s="141"/>
      <c r="P90" s="141"/>
    </row>
    <row r="91" spans="1:31" x14ac:dyDescent="0.2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3"/>
      <c r="L91" s="304"/>
      <c r="M91" s="305"/>
      <c r="O91" s="141"/>
      <c r="P91" s="141"/>
    </row>
    <row r="92" spans="1:31" x14ac:dyDescent="0.2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3"/>
      <c r="L92" s="304"/>
      <c r="M92" s="305"/>
      <c r="O92" s="141"/>
      <c r="P92" s="141"/>
    </row>
    <row r="93" spans="1:31" x14ac:dyDescent="0.2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3"/>
      <c r="L93" s="304"/>
      <c r="M93" s="305"/>
      <c r="O93" s="141"/>
      <c r="P93" s="141"/>
    </row>
    <row r="94" spans="1:31" x14ac:dyDescent="0.2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3"/>
      <c r="L94" s="304"/>
      <c r="M94" s="305"/>
      <c r="O94" s="141"/>
      <c r="P94" s="141"/>
    </row>
    <row r="95" spans="1:31" x14ac:dyDescent="0.2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3"/>
      <c r="L95" s="304"/>
      <c r="M95" s="305"/>
      <c r="O95" s="141"/>
      <c r="P95" s="141"/>
    </row>
    <row r="96" spans="1:31" x14ac:dyDescent="0.2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3"/>
      <c r="L96" s="304"/>
      <c r="M96" s="305"/>
      <c r="O96" s="141"/>
      <c r="P96" s="141"/>
    </row>
    <row r="97" spans="1:16" x14ac:dyDescent="0.2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3"/>
      <c r="L97" s="304"/>
      <c r="M97" s="305"/>
      <c r="O97" s="141"/>
      <c r="P97" s="141"/>
    </row>
    <row r="98" spans="1:16" x14ac:dyDescent="0.2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3"/>
      <c r="L98" s="304"/>
      <c r="M98" s="305"/>
      <c r="O98" s="141"/>
      <c r="P98" s="141"/>
    </row>
    <row r="99" spans="1:16" x14ac:dyDescent="0.2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3"/>
      <c r="L99" s="304"/>
      <c r="M99" s="305"/>
      <c r="O99" s="141"/>
      <c r="P99" s="141"/>
    </row>
    <row r="100" spans="1:16" x14ac:dyDescent="0.2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3"/>
      <c r="L100" s="304"/>
      <c r="M100" s="305"/>
      <c r="O100" s="141"/>
      <c r="P100" s="141"/>
    </row>
    <row r="101" spans="1:16" x14ac:dyDescent="0.2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3"/>
      <c r="L101" s="304"/>
      <c r="M101" s="305"/>
      <c r="O101" s="141"/>
      <c r="P101" s="141"/>
    </row>
    <row r="102" spans="1:16" x14ac:dyDescent="0.2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3"/>
      <c r="L102" s="304"/>
      <c r="M102" s="305"/>
      <c r="O102" s="141"/>
      <c r="P102" s="141"/>
    </row>
    <row r="103" spans="1:16" x14ac:dyDescent="0.2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3"/>
      <c r="L103" s="304"/>
      <c r="M103" s="305"/>
      <c r="O103" s="141"/>
      <c r="P103" s="141"/>
    </row>
    <row r="104" spans="1:16" x14ac:dyDescent="0.2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3"/>
      <c r="L104" s="304"/>
      <c r="M104" s="305"/>
      <c r="O104" s="141"/>
      <c r="P104" s="141"/>
    </row>
    <row r="105" spans="1:16" ht="15.75" thickBot="1" x14ac:dyDescent="0.25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6"/>
      <c r="L105" s="307"/>
      <c r="M105" s="308"/>
      <c r="O105" s="141"/>
      <c r="P105" s="141"/>
    </row>
    <row r="106" spans="1:16" ht="15.75" thickBot="1" x14ac:dyDescent="0.25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7" t="s">
        <v>287</v>
      </c>
      <c r="L106" s="298"/>
      <c r="M106" s="299"/>
      <c r="O106" s="126"/>
      <c r="P106" s="126"/>
    </row>
    <row r="107" spans="1:16" ht="15.75" thickBot="1" x14ac:dyDescent="0.25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7" t="s">
        <v>289</v>
      </c>
      <c r="L107" s="298"/>
      <c r="M107" s="299"/>
      <c r="O107" s="126"/>
      <c r="P107" s="126"/>
    </row>
    <row r="108" spans="1:16" x14ac:dyDescent="0.2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8" t="s">
        <v>290</v>
      </c>
      <c r="L108" s="289"/>
      <c r="M108" s="290"/>
      <c r="O108" s="126"/>
      <c r="P108" s="126"/>
    </row>
    <row r="109" spans="1:16" x14ac:dyDescent="0.2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1"/>
      <c r="L109" s="292"/>
      <c r="M109" s="293"/>
      <c r="O109" s="126"/>
      <c r="P109" s="126"/>
    </row>
    <row r="110" spans="1:16" x14ac:dyDescent="0.2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1"/>
      <c r="L110" s="292"/>
      <c r="M110" s="293"/>
      <c r="O110" s="126"/>
      <c r="P110" s="126"/>
    </row>
    <row r="111" spans="1:16" x14ac:dyDescent="0.2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1"/>
      <c r="L111" s="292"/>
      <c r="M111" s="293"/>
      <c r="O111" s="126"/>
      <c r="P111" s="126"/>
    </row>
    <row r="112" spans="1:16" x14ac:dyDescent="0.2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91"/>
      <c r="L112" s="292"/>
      <c r="M112" s="293"/>
    </row>
    <row r="113" spans="1:13" ht="15.75" thickBot="1" x14ac:dyDescent="0.25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94"/>
      <c r="L113" s="295"/>
      <c r="M113" s="296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U22" sqref="U22"/>
    </sheetView>
  </sheetViews>
  <sheetFormatPr defaultRowHeight="15" x14ac:dyDescent="0.2"/>
  <cols>
    <col min="1" max="1" width="10.22265625" bestFit="1" customWidth="1"/>
    <col min="2" max="2" width="5.51171875" bestFit="1" customWidth="1"/>
    <col min="3" max="3" width="14.9296875" bestFit="1" customWidth="1"/>
    <col min="4" max="4" width="12.9140625" bestFit="1" customWidth="1"/>
    <col min="5" max="5" width="19.90625" bestFit="1" customWidth="1"/>
    <col min="6" max="6" width="10.0859375" bestFit="1" customWidth="1"/>
    <col min="7" max="7" width="5.91796875" bestFit="1" customWidth="1"/>
    <col min="8" max="8" width="19.90625" bestFit="1" customWidth="1"/>
    <col min="9" max="9" width="15.46875" bestFit="1" customWidth="1"/>
    <col min="10" max="10" width="26.6328125" bestFit="1" customWidth="1"/>
    <col min="12" max="12" width="4.16796875" bestFit="1" customWidth="1"/>
    <col min="13" max="13" width="22.1953125" bestFit="1" customWidth="1"/>
  </cols>
  <sheetData>
    <row r="1" spans="1:21" x14ac:dyDescent="0.2">
      <c r="A1" s="197" t="s">
        <v>407</v>
      </c>
      <c r="B1" s="197"/>
      <c r="C1" s="197"/>
      <c r="D1" s="197"/>
      <c r="E1" s="197"/>
      <c r="F1" s="197" t="s">
        <v>408</v>
      </c>
      <c r="G1" s="197"/>
      <c r="H1" s="197"/>
      <c r="I1" s="197"/>
      <c r="J1" s="197"/>
    </row>
    <row r="2" spans="1:21" x14ac:dyDescent="0.2">
      <c r="A2" s="197"/>
      <c r="B2" s="197"/>
      <c r="C2" s="197"/>
      <c r="D2" s="197"/>
      <c r="E2" s="197"/>
      <c r="F2" s="197"/>
      <c r="G2" s="197"/>
      <c r="H2" s="197"/>
      <c r="I2" s="197"/>
      <c r="J2" s="197"/>
      <c r="L2" t="s">
        <v>412</v>
      </c>
      <c r="M2" t="s">
        <v>413</v>
      </c>
      <c r="N2" t="s">
        <v>414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415</v>
      </c>
    </row>
    <row r="3" spans="1:21" x14ac:dyDescent="0.2">
      <c r="A3" t="s">
        <v>400</v>
      </c>
      <c r="B3" t="s">
        <v>401</v>
      </c>
      <c r="C3" t="s">
        <v>402</v>
      </c>
      <c r="D3" t="s">
        <v>403</v>
      </c>
      <c r="E3" t="s">
        <v>404</v>
      </c>
      <c r="F3" t="s">
        <v>400</v>
      </c>
      <c r="G3" t="s">
        <v>409</v>
      </c>
      <c r="H3" t="s">
        <v>402</v>
      </c>
      <c r="I3" t="s">
        <v>403</v>
      </c>
      <c r="J3" t="s">
        <v>404</v>
      </c>
      <c r="L3">
        <v>1</v>
      </c>
      <c r="M3" t="s">
        <v>416</v>
      </c>
      <c r="N3">
        <v>1</v>
      </c>
      <c r="O3">
        <v>1</v>
      </c>
      <c r="P3">
        <v>0</v>
      </c>
      <c r="Q3">
        <v>0</v>
      </c>
      <c r="R3">
        <v>3</v>
      </c>
      <c r="S3">
        <v>0</v>
      </c>
      <c r="T3">
        <v>3</v>
      </c>
      <c r="U3">
        <v>3</v>
      </c>
    </row>
    <row r="4" spans="1:21" x14ac:dyDescent="0.2">
      <c r="A4" s="125">
        <v>46265</v>
      </c>
      <c r="B4" s="196">
        <v>0.875</v>
      </c>
      <c r="C4" t="s">
        <v>4</v>
      </c>
      <c r="D4" t="s">
        <v>417</v>
      </c>
      <c r="E4" t="s">
        <v>434</v>
      </c>
      <c r="F4" s="125">
        <v>46255</v>
      </c>
      <c r="G4" s="196" t="s">
        <v>410</v>
      </c>
      <c r="H4" t="s">
        <v>4</v>
      </c>
      <c r="I4" t="s">
        <v>406</v>
      </c>
      <c r="J4" t="s">
        <v>405</v>
      </c>
      <c r="L4">
        <v>2</v>
      </c>
      <c r="M4" t="s">
        <v>417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</row>
    <row r="5" spans="1:21" x14ac:dyDescent="0.2">
      <c r="L5">
        <v>3</v>
      </c>
      <c r="M5" t="s">
        <v>418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</row>
    <row r="6" spans="1:21" x14ac:dyDescent="0.2">
      <c r="L6">
        <v>4</v>
      </c>
      <c r="M6" t="s">
        <v>419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2">
      <c r="L7">
        <v>5</v>
      </c>
      <c r="M7" t="s">
        <v>420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 x14ac:dyDescent="0.2">
      <c r="L8">
        <v>6</v>
      </c>
      <c r="M8" t="s">
        <v>421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</row>
    <row r="9" spans="1:21" x14ac:dyDescent="0.2">
      <c r="L9">
        <v>7</v>
      </c>
      <c r="M9" t="s">
        <v>422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 x14ac:dyDescent="0.2">
      <c r="L10">
        <v>8</v>
      </c>
      <c r="M10" t="s">
        <v>423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2">
      <c r="L11">
        <v>9</v>
      </c>
      <c r="M11" t="s">
        <v>424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 x14ac:dyDescent="0.2">
      <c r="L12">
        <v>10</v>
      </c>
      <c r="M12" t="s">
        <v>425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 x14ac:dyDescent="0.2">
      <c r="L13">
        <v>11</v>
      </c>
      <c r="M13" t="s">
        <v>426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 x14ac:dyDescent="0.2">
      <c r="L14">
        <v>12</v>
      </c>
      <c r="M14" t="s">
        <v>427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2">
      <c r="L15">
        <v>13</v>
      </c>
      <c r="M15" t="s">
        <v>428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 x14ac:dyDescent="0.2">
      <c r="L16">
        <v>14</v>
      </c>
      <c r="M16" t="s">
        <v>411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2:21" x14ac:dyDescent="0.2">
      <c r="L17">
        <v>15</v>
      </c>
      <c r="M17" t="s">
        <v>429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2:21" x14ac:dyDescent="0.2">
      <c r="L18">
        <v>16</v>
      </c>
      <c r="M18" t="s">
        <v>430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2:21" x14ac:dyDescent="0.2">
      <c r="L19">
        <v>17</v>
      </c>
      <c r="M19" t="s">
        <v>431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2:21" x14ac:dyDescent="0.2">
      <c r="L20">
        <v>18</v>
      </c>
      <c r="M20" t="s">
        <v>432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2:21" x14ac:dyDescent="0.2">
      <c r="L21">
        <v>19</v>
      </c>
      <c r="M21" t="s">
        <v>433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2:21" x14ac:dyDescent="0.2">
      <c r="L22">
        <v>20</v>
      </c>
      <c r="M22" t="s">
        <v>406</v>
      </c>
      <c r="N22">
        <v>1</v>
      </c>
      <c r="O22">
        <v>0</v>
      </c>
      <c r="P22">
        <v>0</v>
      </c>
      <c r="Q22">
        <v>1</v>
      </c>
      <c r="R22">
        <v>0</v>
      </c>
      <c r="S22">
        <v>3</v>
      </c>
      <c r="T22">
        <v>-3</v>
      </c>
      <c r="U22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75" defaultRowHeight="15" x14ac:dyDescent="0.2"/>
  <cols>
    <col min="1" max="1" width="3.2265625" bestFit="1" customWidth="1"/>
    <col min="2" max="2" width="21.25390625" customWidth="1"/>
    <col min="3" max="3" width="5.37890625" bestFit="1" customWidth="1"/>
    <col min="4" max="4" width="5.6484375" customWidth="1"/>
    <col min="5" max="5" width="6.05078125" bestFit="1" customWidth="1"/>
    <col min="8" max="8" width="3.2265625" customWidth="1"/>
    <col min="9" max="9" width="27.84375" bestFit="1" customWidth="1"/>
    <col min="10" max="10" width="6.05078125" bestFit="1" customWidth="1"/>
    <col min="11" max="11" width="5.37890625" bestFit="1" customWidth="1"/>
    <col min="12" max="12" width="5.51171875" bestFit="1" customWidth="1"/>
  </cols>
  <sheetData>
    <row r="1" spans="1:12" ht="15.75" thickBot="1" x14ac:dyDescent="0.25">
      <c r="A1" s="202" t="s">
        <v>46</v>
      </c>
      <c r="B1" s="318"/>
      <c r="C1" s="319" t="s">
        <v>44</v>
      </c>
      <c r="D1" s="205"/>
      <c r="E1" s="320"/>
      <c r="H1" s="202" t="s">
        <v>47</v>
      </c>
      <c r="I1" s="318"/>
      <c r="J1" s="319" t="s">
        <v>44</v>
      </c>
      <c r="K1" s="205"/>
      <c r="L1" s="320"/>
    </row>
    <row r="2" spans="1:12" x14ac:dyDescent="0.2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82</v>
      </c>
      <c r="K30" s="9">
        <f>'Apps &amp; Goals'!T10</f>
        <v>314</v>
      </c>
      <c r="L30" s="14">
        <f>J30/K30</f>
        <v>0.26114649681528662</v>
      </c>
    </row>
    <row r="31" spans="1:12" x14ac:dyDescent="0.2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Arkusze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2026-08-21T14:55:51Z</dcterms:modified>
</cp:coreProperties>
</file>